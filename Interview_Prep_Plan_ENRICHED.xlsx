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navaneethbv/Downloads/"/>
    </mc:Choice>
  </mc:AlternateContent>
  <xr:revisionPtr revIDLastSave="0" documentId="13_ncr:1_{2114EA3B-C9A8-9147-A699-CAE1CFDB6268}" xr6:coauthVersionLast="47" xr6:coauthVersionMax="47" xr10:uidLastSave="{00000000-0000-0000-0000-000000000000}"/>
  <bookViews>
    <workbookView xWindow="0" yWindow="660" windowWidth="34560" windowHeight="19800" tabRatio="500" firstSheet="6" activeTab="14" xr2:uid="{00000000-000D-0000-FFFF-FFFF00000000}"/>
  </bookViews>
  <sheets>
    <sheet name="📋 Master Plan" sheetId="1" r:id="rId1"/>
    <sheet name="🧠 DSA Topics &amp; Problems" sheetId="2" r:id="rId2"/>
    <sheet name="📊 Problem Tracker" sheetId="3" r:id="rId3"/>
    <sheet name="📈 Progress Dashboard" sheetId="4" r:id="rId4"/>
    <sheet name="🏗️ System Design" sheetId="5" r:id="rId5"/>
    <sheet name="🗣️ Behavioral (STAR)" sheetId="6" r:id="rId6"/>
    <sheet name="📅 16-Week Schedule" sheetId="7" r:id="rId7"/>
    <sheet name="⚡ Pattern Cheatsheet" sheetId="8" r:id="rId8"/>
    <sheet name="🔁 Retry Tracker" sheetId="9" r:id="rId9"/>
    <sheet name="🎯 Blind 75" sheetId="10" r:id="rId10"/>
    <sheet name="🔥 Grind 169" sheetId="11" r:id="rId11"/>
    <sheet name="⚡ Grind 75" sheetId="12" r:id="rId12"/>
    <sheet name="🚀 NeetCode 150" sheetId="13" r:id="rId13"/>
    <sheet name="🧩 14 Patterns" sheetId="14" r:id="rId14"/>
    <sheet name="🔵 Google" sheetId="15" r:id="rId15"/>
    <sheet name="🍎 Apple" sheetId="16" r:id="rId16"/>
    <sheet name="🔷 Meta" sheetId="17" r:id="rId17"/>
    <sheet name="🪟 Microsoft" sheetId="18" r:id="rId18"/>
    <sheet name="🚗 Uber" sheetId="19" r:id="rId19"/>
    <sheet name="📦 Amazon" sheetId="20" r:id="rId20"/>
  </sheets>
  <definedNames>
    <definedName name="_xlnm._FilterDatabase" localSheetId="11" hidden="1">'⚡ Grind 75'!$A$4:$N$4</definedName>
    <definedName name="_xlnm._FilterDatabase" localSheetId="15" hidden="1">'🍎 Apple'!$A$5:$O$5</definedName>
    <definedName name="_xlnm._FilterDatabase" localSheetId="9" hidden="1">'🎯 Blind 75'!$A$5:$O$5</definedName>
    <definedName name="_xlnm._FilterDatabase" localSheetId="2" hidden="1">'📊 Problem Tracker'!$A$3:$Q$3</definedName>
    <definedName name="_xlnm._FilterDatabase" localSheetId="19" hidden="1">'📦 Amazon'!$A$5:$O$5</definedName>
    <definedName name="_xlnm._FilterDatabase" localSheetId="8" hidden="1">'🔁 Retry Tracker'!$A$4:$J$4</definedName>
    <definedName name="_xlnm._FilterDatabase" localSheetId="10" hidden="1">'🔥 Grind 169'!$A$4:$N$4</definedName>
    <definedName name="_xlnm._FilterDatabase" localSheetId="14" hidden="1">'🔵 Google'!$A$5:$O$5</definedName>
    <definedName name="_xlnm._FilterDatabase" localSheetId="16" hidden="1">'🔷 Meta'!$A$5:$O$5</definedName>
    <definedName name="_xlnm._FilterDatabase" localSheetId="17" hidden="1">'🪟 Microsoft'!$A$5:$O$5</definedName>
    <definedName name="_xlnm._FilterDatabase" localSheetId="12" hidden="1">'🚀 NeetCode 150'!$A$4:$O$4</definedName>
    <definedName name="_xlnm._FilterDatabase" localSheetId="18" hidden="1">'🚗 Uber'!$A$5:$O$5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3" l="1"/>
  <c r="O7" i="13"/>
  <c r="O8" i="13"/>
  <c r="O9" i="13"/>
  <c r="O10" i="13"/>
  <c r="O11" i="13"/>
  <c r="O12" i="13"/>
  <c r="O13" i="13"/>
  <c r="O14" i="13"/>
  <c r="O16" i="13"/>
  <c r="O17" i="13"/>
  <c r="O18" i="13"/>
  <c r="O19" i="13"/>
  <c r="O20" i="13"/>
  <c r="O22" i="13"/>
  <c r="O23" i="13"/>
  <c r="O24" i="13"/>
  <c r="O25" i="13"/>
  <c r="O26" i="13"/>
  <c r="O27" i="13"/>
  <c r="O29" i="13"/>
  <c r="O30" i="13"/>
  <c r="O31" i="13"/>
  <c r="O32" i="13"/>
  <c r="O33" i="13"/>
  <c r="O34" i="13"/>
  <c r="O35" i="13"/>
  <c r="O37" i="13"/>
  <c r="O38" i="13"/>
  <c r="O39" i="13"/>
  <c r="O40" i="13"/>
  <c r="O41" i="13"/>
  <c r="O42" i="13"/>
  <c r="O43" i="13"/>
  <c r="O45" i="13"/>
  <c r="O46" i="13"/>
  <c r="O47" i="13"/>
  <c r="O48" i="13"/>
  <c r="O49" i="13"/>
  <c r="O50" i="13"/>
  <c r="O51" i="13"/>
  <c r="O52" i="13"/>
  <c r="O53" i="13"/>
  <c r="O54" i="13"/>
  <c r="O56" i="13"/>
  <c r="O57" i="13"/>
  <c r="O58" i="13"/>
  <c r="O59" i="13"/>
  <c r="O60" i="13"/>
  <c r="O61" i="13"/>
  <c r="O62" i="13"/>
  <c r="O63" i="13"/>
  <c r="O64" i="13"/>
  <c r="O65" i="13"/>
  <c r="O66" i="13"/>
  <c r="O67" i="13"/>
  <c r="O68" i="13"/>
  <c r="O69" i="13"/>
  <c r="O70" i="13"/>
  <c r="O72" i="13"/>
  <c r="O73" i="13"/>
  <c r="O74" i="13"/>
  <c r="O76" i="13"/>
  <c r="O77" i="13"/>
  <c r="O78" i="13"/>
  <c r="O79" i="13"/>
  <c r="O80" i="13"/>
  <c r="O81" i="13"/>
  <c r="O82" i="13"/>
  <c r="O84" i="13"/>
  <c r="O85" i="13"/>
  <c r="O86" i="13"/>
  <c r="O87" i="13"/>
  <c r="O88" i="13"/>
  <c r="O89" i="13"/>
  <c r="O90" i="13"/>
  <c r="O91" i="13"/>
  <c r="O92" i="13"/>
  <c r="O94" i="13"/>
  <c r="O95" i="13"/>
  <c r="O96" i="13"/>
  <c r="O97" i="13"/>
  <c r="O98" i="13"/>
  <c r="O99" i="13"/>
  <c r="O100" i="13"/>
  <c r="O101" i="13"/>
  <c r="O102" i="13"/>
  <c r="O103" i="13"/>
  <c r="O104" i="13"/>
  <c r="O106" i="13"/>
  <c r="O107" i="13"/>
  <c r="O108" i="13"/>
  <c r="O109" i="13"/>
  <c r="O110" i="13"/>
  <c r="O111" i="13"/>
  <c r="O113" i="13"/>
  <c r="O114" i="13"/>
  <c r="O115" i="13"/>
  <c r="O116" i="13"/>
  <c r="O117" i="13"/>
  <c r="O118" i="13"/>
  <c r="O119" i="13"/>
  <c r="O120" i="13"/>
  <c r="O121" i="13"/>
  <c r="O122" i="13"/>
  <c r="O123" i="13"/>
  <c r="O125" i="13"/>
  <c r="O126" i="13"/>
  <c r="O127" i="13"/>
  <c r="O128" i="13"/>
  <c r="O129" i="13"/>
  <c r="O130" i="13"/>
  <c r="O131" i="13"/>
  <c r="O132" i="13"/>
  <c r="O133" i="13"/>
  <c r="O134" i="13"/>
  <c r="O135" i="13"/>
  <c r="O137" i="13"/>
  <c r="O138" i="13"/>
  <c r="O139" i="13"/>
  <c r="O140" i="13"/>
  <c r="O141" i="13"/>
  <c r="O142" i="13"/>
  <c r="O143" i="13"/>
  <c r="O144" i="13"/>
  <c r="O146" i="13"/>
  <c r="O147" i="13"/>
  <c r="O148" i="13"/>
  <c r="O149" i="13"/>
  <c r="O150" i="13"/>
  <c r="O151" i="13"/>
  <c r="O153" i="13"/>
  <c r="O154" i="13"/>
  <c r="O155" i="13"/>
  <c r="O156" i="13"/>
  <c r="O158" i="13"/>
  <c r="O159" i="13"/>
  <c r="O160" i="13"/>
  <c r="O161" i="13"/>
  <c r="O162" i="13"/>
  <c r="O163" i="13"/>
  <c r="O164" i="13"/>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G7" i="10"/>
  <c r="G8" i="10"/>
  <c r="G9" i="10"/>
  <c r="G10" i="10"/>
  <c r="G11" i="10"/>
  <c r="G12" i="10"/>
  <c r="G13" i="10"/>
  <c r="G14" i="10"/>
  <c r="G15" i="10"/>
  <c r="G16" i="10"/>
  <c r="G18" i="10"/>
  <c r="G19" i="10"/>
  <c r="G20" i="10"/>
  <c r="G21" i="10"/>
  <c r="G22" i="10"/>
  <c r="G24" i="10"/>
  <c r="G25" i="10"/>
  <c r="G26" i="10"/>
  <c r="G27" i="10"/>
  <c r="G28" i="10"/>
  <c r="G29" i="10"/>
  <c r="G30" i="10"/>
  <c r="G31" i="10"/>
  <c r="G32" i="10"/>
  <c r="G33" i="10"/>
  <c r="G34" i="10"/>
  <c r="G36" i="10"/>
  <c r="G37" i="10"/>
  <c r="G38" i="10"/>
  <c r="G39" i="10"/>
  <c r="G40" i="10"/>
  <c r="G41" i="10"/>
  <c r="G42" i="10"/>
  <c r="G43" i="10"/>
  <c r="G45" i="10"/>
  <c r="G46" i="10"/>
  <c r="G47" i="10"/>
  <c r="G48" i="10"/>
  <c r="G49" i="10"/>
  <c r="G51" i="10"/>
  <c r="G52" i="10"/>
  <c r="G53" i="10"/>
  <c r="G54" i="10"/>
  <c r="G55" i="10"/>
  <c r="G56" i="10"/>
  <c r="G58" i="10"/>
  <c r="G59" i="10"/>
  <c r="G60" i="10"/>
  <c r="G61" i="10"/>
  <c r="G63" i="10"/>
  <c r="G64" i="10"/>
  <c r="G65" i="10"/>
  <c r="G66" i="10"/>
  <c r="G67" i="10"/>
  <c r="G68" i="10"/>
  <c r="G69" i="10"/>
  <c r="G70" i="10"/>
  <c r="G71" i="10"/>
  <c r="G72" i="10"/>
  <c r="G74" i="10"/>
  <c r="G75" i="10"/>
  <c r="G76" i="10"/>
  <c r="G77" i="10"/>
  <c r="G78" i="10"/>
  <c r="G79" i="10"/>
  <c r="G80" i="10"/>
  <c r="G81" i="10"/>
  <c r="G82" i="10"/>
  <c r="G83" i="10"/>
  <c r="G84" i="10"/>
  <c r="G85" i="10"/>
  <c r="G86" i="10"/>
  <c r="G87" i="10"/>
  <c r="G89" i="10"/>
  <c r="G90" i="10"/>
  <c r="G91" i="1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431" i="20"/>
  <c r="O432" i="20"/>
  <c r="O433" i="20"/>
  <c r="O434" i="20"/>
  <c r="O435" i="20"/>
  <c r="O436" i="20"/>
  <c r="O437" i="20"/>
  <c r="O438" i="20"/>
  <c r="O439" i="20"/>
  <c r="O440" i="20"/>
  <c r="O441" i="20"/>
  <c r="O442" i="20"/>
  <c r="O443" i="20"/>
  <c r="O444" i="20"/>
  <c r="O445" i="20"/>
  <c r="O446" i="20"/>
  <c r="O447" i="20"/>
  <c r="O448" i="20"/>
  <c r="O449" i="20"/>
  <c r="O450" i="20"/>
  <c r="O451" i="20"/>
  <c r="O452" i="20"/>
  <c r="O453" i="20"/>
  <c r="O454" i="20"/>
  <c r="O455" i="20"/>
  <c r="O456" i="20"/>
  <c r="O457" i="20"/>
  <c r="O458" i="20"/>
  <c r="O459" i="20"/>
  <c r="O460" i="20"/>
  <c r="O461" i="20"/>
  <c r="O462" i="20"/>
  <c r="O463" i="20"/>
  <c r="O464" i="20"/>
  <c r="O465" i="20"/>
  <c r="O466" i="20"/>
  <c r="O467" i="20"/>
  <c r="O468" i="20"/>
  <c r="O469" i="20"/>
  <c r="O470" i="20"/>
  <c r="O471" i="20"/>
  <c r="O472" i="20"/>
  <c r="O473" i="20"/>
  <c r="O474" i="20"/>
  <c r="O475" i="20"/>
  <c r="O476" i="20"/>
  <c r="O477" i="20"/>
  <c r="O478" i="20"/>
  <c r="O479" i="20"/>
  <c r="O480" i="20"/>
  <c r="O481" i="20"/>
  <c r="O482" i="20"/>
  <c r="O483" i="20"/>
  <c r="O484" i="20"/>
  <c r="O485" i="20"/>
  <c r="O486" i="20"/>
  <c r="O487" i="20"/>
  <c r="O488" i="20"/>
  <c r="O489" i="20"/>
  <c r="O490" i="20"/>
  <c r="O491" i="20"/>
  <c r="O492" i="20"/>
  <c r="O493" i="20"/>
  <c r="O494" i="20"/>
  <c r="O495" i="20"/>
  <c r="O496" i="20"/>
  <c r="O497" i="20"/>
  <c r="O498" i="20"/>
  <c r="O499" i="20"/>
  <c r="O500" i="20"/>
  <c r="O501" i="20"/>
  <c r="O502" i="20"/>
  <c r="O503" i="20"/>
  <c r="O504" i="20"/>
  <c r="O505" i="20"/>
  <c r="O506" i="20"/>
  <c r="O507" i="20"/>
  <c r="O508" i="20"/>
  <c r="O509" i="20"/>
  <c r="O510" i="20"/>
  <c r="O511" i="20"/>
  <c r="O512" i="20"/>
  <c r="O513" i="20"/>
  <c r="O514" i="20"/>
  <c r="O515" i="20"/>
  <c r="O516" i="20"/>
  <c r="O517" i="20"/>
  <c r="O518" i="20"/>
  <c r="O519" i="20"/>
  <c r="O520" i="20"/>
  <c r="O521" i="20"/>
  <c r="O522" i="20"/>
  <c r="O523" i="20"/>
  <c r="O524" i="20"/>
  <c r="O525" i="20"/>
  <c r="O526" i="20"/>
  <c r="O527" i="20"/>
  <c r="O528" i="20"/>
  <c r="O529" i="20"/>
  <c r="O530" i="20"/>
  <c r="O531" i="20"/>
  <c r="O532" i="20"/>
  <c r="O533" i="20"/>
  <c r="O534" i="20"/>
  <c r="O535" i="20"/>
  <c r="O536" i="20"/>
  <c r="O537" i="20"/>
  <c r="O538" i="20"/>
  <c r="O539" i="20"/>
  <c r="O540" i="20"/>
  <c r="O541" i="20"/>
  <c r="O542" i="20"/>
  <c r="O543" i="20"/>
  <c r="O544" i="20"/>
  <c r="O545" i="20"/>
  <c r="O546" i="20"/>
  <c r="O547" i="20"/>
  <c r="O548" i="20"/>
  <c r="O549" i="20"/>
  <c r="O550" i="20"/>
  <c r="O551" i="20"/>
  <c r="O552" i="20"/>
  <c r="O553" i="20"/>
  <c r="O554" i="20"/>
  <c r="O555" i="20"/>
  <c r="O556" i="20"/>
  <c r="O557" i="20"/>
  <c r="O558" i="20"/>
  <c r="O559" i="20"/>
  <c r="O560" i="20"/>
  <c r="O561" i="20"/>
  <c r="O562" i="20"/>
  <c r="O563" i="20"/>
  <c r="O564" i="20"/>
  <c r="O565" i="20"/>
  <c r="O566" i="20"/>
  <c r="O567" i="20"/>
  <c r="O568" i="20"/>
  <c r="O569" i="20"/>
  <c r="O570" i="20"/>
  <c r="O571" i="20"/>
  <c r="O572" i="20"/>
  <c r="O573" i="20"/>
  <c r="O574" i="20"/>
  <c r="O575" i="20"/>
  <c r="O576" i="20"/>
  <c r="O577" i="20"/>
  <c r="O578" i="20"/>
  <c r="O579" i="20"/>
  <c r="O580" i="20"/>
  <c r="O581" i="20"/>
  <c r="O582" i="20"/>
  <c r="O583" i="20"/>
  <c r="O584" i="20"/>
  <c r="O585" i="20"/>
  <c r="O586" i="20"/>
  <c r="O587" i="20"/>
  <c r="O588" i="20"/>
  <c r="O589" i="20"/>
  <c r="O590" i="20"/>
  <c r="O591" i="20"/>
  <c r="O592" i="20"/>
  <c r="O593" i="20"/>
  <c r="O594" i="20"/>
  <c r="O595" i="20"/>
  <c r="O596" i="20"/>
  <c r="O597" i="20"/>
  <c r="O598" i="20"/>
  <c r="O599" i="20"/>
  <c r="O600" i="20"/>
  <c r="O601" i="20"/>
  <c r="O602" i="20"/>
  <c r="O603" i="20"/>
  <c r="O604" i="20"/>
  <c r="O605" i="20"/>
  <c r="O606" i="20"/>
  <c r="O607" i="20"/>
  <c r="O608" i="20"/>
  <c r="O609" i="20"/>
  <c r="O610" i="20"/>
  <c r="O611" i="20"/>
  <c r="O612" i="20"/>
  <c r="O613" i="20"/>
  <c r="O614" i="20"/>
  <c r="O615" i="20"/>
  <c r="O616" i="20"/>
  <c r="O617" i="20"/>
  <c r="O618" i="20"/>
  <c r="O619" i="20"/>
  <c r="O620" i="20"/>
  <c r="O621" i="20"/>
  <c r="O622" i="20"/>
  <c r="O623" i="20"/>
  <c r="O624" i="20"/>
  <c r="O625" i="20"/>
  <c r="O626" i="20"/>
  <c r="O627" i="20"/>
  <c r="O628" i="20"/>
  <c r="O629" i="20"/>
  <c r="O630" i="20"/>
  <c r="O631" i="20"/>
  <c r="O632" i="20"/>
  <c r="O633" i="20"/>
  <c r="O634" i="20"/>
  <c r="O635" i="20"/>
  <c r="O636" i="20"/>
  <c r="O637" i="20"/>
  <c r="O638" i="20"/>
  <c r="O639" i="20"/>
  <c r="O640" i="20"/>
  <c r="O641" i="20"/>
  <c r="O642" i="20"/>
  <c r="O643" i="20"/>
  <c r="O644" i="20"/>
  <c r="O645" i="20"/>
  <c r="O646" i="20"/>
  <c r="O647" i="20"/>
  <c r="O648" i="20"/>
  <c r="O649" i="20"/>
  <c r="O650" i="20"/>
  <c r="O651" i="20"/>
  <c r="O652" i="20"/>
  <c r="O653" i="20"/>
  <c r="O654" i="20"/>
  <c r="O655" i="20"/>
  <c r="O656" i="20"/>
  <c r="O657" i="20"/>
  <c r="O658" i="20"/>
  <c r="O659" i="20"/>
  <c r="O660" i="20"/>
  <c r="O661" i="20"/>
  <c r="O662" i="20"/>
  <c r="O663" i="20"/>
  <c r="O664" i="20"/>
  <c r="O6" i="19"/>
  <c r="O7" i="19"/>
  <c r="O8" i="19"/>
  <c r="O9" i="19"/>
  <c r="O10" i="19"/>
  <c r="O11" i="19"/>
  <c r="O12" i="19"/>
  <c r="O13" i="19"/>
  <c r="O14" i="19"/>
  <c r="O15" i="19"/>
  <c r="O16" i="19"/>
  <c r="O17" i="19"/>
  <c r="O18" i="19"/>
  <c r="O19" i="19"/>
  <c r="O20" i="19"/>
  <c r="O21" i="19"/>
  <c r="O22" i="19"/>
  <c r="O23" i="19"/>
  <c r="O24" i="19"/>
  <c r="O25" i="19"/>
  <c r="O26" i="19"/>
  <c r="O27" i="19"/>
  <c r="O28" i="19"/>
  <c r="O29" i="19"/>
  <c r="O30" i="19"/>
  <c r="O31" i="19"/>
  <c r="O32" i="19"/>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80"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O137" i="19"/>
  <c r="O138" i="19"/>
  <c r="O139" i="19"/>
  <c r="O140" i="19"/>
  <c r="O141" i="19"/>
  <c r="O142" i="19"/>
  <c r="O143" i="19"/>
  <c r="O144" i="19"/>
  <c r="O145" i="19"/>
  <c r="O146" i="19"/>
  <c r="O147" i="19"/>
  <c r="O148" i="19"/>
  <c r="O149" i="19"/>
  <c r="O150" i="19"/>
  <c r="O151" i="19"/>
  <c r="O152" i="19"/>
  <c r="O153" i="19"/>
  <c r="O154" i="19"/>
  <c r="O155" i="19"/>
  <c r="O156" i="19"/>
  <c r="O157" i="19"/>
  <c r="O158" i="19"/>
  <c r="O159" i="19"/>
  <c r="O160" i="19"/>
  <c r="O161" i="19"/>
  <c r="O162" i="19"/>
  <c r="O163" i="19"/>
  <c r="O164" i="19"/>
  <c r="O165" i="19"/>
  <c r="O166" i="19"/>
  <c r="O167" i="19"/>
  <c r="O168" i="19"/>
  <c r="O169" i="19"/>
  <c r="O170" i="19"/>
  <c r="O171" i="19"/>
  <c r="O172" i="19"/>
  <c r="O173" i="19"/>
  <c r="O174" i="19"/>
  <c r="O175" i="19"/>
  <c r="O176" i="19"/>
  <c r="O177" i="19"/>
  <c r="O178" i="19"/>
  <c r="O179" i="19"/>
  <c r="O180" i="19"/>
  <c r="O181" i="19"/>
  <c r="O182" i="19"/>
  <c r="O183" i="19"/>
  <c r="O184" i="19"/>
  <c r="O185" i="19"/>
  <c r="O186" i="19"/>
  <c r="O187" i="19"/>
  <c r="O188" i="19"/>
  <c r="O6" i="18"/>
  <c r="O7" i="18"/>
  <c r="O8" i="18"/>
  <c r="O9" i="18"/>
  <c r="O10" i="18"/>
  <c r="O11" i="18"/>
  <c r="O12" i="18"/>
  <c r="O13" i="18"/>
  <c r="O14" i="18"/>
  <c r="O15"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56" i="18"/>
  <c r="O57" i="18"/>
  <c r="O58" i="18"/>
  <c r="O59" i="18"/>
  <c r="O60" i="18"/>
  <c r="O61" i="18"/>
  <c r="O62" i="18"/>
  <c r="O63" i="18"/>
  <c r="O64" i="18"/>
  <c r="O65" i="18"/>
  <c r="O66" i="18"/>
  <c r="O67" i="18"/>
  <c r="O68" i="18"/>
  <c r="O69" i="18"/>
  <c r="O70" i="18"/>
  <c r="O71" i="18"/>
  <c r="O72" i="18"/>
  <c r="O73" i="18"/>
  <c r="O74" i="18"/>
  <c r="O75" i="18"/>
  <c r="O76" i="18"/>
  <c r="O77" i="18"/>
  <c r="O78" i="18"/>
  <c r="O79" i="18"/>
  <c r="O80" i="18"/>
  <c r="O81" i="18"/>
  <c r="O82" i="18"/>
  <c r="O83" i="18"/>
  <c r="O84" i="18"/>
  <c r="O85" i="18"/>
  <c r="O86" i="18"/>
  <c r="O87" i="18"/>
  <c r="O88" i="18"/>
  <c r="O89" i="18"/>
  <c r="O90" i="18"/>
  <c r="O91" i="18"/>
  <c r="O92" i="18"/>
  <c r="O93" i="18"/>
  <c r="O94" i="18"/>
  <c r="O95" i="18"/>
  <c r="O96" i="18"/>
  <c r="O97" i="18"/>
  <c r="O98" i="18"/>
  <c r="O99" i="18"/>
  <c r="O100" i="18"/>
  <c r="O101" i="18"/>
  <c r="O102" i="18"/>
  <c r="O103" i="18"/>
  <c r="O104" i="18"/>
  <c r="O105" i="18"/>
  <c r="O106" i="18"/>
  <c r="O107" i="18"/>
  <c r="O108" i="18"/>
  <c r="O109" i="18"/>
  <c r="O110" i="18"/>
  <c r="O111" i="18"/>
  <c r="O112" i="18"/>
  <c r="O113" i="18"/>
  <c r="O114" i="18"/>
  <c r="O115" i="18"/>
  <c r="O116" i="18"/>
  <c r="O117" i="18"/>
  <c r="O118" i="18"/>
  <c r="O119" i="18"/>
  <c r="O120" i="18"/>
  <c r="O121" i="18"/>
  <c r="O122" i="18"/>
  <c r="O123" i="18"/>
  <c r="O124" i="18"/>
  <c r="O125" i="18"/>
  <c r="O126" i="18"/>
  <c r="O127" i="18"/>
  <c r="O128" i="18"/>
  <c r="O129" i="18"/>
  <c r="O130" i="18"/>
  <c r="O131" i="18"/>
  <c r="O132" i="18"/>
  <c r="O133" i="18"/>
  <c r="O134" i="18"/>
  <c r="O135" i="18"/>
  <c r="O136" i="18"/>
  <c r="O137" i="18"/>
  <c r="O138" i="18"/>
  <c r="O139" i="18"/>
  <c r="O140" i="18"/>
  <c r="O141" i="18"/>
  <c r="O142" i="18"/>
  <c r="O143" i="18"/>
  <c r="O144" i="18"/>
  <c r="O145" i="18"/>
  <c r="O146" i="18"/>
  <c r="O147" i="18"/>
  <c r="O148" i="18"/>
  <c r="O149" i="18"/>
  <c r="O150" i="18"/>
  <c r="O151" i="18"/>
  <c r="O152" i="18"/>
  <c r="O153" i="18"/>
  <c r="O154" i="18"/>
  <c r="O155" i="18"/>
  <c r="O156" i="18"/>
  <c r="O157" i="18"/>
  <c r="O158" i="18"/>
  <c r="O159" i="18"/>
  <c r="O160" i="18"/>
  <c r="O161" i="18"/>
  <c r="O162" i="18"/>
  <c r="O163" i="18"/>
  <c r="O164" i="18"/>
  <c r="O165" i="18"/>
  <c r="O166" i="18"/>
  <c r="O167" i="18"/>
  <c r="O168" i="18"/>
  <c r="O169" i="18"/>
  <c r="O170" i="18"/>
  <c r="O171" i="18"/>
  <c r="O172" i="18"/>
  <c r="O173" i="18"/>
  <c r="O174" i="18"/>
  <c r="O175" i="18"/>
  <c r="O176" i="18"/>
  <c r="O177" i="18"/>
  <c r="O178" i="18"/>
  <c r="O179" i="18"/>
  <c r="O180" i="18"/>
  <c r="O181" i="18"/>
  <c r="O182" i="18"/>
  <c r="O183" i="18"/>
  <c r="O184" i="18"/>
  <c r="O185" i="18"/>
  <c r="O186" i="18"/>
  <c r="O187" i="18"/>
  <c r="O188" i="18"/>
  <c r="O189" i="18"/>
  <c r="O190" i="18"/>
  <c r="O191" i="18"/>
  <c r="O192" i="18"/>
  <c r="O193" i="18"/>
  <c r="O194" i="18"/>
  <c r="O195" i="18"/>
  <c r="O196" i="18"/>
  <c r="O197" i="18"/>
  <c r="O198" i="18"/>
  <c r="O199" i="18"/>
  <c r="O200" i="18"/>
  <c r="O201" i="18"/>
  <c r="O202" i="18"/>
  <c r="O203" i="18"/>
  <c r="O204" i="18"/>
  <c r="O205" i="18"/>
  <c r="O206" i="18"/>
  <c r="O207" i="18"/>
  <c r="O208" i="18"/>
  <c r="O209" i="18"/>
  <c r="O210" i="18"/>
  <c r="O211" i="18"/>
  <c r="O212" i="18"/>
  <c r="O213" i="18"/>
  <c r="O214" i="18"/>
  <c r="O215" i="18"/>
  <c r="O216" i="18"/>
  <c r="O217" i="18"/>
  <c r="O218" i="18"/>
  <c r="O219" i="18"/>
  <c r="O220" i="18"/>
  <c r="O221" i="18"/>
  <c r="O222" i="18"/>
  <c r="O223" i="18"/>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O177" i="16"/>
  <c r="O178" i="16"/>
  <c r="O179" i="16"/>
  <c r="O180" i="16"/>
  <c r="O181" i="16"/>
  <c r="O182" i="16"/>
  <c r="O183" i="16"/>
  <c r="O184" i="16"/>
  <c r="O185" i="16"/>
  <c r="O186" i="16"/>
  <c r="O187" i="16"/>
  <c r="O188" i="16"/>
  <c r="O189" i="16"/>
  <c r="O190" i="16"/>
  <c r="O191" i="16"/>
  <c r="O192" i="16"/>
  <c r="O193" i="16"/>
  <c r="O194" i="16"/>
  <c r="O195" i="16"/>
  <c r="O196" i="16"/>
  <c r="O197" i="16"/>
  <c r="O198" i="16"/>
  <c r="O199" i="16"/>
  <c r="O200" i="16"/>
  <c r="O201" i="16"/>
  <c r="O202" i="16"/>
  <c r="O203" i="16"/>
  <c r="O204" i="16"/>
  <c r="O205" i="16"/>
  <c r="O206" i="16"/>
  <c r="O207" i="16"/>
  <c r="O208" i="16"/>
  <c r="O209" i="16"/>
  <c r="O210" i="16"/>
  <c r="O211" i="16"/>
  <c r="O212" i="16"/>
  <c r="O213" i="16"/>
  <c r="O214" i="16"/>
  <c r="O215" i="16"/>
  <c r="O216" i="16"/>
  <c r="O217" i="16"/>
  <c r="O218" i="16"/>
  <c r="O219" i="16"/>
  <c r="O220" i="16"/>
  <c r="O221" i="16"/>
  <c r="O222" i="16"/>
  <c r="O223" i="16"/>
  <c r="O224" i="16"/>
  <c r="O225" i="16"/>
  <c r="O226" i="16"/>
  <c r="O227" i="16"/>
  <c r="O228" i="16"/>
  <c r="O229" i="16"/>
  <c r="O230" i="16"/>
  <c r="O231" i="16"/>
  <c r="O232" i="16"/>
  <c r="O233" i="16"/>
  <c r="O234" i="16"/>
  <c r="O235" i="16"/>
  <c r="O236" i="16"/>
  <c r="O237" i="16"/>
  <c r="O238" i="16"/>
  <c r="O239" i="16"/>
  <c r="O240" i="16"/>
  <c r="O241" i="16"/>
  <c r="O242" i="16"/>
  <c r="O243" i="16"/>
  <c r="O244" i="16"/>
  <c r="O245" i="16"/>
  <c r="O246" i="16"/>
  <c r="O247" i="16"/>
  <c r="O248" i="16"/>
  <c r="O249" i="16"/>
  <c r="O250" i="16"/>
  <c r="O251" i="16"/>
  <c r="O252" i="16"/>
  <c r="O253" i="16"/>
  <c r="O254" i="16"/>
  <c r="O255" i="16"/>
  <c r="O256" i="16"/>
  <c r="O257" i="16"/>
  <c r="O258" i="16"/>
  <c r="O259" i="16"/>
  <c r="O260" i="16"/>
  <c r="O261" i="16"/>
  <c r="O262" i="16"/>
  <c r="O263" i="16"/>
  <c r="O264" i="16"/>
  <c r="O265" i="16"/>
  <c r="O266" i="16"/>
  <c r="O267" i="16"/>
  <c r="O268" i="16"/>
  <c r="O269" i="16"/>
  <c r="O270" i="16"/>
  <c r="O271" i="16"/>
  <c r="O272" i="16"/>
  <c r="O273" i="16"/>
  <c r="O274" i="16"/>
  <c r="O275" i="16"/>
  <c r="O276" i="16"/>
  <c r="O277" i="16"/>
  <c r="O278" i="16"/>
  <c r="O279" i="16"/>
  <c r="O280" i="16"/>
  <c r="O281" i="16"/>
  <c r="O282" i="16"/>
  <c r="O283" i="16"/>
  <c r="O284" i="16"/>
  <c r="O285" i="16"/>
  <c r="O286" i="16"/>
  <c r="O287" i="16"/>
  <c r="O288" i="16"/>
  <c r="O289" i="16"/>
  <c r="O290" i="16"/>
  <c r="O291" i="16"/>
  <c r="O292" i="16"/>
  <c r="O293" i="16"/>
  <c r="O294" i="16"/>
  <c r="O295" i="16"/>
  <c r="O296" i="16"/>
  <c r="O297" i="16"/>
  <c r="O298" i="16"/>
  <c r="O299" i="16"/>
  <c r="O300" i="16"/>
  <c r="O301" i="16"/>
  <c r="O302" i="16"/>
  <c r="O303" i="16"/>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H664" i="20"/>
  <c r="H663" i="20"/>
  <c r="H662" i="20"/>
  <c r="H661" i="20"/>
  <c r="H660" i="20"/>
  <c r="H659" i="20"/>
  <c r="H658" i="20"/>
  <c r="H657" i="20"/>
  <c r="H656" i="20"/>
  <c r="H655" i="20"/>
  <c r="H654" i="20"/>
  <c r="H653" i="20"/>
  <c r="H652" i="20"/>
  <c r="H651" i="20"/>
  <c r="H650" i="20"/>
  <c r="H649" i="20"/>
  <c r="H648" i="20"/>
  <c r="H647" i="20"/>
  <c r="H646" i="20"/>
  <c r="H645" i="20"/>
  <c r="H644" i="20"/>
  <c r="H643" i="20"/>
  <c r="H642" i="20"/>
  <c r="H641" i="20"/>
  <c r="H640" i="20"/>
  <c r="H639" i="20"/>
  <c r="H638" i="20"/>
  <c r="H637" i="20"/>
  <c r="H636" i="20"/>
  <c r="H635" i="20"/>
  <c r="H634" i="20"/>
  <c r="H633" i="20"/>
  <c r="H632" i="20"/>
  <c r="H631" i="20"/>
  <c r="H630" i="20"/>
  <c r="H629" i="20"/>
  <c r="H628" i="20"/>
  <c r="H627" i="20"/>
  <c r="H626" i="20"/>
  <c r="H625" i="20"/>
  <c r="H624" i="20"/>
  <c r="H623" i="20"/>
  <c r="H622" i="20"/>
  <c r="H621" i="20"/>
  <c r="H620" i="20"/>
  <c r="H619" i="20"/>
  <c r="H618" i="20"/>
  <c r="H617" i="20"/>
  <c r="H616" i="20"/>
  <c r="H615" i="20"/>
  <c r="H614" i="20"/>
  <c r="H613" i="20"/>
  <c r="H612" i="20"/>
  <c r="H611" i="20"/>
  <c r="H610" i="20"/>
  <c r="H609" i="20"/>
  <c r="H608" i="20"/>
  <c r="H607" i="20"/>
  <c r="H606" i="20"/>
  <c r="H605" i="20"/>
  <c r="H604" i="20"/>
  <c r="H603" i="20"/>
  <c r="H602" i="20"/>
  <c r="H601" i="20"/>
  <c r="H600" i="20"/>
  <c r="H599" i="20"/>
  <c r="H598" i="20"/>
  <c r="H597" i="20"/>
  <c r="H596" i="20"/>
  <c r="H595"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H547" i="20"/>
  <c r="H546" i="20"/>
  <c r="H545" i="20"/>
  <c r="H544"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94" i="20"/>
  <c r="H493" i="20"/>
  <c r="H492" i="20"/>
  <c r="H491" i="20"/>
  <c r="H490" i="20"/>
  <c r="H489" i="20"/>
  <c r="H488" i="20"/>
  <c r="H487" i="20"/>
  <c r="H486"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H441" i="20"/>
  <c r="H440" i="20"/>
  <c r="H439" i="20"/>
  <c r="H438" i="20"/>
  <c r="H437" i="20"/>
  <c r="H436" i="20"/>
  <c r="H435" i="20"/>
  <c r="H434" i="20"/>
  <c r="H433" i="20"/>
  <c r="H432" i="20"/>
  <c r="H431" i="20"/>
  <c r="H430" i="20"/>
  <c r="H429" i="20"/>
  <c r="H428" i="20"/>
  <c r="H427" i="20"/>
  <c r="H426" i="20"/>
  <c r="H425" i="20"/>
  <c r="H424" i="20"/>
  <c r="H423" i="20"/>
  <c r="H422" i="20"/>
  <c r="H421" i="20"/>
  <c r="H420" i="20"/>
  <c r="H419" i="20"/>
  <c r="H418" i="20"/>
  <c r="H417"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7" i="20"/>
  <c r="H326" i="20"/>
  <c r="H325" i="20"/>
  <c r="H324"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80" i="20"/>
  <c r="H279" i="20"/>
  <c r="H278" i="20"/>
  <c r="H277" i="20"/>
  <c r="H276" i="20"/>
  <c r="H275" i="20"/>
  <c r="H274" i="20"/>
  <c r="H273" i="20"/>
  <c r="H272" i="20"/>
  <c r="H271" i="20"/>
  <c r="H270" i="20"/>
  <c r="H269" i="20"/>
  <c r="H268" i="20"/>
  <c r="H267"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H238" i="20"/>
  <c r="H237" i="20"/>
  <c r="H236" i="20"/>
  <c r="H235" i="20"/>
  <c r="H234" i="20"/>
  <c r="H233" i="20"/>
  <c r="H232" i="20"/>
  <c r="H231" i="20"/>
  <c r="H230"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H137" i="20"/>
  <c r="H136" i="20"/>
  <c r="H135" i="20"/>
  <c r="H134" i="20"/>
  <c r="H133" i="20"/>
  <c r="H132" i="20"/>
  <c r="H131" i="20"/>
  <c r="H130" i="20"/>
  <c r="H129" i="20"/>
  <c r="H128" i="20"/>
  <c r="H127" i="20"/>
  <c r="H126" i="20"/>
  <c r="H125" i="20"/>
  <c r="H124" i="20"/>
  <c r="H123" i="20"/>
  <c r="H122" i="20"/>
  <c r="H121" i="20"/>
  <c r="H120" i="20"/>
  <c r="H119" i="20"/>
  <c r="H118" i="20"/>
  <c r="H117" i="20"/>
  <c r="H116" i="20"/>
  <c r="H115" i="20"/>
  <c r="H114" i="20"/>
  <c r="H113" i="20"/>
  <c r="H112" i="20"/>
  <c r="H111" i="20"/>
  <c r="H110" i="20"/>
  <c r="H109" i="20"/>
  <c r="H108" i="20"/>
  <c r="H107" i="20"/>
  <c r="H106" i="20"/>
  <c r="H105" i="20"/>
  <c r="H104" i="20"/>
  <c r="H103" i="20"/>
  <c r="H102" i="20"/>
  <c r="H101" i="20"/>
  <c r="H100" i="20"/>
  <c r="H99" i="20"/>
  <c r="H98" i="20"/>
  <c r="H97" i="20"/>
  <c r="H96" i="20"/>
  <c r="H95" i="20"/>
  <c r="H94" i="20"/>
  <c r="H93" i="20"/>
  <c r="H92" i="20"/>
  <c r="H91" i="20"/>
  <c r="H90" i="20"/>
  <c r="H89" i="20"/>
  <c r="H88" i="20"/>
  <c r="H87" i="20"/>
  <c r="H86" i="20"/>
  <c r="H85" i="20"/>
  <c r="H84" i="20"/>
  <c r="H83" i="20"/>
  <c r="H82" i="20"/>
  <c r="H81" i="20"/>
  <c r="H80" i="20"/>
  <c r="H79" i="20"/>
  <c r="H78" i="20"/>
  <c r="H77" i="20"/>
  <c r="H76" i="20"/>
  <c r="H75" i="20"/>
  <c r="H74" i="20"/>
  <c r="H73" i="20"/>
  <c r="H72" i="20"/>
  <c r="H71" i="20"/>
  <c r="H70" i="20"/>
  <c r="H69" i="20"/>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20"/>
  <c r="H9" i="20"/>
  <c r="H8" i="20"/>
  <c r="H7" i="20"/>
  <c r="H6" i="20"/>
  <c r="H188" i="19"/>
  <c r="H187" i="19"/>
  <c r="H186" i="19"/>
  <c r="H185" i="19"/>
  <c r="H184" i="19"/>
  <c r="H183" i="19"/>
  <c r="H182" i="19"/>
  <c r="H181" i="19"/>
  <c r="H180" i="19"/>
  <c r="H179" i="19"/>
  <c r="H178" i="19"/>
  <c r="H177" i="19"/>
  <c r="H176" i="19"/>
  <c r="H175" i="19"/>
  <c r="H174" i="19"/>
  <c r="H173" i="19"/>
  <c r="H172" i="19"/>
  <c r="H171" i="19"/>
  <c r="H170" i="19"/>
  <c r="H169" i="19"/>
  <c r="H168" i="19"/>
  <c r="H167" i="19"/>
  <c r="H166" i="19"/>
  <c r="H165" i="19"/>
  <c r="H164" i="19"/>
  <c r="H163" i="19"/>
  <c r="H162" i="19"/>
  <c r="H161" i="19"/>
  <c r="H160" i="19"/>
  <c r="H159" i="19"/>
  <c r="H158" i="19"/>
  <c r="H157" i="19"/>
  <c r="H156" i="19"/>
  <c r="H155" i="19"/>
  <c r="H154" i="19"/>
  <c r="H153" i="19"/>
  <c r="H152"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223" i="18"/>
  <c r="H222" i="18"/>
  <c r="H221" i="18"/>
  <c r="H220" i="18"/>
  <c r="H219" i="18"/>
  <c r="H218" i="18"/>
  <c r="H217" i="18"/>
  <c r="H216" i="18"/>
  <c r="H215" i="18"/>
  <c r="H214" i="18"/>
  <c r="H213" i="18"/>
  <c r="H212" i="18"/>
  <c r="H211" i="18"/>
  <c r="H210" i="18"/>
  <c r="H209" i="18"/>
  <c r="H208" i="18"/>
  <c r="H207" i="18"/>
  <c r="H206" i="18"/>
  <c r="H205" i="18"/>
  <c r="H204" i="18"/>
  <c r="H203" i="18"/>
  <c r="H202" i="18"/>
  <c r="H201" i="18"/>
  <c r="H200" i="18"/>
  <c r="H199" i="18"/>
  <c r="H198" i="18"/>
  <c r="H197" i="18"/>
  <c r="H196" i="18"/>
  <c r="H195" i="18"/>
  <c r="H194" i="18"/>
  <c r="H193" i="18"/>
  <c r="H192" i="18"/>
  <c r="H191" i="18"/>
  <c r="H190" i="18"/>
  <c r="H189" i="18"/>
  <c r="H188" i="18"/>
  <c r="H187" i="18"/>
  <c r="H186" i="18"/>
  <c r="H185" i="18"/>
  <c r="H184" i="18"/>
  <c r="H183" i="18"/>
  <c r="H182" i="18"/>
  <c r="H181" i="18"/>
  <c r="H180" i="18"/>
  <c r="H179" i="18"/>
  <c r="H178" i="18"/>
  <c r="H177" i="18"/>
  <c r="H176" i="18"/>
  <c r="H175" i="18"/>
  <c r="H174" i="18"/>
  <c r="H173" i="18"/>
  <c r="H172" i="18"/>
  <c r="H171" i="18"/>
  <c r="H170" i="18"/>
  <c r="H169" i="18"/>
  <c r="H168" i="18"/>
  <c r="H167" i="18"/>
  <c r="H166" i="18"/>
  <c r="H165" i="18"/>
  <c r="H164" i="18"/>
  <c r="H163" i="18"/>
  <c r="H162" i="18"/>
  <c r="H161" i="18"/>
  <c r="H160" i="18"/>
  <c r="H159" i="18"/>
  <c r="H158" i="18"/>
  <c r="H157" i="18"/>
  <c r="H156" i="18"/>
  <c r="H155" i="18"/>
  <c r="H154" i="18"/>
  <c r="H153" i="18"/>
  <c r="H152" i="18"/>
  <c r="H151" i="18"/>
  <c r="H150" i="18"/>
  <c r="H149" i="18"/>
  <c r="H148" i="18"/>
  <c r="H147" i="18"/>
  <c r="H146" i="18"/>
  <c r="H145" i="18"/>
  <c r="H144" i="18"/>
  <c r="H143" i="18"/>
  <c r="H142" i="18"/>
  <c r="H141" i="18"/>
  <c r="H140" i="18"/>
  <c r="H139" i="18"/>
  <c r="H138" i="18"/>
  <c r="H137" i="18"/>
  <c r="H136" i="18"/>
  <c r="H135" i="18"/>
  <c r="H134" i="18"/>
  <c r="H133" i="18"/>
  <c r="H132" i="18"/>
  <c r="H131" i="18"/>
  <c r="H130" i="18"/>
  <c r="H129" i="18"/>
  <c r="H128" i="18"/>
  <c r="H127" i="18"/>
  <c r="H126" i="18"/>
  <c r="H125" i="18"/>
  <c r="H124" i="18"/>
  <c r="H123" i="18"/>
  <c r="H122" i="18"/>
  <c r="H121" i="18"/>
  <c r="H120" i="18"/>
  <c r="H119" i="18"/>
  <c r="H118" i="18"/>
  <c r="H117" i="18"/>
  <c r="H116" i="18"/>
  <c r="H115" i="18"/>
  <c r="H114" i="18"/>
  <c r="H113" i="18"/>
  <c r="H112" i="18"/>
  <c r="H111" i="18"/>
  <c r="H110" i="18"/>
  <c r="H109" i="18"/>
  <c r="H108" i="18"/>
  <c r="H107" i="18"/>
  <c r="H106" i="18"/>
  <c r="H105" i="18"/>
  <c r="H104" i="18"/>
  <c r="H103" i="18"/>
  <c r="H102" i="18"/>
  <c r="H101" i="18"/>
  <c r="H100" i="18"/>
  <c r="H99" i="18"/>
  <c r="H98" i="18"/>
  <c r="H97" i="18"/>
  <c r="H96" i="18"/>
  <c r="H95" i="18"/>
  <c r="H94" i="18"/>
  <c r="H93" i="18"/>
  <c r="H92" i="18"/>
  <c r="H91" i="18"/>
  <c r="H90" i="18"/>
  <c r="H89" i="18"/>
  <c r="H88" i="18"/>
  <c r="H87" i="18"/>
  <c r="H86" i="18"/>
  <c r="H85" i="18"/>
  <c r="H84" i="18"/>
  <c r="H83" i="18"/>
  <c r="H82" i="18"/>
  <c r="H81" i="18"/>
  <c r="H80" i="18"/>
  <c r="H79" i="18"/>
  <c r="H78" i="18"/>
  <c r="H77" i="18"/>
  <c r="H76" i="18"/>
  <c r="H75" i="18"/>
  <c r="H74" i="18"/>
  <c r="H73" i="18"/>
  <c r="H72" i="18"/>
  <c r="H71" i="18"/>
  <c r="H70" i="18"/>
  <c r="H69" i="18"/>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10" i="18"/>
  <c r="H9" i="18"/>
  <c r="H8" i="18"/>
  <c r="H7" i="18"/>
  <c r="H6" i="18"/>
  <c r="H303" i="16"/>
  <c r="H302" i="16"/>
  <c r="H301" i="16"/>
  <c r="H300" i="16"/>
  <c r="H299" i="16"/>
  <c r="H298" i="16"/>
  <c r="H297" i="16"/>
  <c r="H296" i="16"/>
  <c r="H295" i="16"/>
  <c r="H294" i="16"/>
  <c r="H293" i="16"/>
  <c r="H292" i="16"/>
  <c r="H291" i="16"/>
  <c r="H290" i="16"/>
  <c r="H289" i="16"/>
  <c r="H288" i="16"/>
  <c r="H287" i="16"/>
  <c r="H286" i="16"/>
  <c r="H285" i="16"/>
  <c r="H284" i="16"/>
  <c r="H283" i="16"/>
  <c r="H282" i="16"/>
  <c r="H281" i="16"/>
  <c r="H280" i="16"/>
  <c r="H279" i="16"/>
  <c r="H278" i="16"/>
  <c r="H277" i="16"/>
  <c r="H276" i="16"/>
  <c r="H275" i="16"/>
  <c r="H274" i="16"/>
  <c r="H273" i="16"/>
  <c r="H272" i="16"/>
  <c r="H271" i="16"/>
  <c r="H270" i="16"/>
  <c r="H269" i="16"/>
  <c r="H268" i="16"/>
  <c r="H267" i="16"/>
  <c r="H266" i="16"/>
  <c r="H265" i="16"/>
  <c r="H264" i="16"/>
  <c r="H263" i="16"/>
  <c r="H262" i="16"/>
  <c r="H261" i="16"/>
  <c r="H260" i="16"/>
  <c r="H259" i="16"/>
  <c r="H258" i="16"/>
  <c r="H257" i="16"/>
  <c r="H256" i="16"/>
  <c r="H255" i="16"/>
  <c r="H254" i="16"/>
  <c r="H253" i="16"/>
  <c r="H252" i="16"/>
  <c r="H251" i="16"/>
  <c r="H250" i="16"/>
  <c r="H249" i="16"/>
  <c r="H248" i="16"/>
  <c r="H247" i="16"/>
  <c r="H246" i="16"/>
  <c r="H245" i="16"/>
  <c r="H244" i="16"/>
  <c r="H243" i="16"/>
  <c r="H242" i="16"/>
  <c r="H241" i="16"/>
  <c r="H240" i="16"/>
  <c r="H239" i="16"/>
  <c r="H238" i="16"/>
  <c r="H237" i="16"/>
  <c r="H236" i="16"/>
  <c r="H235" i="16"/>
  <c r="H234" i="16"/>
  <c r="H233" i="16"/>
  <c r="H232" i="16"/>
  <c r="H231" i="16"/>
  <c r="H230" i="16"/>
  <c r="H229" i="16"/>
  <c r="H228" i="16"/>
  <c r="H227" i="16"/>
  <c r="H226" i="16"/>
  <c r="H225" i="16"/>
  <c r="H224" i="16"/>
  <c r="H223" i="16"/>
  <c r="H222" i="16"/>
  <c r="H221" i="16"/>
  <c r="H220" i="16"/>
  <c r="H219" i="16"/>
  <c r="H218" i="16"/>
  <c r="H217" i="16"/>
  <c r="H216" i="16"/>
  <c r="H215" i="16"/>
  <c r="H214" i="16"/>
  <c r="H213" i="16"/>
  <c r="H212" i="16"/>
  <c r="H211" i="16"/>
  <c r="H210" i="16"/>
  <c r="H209" i="16"/>
  <c r="H208" i="16"/>
  <c r="H207" i="16"/>
  <c r="H206" i="16"/>
  <c r="H205" i="16"/>
  <c r="H204" i="16"/>
  <c r="H203" i="16"/>
  <c r="H202" i="16"/>
  <c r="H201" i="16"/>
  <c r="H200" i="16"/>
  <c r="H199" i="16"/>
  <c r="H198" i="16"/>
  <c r="H197" i="16"/>
  <c r="H196" i="16"/>
  <c r="H195" i="16"/>
  <c r="H194" i="16"/>
  <c r="H193" i="16"/>
  <c r="H192" i="16"/>
  <c r="H191" i="16"/>
  <c r="H190" i="16"/>
  <c r="H189" i="16"/>
  <c r="H188" i="16"/>
  <c r="H187" i="16"/>
  <c r="H186" i="16"/>
  <c r="H185" i="16"/>
  <c r="H184" i="16"/>
  <c r="H183" i="16"/>
  <c r="H182" i="16"/>
  <c r="H181" i="16"/>
  <c r="H180" i="16"/>
  <c r="H179" i="16"/>
  <c r="H178" i="16"/>
  <c r="H177" i="16"/>
  <c r="H176" i="16"/>
  <c r="H175" i="16"/>
  <c r="H174" i="16"/>
  <c r="H173" i="16"/>
  <c r="H172" i="16"/>
  <c r="H171" i="16"/>
  <c r="H170" i="16"/>
  <c r="H169" i="16"/>
  <c r="H168" i="16"/>
  <c r="H167" i="16"/>
  <c r="H166" i="16"/>
  <c r="H165" i="16"/>
  <c r="H164" i="16"/>
  <c r="H163" i="16"/>
  <c r="H162" i="16"/>
  <c r="H161" i="16"/>
  <c r="H160" i="16"/>
  <c r="H159" i="16"/>
  <c r="H158" i="16"/>
  <c r="H157" i="16"/>
  <c r="H156" i="16"/>
  <c r="H155" i="16"/>
  <c r="H154" i="16"/>
  <c r="H153" i="16"/>
  <c r="H152" i="16"/>
  <c r="H151" i="16"/>
  <c r="H150" i="16"/>
  <c r="H149" i="16"/>
  <c r="H148" i="16"/>
  <c r="H147" i="16"/>
  <c r="H146" i="16"/>
  <c r="H145" i="16"/>
  <c r="H144" i="16"/>
  <c r="H143" i="16"/>
  <c r="H142" i="16"/>
  <c r="H141" i="16"/>
  <c r="H140" i="16"/>
  <c r="H139" i="16"/>
  <c r="H138" i="16"/>
  <c r="H137" i="16"/>
  <c r="H136" i="16"/>
  <c r="H135" i="16"/>
  <c r="H134" i="16"/>
  <c r="H133" i="16"/>
  <c r="H132" i="16"/>
  <c r="H131" i="16"/>
  <c r="H130" i="16"/>
  <c r="H129" i="16"/>
  <c r="H128" i="16"/>
  <c r="H127" i="16"/>
  <c r="H126" i="16"/>
  <c r="H125" i="16"/>
  <c r="H124" i="16"/>
  <c r="H123" i="16"/>
  <c r="H122" i="16"/>
  <c r="H121" i="16"/>
  <c r="H120" i="16"/>
  <c r="H119" i="16"/>
  <c r="H118" i="16"/>
  <c r="H117" i="16"/>
  <c r="H116" i="16"/>
  <c r="H115" i="16"/>
  <c r="H114" i="16"/>
  <c r="H113" i="16"/>
  <c r="H112" i="16"/>
  <c r="H111" i="16"/>
  <c r="H110" i="16"/>
  <c r="H109" i="16"/>
  <c r="H108" i="16"/>
  <c r="H107" i="16"/>
  <c r="H106" i="16"/>
  <c r="H105" i="16"/>
  <c r="H104" i="16"/>
  <c r="H103" i="16"/>
  <c r="H102" i="16"/>
  <c r="H101" i="16"/>
  <c r="H100" i="16"/>
  <c r="H99" i="16"/>
  <c r="H98" i="16"/>
  <c r="H97" i="16"/>
  <c r="H96" i="16"/>
  <c r="H95" i="16"/>
  <c r="H94" i="16"/>
  <c r="H93" i="16"/>
  <c r="H92" i="16"/>
  <c r="H91" i="16"/>
  <c r="H90" i="16"/>
  <c r="H89" i="16"/>
  <c r="H88" i="16"/>
  <c r="H87" i="16"/>
  <c r="H86" i="16"/>
  <c r="H85" i="16"/>
  <c r="H84" i="16"/>
  <c r="H83" i="16"/>
  <c r="H82" i="16"/>
  <c r="H81" i="16"/>
  <c r="H80" i="16"/>
  <c r="H79" i="16"/>
  <c r="H78" i="16"/>
  <c r="H77" i="16"/>
  <c r="H76" i="16"/>
  <c r="H75" i="16"/>
  <c r="H74" i="16"/>
  <c r="H73" i="16"/>
  <c r="H72" i="16"/>
  <c r="H71" i="16"/>
  <c r="H70" i="16"/>
  <c r="H69" i="16"/>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10" i="16"/>
  <c r="H9" i="16"/>
  <c r="H8" i="16"/>
  <c r="H7" i="16"/>
  <c r="H6" i="16"/>
  <c r="H320" i="15"/>
  <c r="H319" i="15"/>
  <c r="H318" i="15"/>
  <c r="H317" i="15"/>
  <c r="H313" i="15"/>
  <c r="H312" i="15"/>
  <c r="H311" i="15"/>
  <c r="H310" i="15"/>
  <c r="H309" i="15"/>
  <c r="H308" i="15"/>
  <c r="H307" i="15"/>
  <c r="H306" i="15"/>
  <c r="H305" i="15"/>
  <c r="H304" i="15"/>
  <c r="H303" i="15"/>
  <c r="H302" i="15"/>
  <c r="H301" i="15"/>
  <c r="H300" i="15"/>
  <c r="H299" i="15"/>
  <c r="H298" i="15"/>
  <c r="H297" i="15"/>
  <c r="H296" i="15"/>
  <c r="H295" i="15"/>
  <c r="H294" i="15"/>
  <c r="H293" i="15"/>
  <c r="H292" i="15"/>
  <c r="H291" i="15"/>
  <c r="H290" i="15"/>
  <c r="H289" i="15"/>
  <c r="H288" i="15"/>
  <c r="H287" i="15"/>
  <c r="H286" i="15"/>
  <c r="H285" i="15"/>
  <c r="H284" i="15"/>
  <c r="H283" i="15"/>
  <c r="H282" i="15"/>
  <c r="H281" i="15"/>
  <c r="H280" i="15"/>
  <c r="H279" i="15"/>
  <c r="H278" i="15"/>
  <c r="H277" i="15"/>
  <c r="H276" i="15"/>
  <c r="H275" i="15"/>
  <c r="H274" i="15"/>
  <c r="H273" i="15"/>
  <c r="H272" i="15"/>
  <c r="H271" i="15"/>
  <c r="H270" i="15"/>
  <c r="H269" i="15"/>
  <c r="H268" i="15"/>
  <c r="H267" i="15"/>
  <c r="H266" i="15"/>
  <c r="H265" i="15"/>
  <c r="H264" i="15"/>
  <c r="H263" i="15"/>
  <c r="H262" i="15"/>
  <c r="H261" i="15"/>
  <c r="H260" i="15"/>
  <c r="H259" i="15"/>
  <c r="H258" i="15"/>
  <c r="H257" i="15"/>
  <c r="H256" i="15"/>
  <c r="H255" i="15"/>
  <c r="H254" i="15"/>
  <c r="H253" i="15"/>
  <c r="H252" i="15"/>
  <c r="H251" i="15"/>
  <c r="H250" i="15"/>
  <c r="H249" i="15"/>
  <c r="H248" i="15"/>
  <c r="H247" i="15"/>
  <c r="H246" i="15"/>
  <c r="H245" i="15"/>
  <c r="H244" i="15"/>
  <c r="H243" i="15"/>
  <c r="H242" i="15"/>
  <c r="H241" i="15"/>
  <c r="H240" i="15"/>
  <c r="H239" i="15"/>
  <c r="H238" i="15"/>
  <c r="H237" i="15"/>
  <c r="H236" i="15"/>
  <c r="H235" i="15"/>
  <c r="H234" i="15"/>
  <c r="H233" i="15"/>
  <c r="H232" i="15"/>
  <c r="H231" i="15"/>
  <c r="H230" i="15"/>
  <c r="H229" i="15"/>
  <c r="H228" i="15"/>
  <c r="H227" i="15"/>
  <c r="H226" i="15"/>
  <c r="H225" i="15"/>
  <c r="H224" i="15"/>
  <c r="H223" i="15"/>
  <c r="H222" i="15"/>
  <c r="H221" i="15"/>
  <c r="H220" i="15"/>
  <c r="H219" i="15"/>
  <c r="H218" i="15"/>
  <c r="H217" i="15"/>
  <c r="H216" i="15"/>
  <c r="H215" i="15"/>
  <c r="H214" i="15"/>
  <c r="H213" i="15"/>
  <c r="H212" i="15"/>
  <c r="H211" i="15"/>
  <c r="H210" i="15"/>
  <c r="H209" i="15"/>
  <c r="H208" i="15"/>
  <c r="H207" i="15"/>
  <c r="H206" i="15"/>
  <c r="H205" i="15"/>
  <c r="H204" i="15"/>
  <c r="H203" i="15"/>
  <c r="H202" i="15"/>
  <c r="H201" i="15"/>
  <c r="H200" i="15"/>
  <c r="H199" i="15"/>
  <c r="H198" i="15"/>
  <c r="H197" i="15"/>
  <c r="H196" i="15"/>
  <c r="H195" i="15"/>
  <c r="H194" i="15"/>
  <c r="H193" i="15"/>
  <c r="H192" i="15"/>
  <c r="H191" i="15"/>
  <c r="H190" i="15"/>
  <c r="H189" i="15"/>
  <c r="H188" i="15"/>
  <c r="H187" i="15"/>
  <c r="H186" i="15"/>
  <c r="H185" i="15"/>
  <c r="H184" i="15"/>
  <c r="H183" i="15"/>
  <c r="H182" i="15"/>
  <c r="H181" i="15"/>
  <c r="H180" i="15"/>
  <c r="H179" i="15"/>
  <c r="H178" i="15"/>
  <c r="H177" i="15"/>
  <c r="H176" i="15"/>
  <c r="H175" i="15"/>
  <c r="H174" i="15"/>
  <c r="H173" i="15"/>
  <c r="H172" i="15"/>
  <c r="H171" i="15"/>
  <c r="H170" i="15"/>
  <c r="H169" i="15"/>
  <c r="H168" i="15"/>
  <c r="H167" i="15"/>
  <c r="H166" i="15"/>
  <c r="H165" i="15"/>
  <c r="H164" i="15"/>
  <c r="H163" i="15"/>
  <c r="H162" i="15"/>
  <c r="H161" i="15"/>
  <c r="H160" i="15"/>
  <c r="H159" i="15"/>
  <c r="H158" i="15"/>
  <c r="H157" i="15"/>
  <c r="H156" i="15"/>
  <c r="H155" i="15"/>
  <c r="H154" i="15"/>
  <c r="H153" i="15"/>
  <c r="H152" i="15"/>
  <c r="H151" i="15"/>
  <c r="H150" i="15"/>
  <c r="H149" i="15"/>
  <c r="H148" i="15"/>
  <c r="H147" i="15"/>
  <c r="H146" i="15"/>
  <c r="H145" i="15"/>
  <c r="H144" i="15"/>
  <c r="H143" i="15"/>
  <c r="H142" i="15"/>
  <c r="H141" i="15"/>
  <c r="H140" i="15"/>
  <c r="H139" i="15"/>
  <c r="H138" i="15"/>
  <c r="H137" i="15"/>
  <c r="H136" i="15"/>
  <c r="H135" i="15"/>
  <c r="H134" i="15"/>
  <c r="H133" i="15"/>
  <c r="H132" i="15"/>
  <c r="H131" i="15"/>
  <c r="H130" i="15"/>
  <c r="H129" i="15"/>
  <c r="H128" i="15"/>
  <c r="H127" i="15"/>
  <c r="H126" i="15"/>
  <c r="H125" i="15"/>
  <c r="H124" i="15"/>
  <c r="H123" i="15"/>
  <c r="H122" i="15"/>
  <c r="H121" i="15"/>
  <c r="H120" i="15"/>
  <c r="H119" i="15"/>
  <c r="H118" i="15"/>
  <c r="H117" i="15"/>
  <c r="H116" i="15"/>
  <c r="H115" i="15"/>
  <c r="H114" i="15"/>
  <c r="H113" i="15"/>
  <c r="H112" i="15"/>
  <c r="H111" i="15"/>
  <c r="H110" i="15"/>
  <c r="H109" i="15"/>
  <c r="H108" i="15"/>
  <c r="H107" i="15"/>
  <c r="H106" i="15"/>
  <c r="H105" i="15"/>
  <c r="H104" i="15"/>
  <c r="H103" i="15"/>
  <c r="H102" i="15"/>
  <c r="H101" i="15"/>
  <c r="H100" i="15"/>
  <c r="H99" i="15"/>
  <c r="H98" i="15"/>
  <c r="H97" i="15"/>
  <c r="H96" i="15"/>
  <c r="H95" i="15"/>
  <c r="H94" i="15"/>
  <c r="H93" i="15"/>
  <c r="H92" i="15"/>
  <c r="H91" i="15"/>
  <c r="H90" i="15"/>
  <c r="H89" i="15"/>
  <c r="H88" i="15"/>
  <c r="H87" i="15"/>
  <c r="H86" i="15"/>
  <c r="H85" i="15"/>
  <c r="H84" i="15"/>
  <c r="H83" i="15"/>
  <c r="H82" i="15"/>
  <c r="H81" i="15"/>
  <c r="H80" i="15"/>
  <c r="H79" i="15"/>
  <c r="H78" i="15"/>
  <c r="H77" i="15"/>
  <c r="H76" i="15"/>
  <c r="H75" i="15"/>
  <c r="H74" i="15"/>
  <c r="H73" i="15"/>
  <c r="H72" i="15"/>
  <c r="H71" i="15"/>
  <c r="H70" i="15"/>
  <c r="H69" i="15"/>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10" i="15"/>
  <c r="H9" i="15"/>
  <c r="H8" i="15"/>
  <c r="H7" i="15"/>
  <c r="H6" i="15"/>
  <c r="I164" i="13"/>
  <c r="I163" i="13"/>
  <c r="I162" i="13"/>
  <c r="I161" i="13"/>
  <c r="I160" i="13"/>
  <c r="I159" i="13"/>
  <c r="I158" i="13"/>
  <c r="I156" i="13"/>
  <c r="I155" i="13"/>
  <c r="I154" i="13"/>
  <c r="I153" i="13"/>
  <c r="I151" i="13"/>
  <c r="I150" i="13"/>
  <c r="I149" i="13"/>
  <c r="I148" i="13"/>
  <c r="I147" i="13"/>
  <c r="I146" i="13"/>
  <c r="I144" i="13"/>
  <c r="I143" i="13"/>
  <c r="I142" i="13"/>
  <c r="I141" i="13"/>
  <c r="I140" i="13"/>
  <c r="I139" i="13"/>
  <c r="I138" i="13"/>
  <c r="I137" i="13"/>
  <c r="I135" i="13"/>
  <c r="I134" i="13"/>
  <c r="I133" i="13"/>
  <c r="I132" i="13"/>
  <c r="I131" i="13"/>
  <c r="I130" i="13"/>
  <c r="I129" i="13"/>
  <c r="I128" i="13"/>
  <c r="I127" i="13"/>
  <c r="I126" i="13"/>
  <c r="I125" i="13"/>
  <c r="I123" i="13"/>
  <c r="I122" i="13"/>
  <c r="I121" i="13"/>
  <c r="I120" i="13"/>
  <c r="I119" i="13"/>
  <c r="I118" i="13"/>
  <c r="I117" i="13"/>
  <c r="I116" i="13"/>
  <c r="I115" i="13"/>
  <c r="I114" i="13"/>
  <c r="I113" i="13"/>
  <c r="I111" i="13"/>
  <c r="I110" i="13"/>
  <c r="I109" i="13"/>
  <c r="I108" i="13"/>
  <c r="I107" i="13"/>
  <c r="I106" i="13"/>
  <c r="I104" i="13"/>
  <c r="I103" i="13"/>
  <c r="I102" i="13"/>
  <c r="I101" i="13"/>
  <c r="I100" i="13"/>
  <c r="I99" i="13"/>
  <c r="I98" i="13"/>
  <c r="I97" i="13"/>
  <c r="I96" i="13"/>
  <c r="I95" i="13"/>
  <c r="I94" i="13"/>
  <c r="I92" i="13"/>
  <c r="I91" i="13"/>
  <c r="I90" i="13"/>
  <c r="I89" i="13"/>
  <c r="I88" i="13"/>
  <c r="I87" i="13"/>
  <c r="I86" i="13"/>
  <c r="I85" i="13"/>
  <c r="I84" i="13"/>
  <c r="I82" i="13"/>
  <c r="I81" i="13"/>
  <c r="I80" i="13"/>
  <c r="I79" i="13"/>
  <c r="I78" i="13"/>
  <c r="I77" i="13"/>
  <c r="I76" i="13"/>
  <c r="I74" i="13"/>
  <c r="I73" i="13"/>
  <c r="I72" i="13"/>
  <c r="I70" i="13"/>
  <c r="I69" i="13"/>
  <c r="I68" i="13"/>
  <c r="I67" i="13"/>
  <c r="I66" i="13"/>
  <c r="I65" i="13"/>
  <c r="I64" i="13"/>
  <c r="I63" i="13"/>
  <c r="I62" i="13"/>
  <c r="I61" i="13"/>
  <c r="I60" i="13"/>
  <c r="I59" i="13"/>
  <c r="I58" i="13"/>
  <c r="I57" i="13"/>
  <c r="I56" i="13"/>
  <c r="I54" i="13"/>
  <c r="I53" i="13"/>
  <c r="I52" i="13"/>
  <c r="I51" i="13"/>
  <c r="I50" i="13"/>
  <c r="I49" i="13"/>
  <c r="I48" i="13"/>
  <c r="I47" i="13"/>
  <c r="I46" i="13"/>
  <c r="I45" i="13"/>
  <c r="I43" i="13"/>
  <c r="I42" i="13"/>
  <c r="I41" i="13"/>
  <c r="I40" i="13"/>
  <c r="I39" i="13"/>
  <c r="I38" i="13"/>
  <c r="I37" i="13"/>
  <c r="I35" i="13"/>
  <c r="I34" i="13"/>
  <c r="I33" i="13"/>
  <c r="I32" i="13"/>
  <c r="I31" i="13"/>
  <c r="I30" i="13"/>
  <c r="I29" i="13"/>
  <c r="I27" i="13"/>
  <c r="I26" i="13"/>
  <c r="I25" i="13"/>
  <c r="I24" i="13"/>
  <c r="I23" i="13"/>
  <c r="I22" i="13"/>
  <c r="I20" i="13"/>
  <c r="I19" i="13"/>
  <c r="I18" i="13"/>
  <c r="I17" i="13"/>
  <c r="I16" i="13"/>
  <c r="I14" i="13"/>
  <c r="I13" i="13"/>
  <c r="I12" i="13"/>
  <c r="I11" i="13"/>
  <c r="I10" i="13"/>
  <c r="I9" i="13"/>
  <c r="I8" i="13"/>
  <c r="I7" i="13"/>
  <c r="I6" i="13"/>
  <c r="H79" i="12"/>
  <c r="H78" i="12"/>
  <c r="H77" i="12"/>
  <c r="H76" i="12"/>
  <c r="H75" i="12"/>
  <c r="H74" i="12"/>
  <c r="H73" i="12"/>
  <c r="H72" i="12"/>
  <c r="H71" i="12"/>
  <c r="H70" i="12"/>
  <c r="H69" i="12"/>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H173" i="11"/>
  <c r="H172" i="11"/>
  <c r="H171" i="11"/>
  <c r="H170" i="11"/>
  <c r="H169" i="11"/>
  <c r="H168" i="11"/>
  <c r="H167" i="11"/>
  <c r="H166"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I105" i="10"/>
  <c r="I104" i="10"/>
  <c r="I103" i="10"/>
  <c r="I102" i="10"/>
  <c r="I101" i="10"/>
  <c r="I100" i="10"/>
  <c r="I99" i="10"/>
  <c r="I98" i="10"/>
  <c r="I97" i="10"/>
  <c r="I96" i="10"/>
  <c r="I95" i="10"/>
  <c r="I91" i="10"/>
  <c r="I90" i="10"/>
  <c r="I89" i="10"/>
  <c r="I87" i="10"/>
  <c r="I86" i="10"/>
  <c r="I85" i="10"/>
  <c r="I84" i="10"/>
  <c r="I83" i="10"/>
  <c r="I82" i="10"/>
  <c r="I81" i="10"/>
  <c r="I80" i="10"/>
  <c r="I79" i="10"/>
  <c r="I78" i="10"/>
  <c r="I77" i="10"/>
  <c r="I76" i="10"/>
  <c r="I75" i="10"/>
  <c r="I74" i="10"/>
  <c r="I72" i="10"/>
  <c r="I71" i="10"/>
  <c r="I70" i="10"/>
  <c r="I69" i="10"/>
  <c r="I68" i="10"/>
  <c r="I67" i="10"/>
  <c r="I66" i="10"/>
  <c r="I65" i="10"/>
  <c r="I64" i="10"/>
  <c r="I63" i="10"/>
  <c r="I61" i="10"/>
  <c r="I60" i="10"/>
  <c r="I59" i="10"/>
  <c r="I58" i="10"/>
  <c r="I56" i="10"/>
  <c r="I55" i="10"/>
  <c r="I54" i="10"/>
  <c r="I53" i="10"/>
  <c r="I52" i="10"/>
  <c r="I51" i="10"/>
  <c r="I49" i="10"/>
  <c r="I48" i="10"/>
  <c r="I47" i="10"/>
  <c r="I46" i="10"/>
  <c r="I45" i="10"/>
  <c r="I43" i="10"/>
  <c r="I42" i="10"/>
  <c r="I41" i="10"/>
  <c r="I40" i="10"/>
  <c r="I39" i="10"/>
  <c r="I38" i="10"/>
  <c r="I37" i="10"/>
  <c r="I36" i="10"/>
  <c r="I34" i="10"/>
  <c r="I33" i="10"/>
  <c r="I32" i="10"/>
  <c r="I31" i="10"/>
  <c r="I30" i="10"/>
  <c r="I29" i="10"/>
  <c r="I28" i="10"/>
  <c r="I27" i="10"/>
  <c r="I26" i="10"/>
  <c r="I25" i="10"/>
  <c r="I24" i="10"/>
  <c r="I22" i="10"/>
  <c r="I21" i="10"/>
  <c r="I20" i="10"/>
  <c r="I19" i="10"/>
  <c r="I18" i="10"/>
  <c r="I16" i="10"/>
  <c r="I15" i="10"/>
  <c r="I14" i="10"/>
  <c r="I13" i="10"/>
  <c r="I12" i="10"/>
  <c r="I11" i="10"/>
  <c r="I10" i="10"/>
  <c r="I9" i="10"/>
  <c r="I8" i="10"/>
  <c r="I7" i="10"/>
  <c r="C37" i="4"/>
  <c r="D37" i="4" s="1"/>
  <c r="E37" i="4" s="1"/>
  <c r="B37" i="4"/>
  <c r="C36" i="4"/>
  <c r="D36" i="4" s="1"/>
  <c r="E36" i="4" s="1"/>
  <c r="B36" i="4"/>
  <c r="B32" i="4"/>
  <c r="B31" i="4"/>
  <c r="B30" i="4"/>
  <c r="B29" i="4"/>
  <c r="B28" i="4"/>
  <c r="D24" i="4"/>
  <c r="C24" i="4"/>
  <c r="F24" i="4" s="1"/>
  <c r="G24" i="4" s="1"/>
  <c r="B24" i="4"/>
  <c r="E24" i="4" s="1"/>
  <c r="F23" i="4"/>
  <c r="G23" i="4" s="1"/>
  <c r="E23" i="4"/>
  <c r="D23" i="4"/>
  <c r="C23" i="4"/>
  <c r="B23" i="4"/>
  <c r="D22" i="4"/>
  <c r="C22" i="4"/>
  <c r="F22" i="4" s="1"/>
  <c r="G22" i="4" s="1"/>
  <c r="B22" i="4"/>
  <c r="D21" i="4"/>
  <c r="C21" i="4"/>
  <c r="B21" i="4"/>
  <c r="E21" i="4" s="1"/>
  <c r="D20" i="4"/>
  <c r="C20" i="4"/>
  <c r="B20" i="4"/>
  <c r="F20" i="4" s="1"/>
  <c r="G20" i="4" s="1"/>
  <c r="G19" i="4"/>
  <c r="F19" i="4"/>
  <c r="E19" i="4"/>
  <c r="D19" i="4"/>
  <c r="C19" i="4"/>
  <c r="B19" i="4"/>
  <c r="D18" i="4"/>
  <c r="C18" i="4"/>
  <c r="F18" i="4" s="1"/>
  <c r="G18" i="4" s="1"/>
  <c r="B18" i="4"/>
  <c r="E18" i="4" s="1"/>
  <c r="D17" i="4"/>
  <c r="C17" i="4"/>
  <c r="F17" i="4" s="1"/>
  <c r="G17" i="4" s="1"/>
  <c r="B17" i="4"/>
  <c r="E17" i="4" s="1"/>
  <c r="D16" i="4"/>
  <c r="C16" i="4"/>
  <c r="B16" i="4"/>
  <c r="F16" i="4" s="1"/>
  <c r="G16" i="4" s="1"/>
  <c r="D15" i="4"/>
  <c r="C15" i="4"/>
  <c r="B15" i="4"/>
  <c r="F15" i="4" s="1"/>
  <c r="G15" i="4" s="1"/>
  <c r="C12" i="4"/>
  <c r="D12" i="4" s="1"/>
  <c r="E12" i="4" s="1"/>
  <c r="B12" i="4"/>
  <c r="E11" i="4"/>
  <c r="D11" i="4"/>
  <c r="C11" i="4"/>
  <c r="B11" i="4"/>
  <c r="C10" i="4"/>
  <c r="B10" i="4"/>
  <c r="D10" i="4" s="1"/>
  <c r="E10" i="4" s="1"/>
  <c r="D6" i="4"/>
  <c r="C6" i="4"/>
  <c r="B6" i="4"/>
  <c r="A6" i="4"/>
  <c r="F6" i="4" s="1"/>
  <c r="F21" i="4" l="1"/>
  <c r="G21" i="4" s="1"/>
  <c r="E16" i="4"/>
  <c r="E20" i="4"/>
  <c r="E15" i="4"/>
  <c r="E22" i="4"/>
  <c r="E6" i="4"/>
</calcChain>
</file>

<file path=xl/sharedStrings.xml><?xml version="1.0" encoding="utf-8"?>
<sst xmlns="http://schemas.openxmlformats.org/spreadsheetml/2006/main" count="27911" uniqueCount="5126">
  <si>
    <t>📊  MASTER PROBLEM TRACKER — Mark ✅ Status here. All list sheets auto-sync via formula.</t>
  </si>
  <si>
    <t>#</t>
  </si>
  <si>
    <t>LC #</t>
  </si>
  <si>
    <t>Problem Title</t>
  </si>
  <si>
    <t>Topics</t>
  </si>
  <si>
    <t>Difficulty</t>
  </si>
  <si>
    <t>✅ Status</t>
  </si>
  <si>
    <t>Date Solved</t>
  </si>
  <si>
    <t>Time (min)</t>
  </si>
  <si>
    <t>Key Insight / Pattern</t>
  </si>
  <si>
    <t>Retry?</t>
  </si>
  <si>
    <t>Retry Date</t>
  </si>
  <si>
    <t>Appears In</t>
  </si>
  <si>
    <t>Notes</t>
  </si>
  <si>
    <t>How to Solve</t>
  </si>
  <si>
    <t>Time Complexity</t>
  </si>
  <si>
    <t>Space Complexity</t>
  </si>
  <si>
    <t>🔗 LeetCode URL</t>
  </si>
  <si>
    <t>Two Sum</t>
  </si>
  <si>
    <t>Array, Hashing</t>
  </si>
  <si>
    <t>Easy</t>
  </si>
  <si>
    <t>HashMap (One-Pass)</t>
  </si>
  <si>
    <t>Amazon, Apple, Blind75, Google, Grind169, Grind75, Meta, Microsoft, NeetCode150, Uber</t>
  </si>
  <si>
    <t>HashMap (One-Pass): Store each number's index in a map. For each element, check if (target - num) exists before inserting.</t>
  </si>
  <si>
    <t>O(n)</t>
  </si>
  <si>
    <t>https://leetcode.com/problems/two-sum/</t>
  </si>
  <si>
    <t>Add Two Numbers</t>
  </si>
  <si>
    <t>Linked List, Math</t>
  </si>
  <si>
    <t>Medium</t>
  </si>
  <si>
    <t>Linked List Traversal with Carry</t>
  </si>
  <si>
    <t>Amazon, Apple, Google, Grind169, Meta, Microsoft, Uber</t>
  </si>
  <si>
    <t>Linked List Traversal with Carry: Traverse both lists simultaneously, add digits plus carry, and handle remaining carry at the end.</t>
  </si>
  <si>
    <t>O(max(m, n))</t>
  </si>
  <si>
    <t>https://leetcode.com/problems/add-two-numbers/</t>
  </si>
  <si>
    <t>Longest Substring Without Repeating Characters</t>
  </si>
  <si>
    <t>String, Sliding Window</t>
  </si>
  <si>
    <t>Sliding Window + HashSet</t>
  </si>
  <si>
    <t>Sliding Window + HashSet: Expand right pointer. If a char repeats, shrink left until removed. Track max window size.</t>
  </si>
  <si>
    <t>O(min(n, charset))</t>
  </si>
  <si>
    <t>https://leetcode.com/problems/longest-substring-without-repeating-characters/</t>
  </si>
  <si>
    <t>Median of Two Sorted Arrays</t>
  </si>
  <si>
    <t>Array, Binary Search</t>
  </si>
  <si>
    <t>Hard</t>
  </si>
  <si>
    <t>Binary Search on Smaller Array</t>
  </si>
  <si>
    <t>Amazon, Apple, Google, Grind169, Meta, Microsoft, NeetCode150, Uber</t>
  </si>
  <si>
    <t>Binary Search on Smaller Array: Partition the smaller array so all left-side values ≤ right-side values. Adjust lo/hi based on whether left-side max exceeds right-side min.</t>
  </si>
  <si>
    <t>O(log(min(m, n)))</t>
  </si>
  <si>
    <t>O(1)</t>
  </si>
  <si>
    <t>https://leetcode.com/problems/median-of-two-sorted-arrays/</t>
  </si>
  <si>
    <t>Longest Palindromic Substring</t>
  </si>
  <si>
    <t>String, DP</t>
  </si>
  <si>
    <t>Expand Around Center</t>
  </si>
  <si>
    <t>Expand Around Center: For every character and gap center, expand outward while characters match and track the longest palindrome.</t>
  </si>
  <si>
    <t>O(n²)</t>
  </si>
  <si>
    <t>https://leetcode.com/problems/longest-palindromic-substring/</t>
  </si>
  <si>
    <t>Zigzag Conversion</t>
  </si>
  <si>
    <t>String, Math</t>
  </si>
  <si>
    <t>Row Assignment</t>
  </si>
  <si>
    <t>Amazon, Apple, Google, Meta</t>
  </si>
  <si>
    <t>Row Assignment: Simulate zigzag movement with a direction flag and append each character to the correct row.</t>
  </si>
  <si>
    <t>https://leetcode.com/problems/zigzag-conversion/</t>
  </si>
  <si>
    <t>Reverse Integer</t>
  </si>
  <si>
    <t>Math</t>
  </si>
  <si>
    <t>Math with Overflow Check</t>
  </si>
  <si>
    <t>Math with Overflow Check: Pop digits one by one and push into result after checking INT_MIN/INT_MAX overflow boundaries.</t>
  </si>
  <si>
    <t>O(log n)</t>
  </si>
  <si>
    <t>https://leetcode.com/problems/reverse-integer/</t>
  </si>
  <si>
    <t>String to Integer (atoi)</t>
  </si>
  <si>
    <t>State Machine String Parsing</t>
  </si>
  <si>
    <t>Amazon, Apple, Google, Grind169, Grind75, Meta, Microsoft, Uber</t>
  </si>
  <si>
    <t>State Machine String Parsing: Skip spaces, handle sign, parse digits until a non-digit, and clamp to integer bounds.</t>
  </si>
  <si>
    <t>https://leetcode.com/problems/string-to-integer-atoi/</t>
  </si>
  <si>
    <t>Palindrome Number</t>
  </si>
  <si>
    <t>Revert Half the Number</t>
  </si>
  <si>
    <t>Amazon, Google, Grind169, Meta, Microsoft</t>
  </si>
  <si>
    <t>Revert Half the Number: Reverse the second half of the digits and compare it with the first half.</t>
  </si>
  <si>
    <t>https://leetcode.com/problems/palindrome-number/</t>
  </si>
  <si>
    <t>Regular Expression Matching</t>
  </si>
  <si>
    <t>2D DP - Regex Match</t>
  </si>
  <si>
    <t>Amazon, Apple, Google, Meta, Microsoft, NeetCode150, Uber</t>
  </si>
  <si>
    <t>2D DP - Regex Match: Let dp[i][j] mean s[:i] matches p[:j]. Handle '*' as skip previous token or consume matching char.</t>
  </si>
  <si>
    <t>O(m·n)</t>
  </si>
  <si>
    <t>https://leetcode.com/problems/regular-expression-matching/</t>
  </si>
  <si>
    <t>Container With Most Water</t>
  </si>
  <si>
    <t>Array, Two Pointers</t>
  </si>
  <si>
    <t>Two Pointers from Both Ends</t>
  </si>
  <si>
    <t>Two Pointers from Both Ends: Move the shorter height inward because it is the limiting side; update max area each step.</t>
  </si>
  <si>
    <t>https://leetcode.com/problems/container-with-most-water/</t>
  </si>
  <si>
    <t>Integer to Roman</t>
  </si>
  <si>
    <t>Greedy - Largest Symbol First</t>
  </si>
  <si>
    <t>Amazon, Google, Meta, Microsoft</t>
  </si>
  <si>
    <t>Greedy - Largest Symbol First: Process Roman values from largest to smallest, append symbols while subtracting their value.</t>
  </si>
  <si>
    <t>https://leetcode.com/problems/integer-to-roman/</t>
  </si>
  <si>
    <t>Roman to Integer</t>
  </si>
  <si>
    <t>Single Pass with Lookahead</t>
  </si>
  <si>
    <t>Single Pass with Lookahead: Add the current Roman value unless it is smaller than the next value; then subtract it.</t>
  </si>
  <si>
    <t>https://leetcode.com/problems/roman-to-integer/</t>
  </si>
  <si>
    <t>Longest Common Prefix</t>
  </si>
  <si>
    <t>String</t>
  </si>
  <si>
    <t>Vertical Scan</t>
  </si>
  <si>
    <t>Vertical Scan: Use the first string as reference and compare each character position across all strings.</t>
  </si>
  <si>
    <t>O(S)</t>
  </si>
  <si>
    <t>https://leetcode.com/problems/longest-common-prefix/</t>
  </si>
  <si>
    <t>3Sum</t>
  </si>
  <si>
    <t>Sort + Two Pointers</t>
  </si>
  <si>
    <t>Amazon, Apple, Blind75, Google, Grind169, Grind75, Meta, Microsoft, NeetCode150</t>
  </si>
  <si>
    <t>Sort + Two Pointers: Sort, fix one index, then use two pointers for the remaining pair while skipping duplicates.</t>
  </si>
  <si>
    <t>https://leetcode.com/problems/3sum/</t>
  </si>
  <si>
    <t>3Sum Closest</t>
  </si>
  <si>
    <t>Sort + Two Pointers + Track Closest</t>
  </si>
  <si>
    <t>Amazon, Google, Grind169, Meta</t>
  </si>
  <si>
    <t>Sort + Two Pointers + Track Closest: Sort, fix one index, use two pointers, and update closest sum whenever the distance to target improves.</t>
  </si>
  <si>
    <t>https://leetcode.com/problems/3sum-closest/</t>
  </si>
  <si>
    <t>Letter Combinations of a Phone Number</t>
  </si>
  <si>
    <t>String, Backtracking</t>
  </si>
  <si>
    <t>Backtracking with Phone Map</t>
  </si>
  <si>
    <t>Amazon, Apple, Google, Grind169, Grind75, Meta, Microsoft, NeetCode150, Uber</t>
  </si>
  <si>
    <t>Backtracking with Phone Map: Map each digit to letters, recursively choose one letter per digit, and backtrack.</t>
  </si>
  <si>
    <t>O(4^n · n)</t>
  </si>
  <si>
    <t>https://leetcode.com/problems/letter-combinations-of-a-phone-number/</t>
  </si>
  <si>
    <t>4Sum</t>
  </si>
  <si>
    <t>Sort + Fix Two + Two Pointers</t>
  </si>
  <si>
    <t>Amazon, Apple, Google, Meta, Microsoft</t>
  </si>
  <si>
    <t>Sort + Fix Two + Two Pointers: Sort, fix two indices, then use two pointers for the remaining pair while skipping duplicates.</t>
  </si>
  <si>
    <t>O(n³)</t>
  </si>
  <si>
    <t>https://leetcode.com/problems/4sum/</t>
  </si>
  <si>
    <t>Remove Nth Node From End of List</t>
  </si>
  <si>
    <t>Linked List</t>
  </si>
  <si>
    <t>Two Pointers - n+1 Gap</t>
  </si>
  <si>
    <t>Amazon, Apple, Blind75, Google, Grind169, Meta, Microsoft, NeetCode150</t>
  </si>
  <si>
    <t>Two Pointers - n+1 Gap: Use a dummy head, move fast n+1 steps ahead, then move both pointers until fast reaches the end.</t>
  </si>
  <si>
    <t>https://leetcode.com/problems/remove-nth-node-from-end-of-list/</t>
  </si>
  <si>
    <t>Valid Parentheses</t>
  </si>
  <si>
    <t>String, Stack</t>
  </si>
  <si>
    <t>Stack - Match Brackets</t>
  </si>
  <si>
    <t>Stack - Match Brackets: Push opening brackets. For closing brackets, validate against the stack top and ensure stack is empty at the end.</t>
  </si>
  <si>
    <t>https://leetcode.com/problems/valid-parentheses/</t>
  </si>
  <si>
    <t>Merge Two Sorted Lists</t>
  </si>
  <si>
    <t>Iterative Merge with Dummy Head</t>
  </si>
  <si>
    <t>Iterative Merge with Dummy Head: Compare list heads, attach the smaller node, advance that list, and attach the remainder.</t>
  </si>
  <si>
    <t>O(m + n)</t>
  </si>
  <si>
    <t>O(1) iterative / O(m+n) recursive</t>
  </si>
  <si>
    <t>https://leetcode.com/problems/merge-two-sorted-lists/</t>
  </si>
  <si>
    <t>Generate Parentheses</t>
  </si>
  <si>
    <t>Backtracking with Open/Close Counts</t>
  </si>
  <si>
    <t>Backtracking with Open/Close Counts: Add '(' when open &lt; n and ')' when close &lt; open; collect when length reaches 2n.</t>
  </si>
  <si>
    <t>O(4^n / √n)</t>
  </si>
  <si>
    <t>https://leetcode.com/problems/generate-parentheses/</t>
  </si>
  <si>
    <t>Merge k Sorted Lists</t>
  </si>
  <si>
    <t>Linked List, Heap</t>
  </si>
  <si>
    <t>Min-Heap with (val, node)</t>
  </si>
  <si>
    <t>Min-Heap with (val, node): Push each list head into a min-heap, repeatedly pop the minimum node, and push its next node.</t>
  </si>
  <si>
    <t>O(N log k)</t>
  </si>
  <si>
    <t>O(k)</t>
  </si>
  <si>
    <t>https://leetcode.com/problems/merge-k-sorted-lists/</t>
  </si>
  <si>
    <t>Swap Nodes in Pairs</t>
  </si>
  <si>
    <t>Iterative Pair Swap with Prev Pointer</t>
  </si>
  <si>
    <t>Amazon, Google, Grind169, Uber</t>
  </si>
  <si>
    <t>Iterative Pair Swap with Prev Pointer: Use a dummy head and reverse links two nodes at a time while advancing a prev pointer.</t>
  </si>
  <si>
    <t>https://leetcode.com/problems/swap-nodes-in-pairs/</t>
  </si>
  <si>
    <t>Reverse Nodes in k-Group</t>
  </si>
  <si>
    <t>Reverse K Nodes with Prev/Next Tracking</t>
  </si>
  <si>
    <t>Amazon, Apple, Google, Grind169, Microsoft, NeetCode150, Uber</t>
  </si>
  <si>
    <t>Reverse K Nodes with Prev/Next Tracking: Check k nodes remain, reverse that group in-place, connect to previous and next groups.</t>
  </si>
  <si>
    <t>https://leetcode.com/problems/reverse-nodes-in-k-group/</t>
  </si>
  <si>
    <t>Remove Duplicates from Sorted Array</t>
  </si>
  <si>
    <t>Array</t>
  </si>
  <si>
    <t>Two Pointers - Write Pointer</t>
  </si>
  <si>
    <t>Amazon, Apple, Google, Meta, Microsoft, Uber</t>
  </si>
  <si>
    <t>Two Pointers - Write Pointer: Use a slow write pointer; write only when the fast value differs from the last kept value.</t>
  </si>
  <si>
    <t>https://leetcode.com/problems/remove-duplicates-from-sorted-array/</t>
  </si>
  <si>
    <t>Remove Element</t>
  </si>
  <si>
    <t>Two Pointers - Overwrite in Place</t>
  </si>
  <si>
    <t>Two Pointers - Overwrite in Place: Keep a write pointer and copy every element not equal to val into the front of the array.</t>
  </si>
  <si>
    <t>https://leetcode.com/problems/remove-element/</t>
  </si>
  <si>
    <t>Find the Index of the First Occurrence in a String</t>
  </si>
  <si>
    <t>KMP / indexOf Logic</t>
  </si>
  <si>
    <t>KMP / indexOf Logic: Build an LPS array for the needle, then scan the haystack while using LPS to backtrack on mismatch.</t>
  </si>
  <si>
    <t>O(n + m)</t>
  </si>
  <si>
    <t>https://leetcode.com/problems/find-the-index-of-the-first-occurrence-in-a-string/</t>
  </si>
  <si>
    <t>Divide Two Integers</t>
  </si>
  <si>
    <t>Math, Bit Manipulation</t>
  </si>
  <si>
    <t>Bit Manipulation / Long Division</t>
  </si>
  <si>
    <t>Amazon, Google</t>
  </si>
  <si>
    <t>Bit Manipulation / Long Division: Use long values, subtract shifted divisors greedily, and apply the correct sign at the end.</t>
  </si>
  <si>
    <t>https://leetcode.com/problems/divide-two-integers/</t>
  </si>
  <si>
    <t>Substring with Concatenation of All Words</t>
  </si>
  <si>
    <t>Sliding Window + Word Frequency Map</t>
  </si>
  <si>
    <t>Amazon, Apple</t>
  </si>
  <si>
    <t>Sliding Window + Word Frequency Map: Slide fixed-size windows aligned by word length and compare current word counts with target counts.</t>
  </si>
  <si>
    <t>O(n · wordLen)</t>
  </si>
  <si>
    <t>https://leetcode.com/problems/substring-with-concatenation-of-all-words/</t>
  </si>
  <si>
    <t>Next Permutation</t>
  </si>
  <si>
    <t>Find Rightmost Ascent + Swap + Reverse</t>
  </si>
  <si>
    <t>Amazon, Google, Grind169, Meta, Microsoft, Uber</t>
  </si>
  <si>
    <t>Find Rightmost Ascent + Swap + Reverse: Find the rightmost increasing pair, swap with the next larger digit on the right, then reverse the suffix.</t>
  </si>
  <si>
    <t>https://leetcode.com/problems/next-permutation/</t>
  </si>
  <si>
    <t>Longest Valid Parentheses</t>
  </si>
  <si>
    <t>String, Stack, DP</t>
  </si>
  <si>
    <t>Stack - Track Unmatched Indices</t>
  </si>
  <si>
    <t>Stack - Track Unmatched Indices: Use a stack of indices for unmatched parentheses; gaps between unmatched indices give valid lengths.</t>
  </si>
  <si>
    <t>https://leetcode.com/problems/longest-valid-parentheses/</t>
  </si>
  <si>
    <t>Search in Rotated Sorted Array</t>
  </si>
  <si>
    <t>Binary Search - Identify Sorted Half</t>
  </si>
  <si>
    <t>Binary Search - Identify Sorted Half: At each mid, determine which half is sorted and narrow search to the half that can contain target.</t>
  </si>
  <si>
    <t>https://leetcode.com/problems/search-in-rotated-sorted-array/</t>
  </si>
  <si>
    <t>Find First and Last Position of Element in Sorted Array</t>
  </si>
  <si>
    <t>Binary Search Twice - Left + Right Bound</t>
  </si>
  <si>
    <t>Binary Search Twice - Left + Right Bound: Run binary search once for the left boundary and once for the right boundary.</t>
  </si>
  <si>
    <t>https://leetcode.com/problems/find-first-and-last-position-of-element-in-sorted-array/</t>
  </si>
  <si>
    <t>Search Insert Position</t>
  </si>
  <si>
    <t>Standard Binary Search - Return lo</t>
  </si>
  <si>
    <t>Standard Binary Search - Return lo: Binary search normally; when target is absent, the final lo position is the insertion index.</t>
  </si>
  <si>
    <t>https://leetcode.com/problems/search-insert-position/</t>
  </si>
  <si>
    <t>Valid Sudoku</t>
  </si>
  <si>
    <t>Array, Matrix, Hashing</t>
  </si>
  <si>
    <t>HashSet per Row/Col/Box</t>
  </si>
  <si>
    <t>Amazon, Apple, Google, Grind169, NeetCode150, Uber</t>
  </si>
  <si>
    <t>HashSet per Row/Col/Box: Track seen digits in row, column, and 3x3 box sets and reject duplicates.</t>
  </si>
  <si>
    <t>https://leetcode.com/problems/valid-sudoku/</t>
  </si>
  <si>
    <t>Sudoku Solver</t>
  </si>
  <si>
    <t>Array, Matrix, Backtracking</t>
  </si>
  <si>
    <t>Backtracking + Constraint Check</t>
  </si>
  <si>
    <t>Amazon, Apple, Google, Grind169, Uber</t>
  </si>
  <si>
    <t>Backtracking + Constraint Check: Find an empty cell, try digits 1-9 that satisfy row/col/box constraints, recurse, and backtrack.</t>
  </si>
  <si>
    <t>O(9^E)</t>
  </si>
  <si>
    <t>O(E)</t>
  </si>
  <si>
    <t>https://leetcode.com/problems/sudoku-solver/</t>
  </si>
  <si>
    <t>Count and Say</t>
  </si>
  <si>
    <t>Math / Bit Manipulation</t>
  </si>
  <si>
    <t>Math / Bit Manipulation: Use numeric properties or bit operations to avoid extra data structures and compute directly.</t>
  </si>
  <si>
    <t>O(2^n)</t>
  </si>
  <si>
    <t>https://leetcode.com/problems/count-and-say/</t>
  </si>
  <si>
    <t>Combination Sum</t>
  </si>
  <si>
    <t>Array, Backtracking</t>
  </si>
  <si>
    <t>Backtracking - Allow Reuse, Prune by Sum</t>
  </si>
  <si>
    <t>Amazon, Apple, Google, Grind169, Grind75, Meta, NeetCode150, Uber</t>
  </si>
  <si>
    <t>Backtracking - Allow Reuse, Prune by Sum: Sort candidates, choose candidates while remaining target allows it, and recurse with same index for reuse.</t>
  </si>
  <si>
    <t>O(N^(T/M))</t>
  </si>
  <si>
    <t>O(T/M)</t>
  </si>
  <si>
    <t>https://leetcode.com/problems/combination-sum/</t>
  </si>
  <si>
    <t>Combination Sum II</t>
  </si>
  <si>
    <t>Backtracking - Skip Duplicates at Same Level</t>
  </si>
  <si>
    <t>Google, Microsoft, NeetCode150</t>
  </si>
  <si>
    <t>Backtracking - Skip Duplicates at Same Level: Sort candidates, recurse using each element once, and skip equal values at the same recursion depth.</t>
  </si>
  <si>
    <t>https://leetcode.com/problems/combination-sum-ii/</t>
  </si>
  <si>
    <t>First Missing Positive</t>
  </si>
  <si>
    <t>Cyclic Sort then Scan</t>
  </si>
  <si>
    <t>Amazon, Apple, Google, Grind169, Meta, Microsoft</t>
  </si>
  <si>
    <t>Cyclic Sort then Scan: Place each positive number x at index x-1 when possible, then scan for first mismatch.</t>
  </si>
  <si>
    <t>https://leetcode.com/problems/first-missing-positive/</t>
  </si>
  <si>
    <t>Trapping Rain Water</t>
  </si>
  <si>
    <t>Array, Two Pointers, Stack</t>
  </si>
  <si>
    <t>Two Pointers - Track Max from Each Side</t>
  </si>
  <si>
    <t>Two Pointers - Track Max from Each Side: Move the side with smaller max boundary and accumulate trapped water from that boundary.</t>
  </si>
  <si>
    <t>https://leetcode.com/problems/trapping-rain-water/</t>
  </si>
  <si>
    <t>Multiply Strings</t>
  </si>
  <si>
    <t>Grade-School Multiplication</t>
  </si>
  <si>
    <t>Grade-School Multiplication: Multiply every digit pair into a result array, handle carry, and strip leading zeros.</t>
  </si>
  <si>
    <t>O(m+n)</t>
  </si>
  <si>
    <t>https://leetcode.com/problems/multiply-strings/</t>
  </si>
  <si>
    <t>Wildcard Matching</t>
  </si>
  <si>
    <t>DP - Wildcard Match</t>
  </si>
  <si>
    <t>Amazon, Google, Microsoft</t>
  </si>
  <si>
    <t>DP - Wildcard Match: Let dp[i][j] mean s[:i] matches p[:j]. '*' can consume a char or match empty.</t>
  </si>
  <si>
    <t>https://leetcode.com/problems/wildcard-matching/</t>
  </si>
  <si>
    <t>Jump Game II</t>
  </si>
  <si>
    <t>Array, Greedy, DP</t>
  </si>
  <si>
    <t>Greedy - Track Furthest Reach per Level</t>
  </si>
  <si>
    <t>Amazon, Apple, Google, Microsoft, NeetCode150</t>
  </si>
  <si>
    <t>Greedy - Track Furthest Reach per Level: Track current jump boundary and furthest reachable index; increment jumps when reaching boundary.</t>
  </si>
  <si>
    <t>https://leetcode.com/problems/jump-game-ii/</t>
  </si>
  <si>
    <t>Permutations</t>
  </si>
  <si>
    <t>Backtracking - Swap to Generate</t>
  </si>
  <si>
    <t>Backtracking - Swap to Generate: Swap the current index with each candidate index, recurse, and swap back.</t>
  </si>
  <si>
    <t>O(n · n!)</t>
  </si>
  <si>
    <t>https://leetcode.com/problems/permutations/</t>
  </si>
  <si>
    <t>Permutations II</t>
  </si>
  <si>
    <t>Backtracking + Skip Duplicates</t>
  </si>
  <si>
    <t>Amazon, Apple, Microsoft</t>
  </si>
  <si>
    <t>Backtracking + Skip Duplicates: Sort nums, use a used[] array, and skip duplicates when the previous duplicate was not used.</t>
  </si>
  <si>
    <t>https://leetcode.com/problems/permutations-ii/</t>
  </si>
  <si>
    <t>Rotate Image</t>
  </si>
  <si>
    <t>Array, Matrix</t>
  </si>
  <si>
    <t>Transpose then Reverse Each Row</t>
  </si>
  <si>
    <t>Amazon, Apple, Blind75, Google, Grind169, Meta, Microsoft, NeetCode150, Uber</t>
  </si>
  <si>
    <t>Transpose then Reverse Each Row: Transpose the square matrix across the diagonal, then reverse every row.</t>
  </si>
  <si>
    <t>https://leetcode.com/problems/rotate-image/</t>
  </si>
  <si>
    <t>Group Anagrams</t>
  </si>
  <si>
    <t>Array, String, Hashing</t>
  </si>
  <si>
    <t>HashMap with Sorted String Key</t>
  </si>
  <si>
    <t>HashMap with Sorted String Key: Sort each word to form a key and group words with the same key.</t>
  </si>
  <si>
    <t>O(n·k)</t>
  </si>
  <si>
    <t>https://leetcode.com/problems/group-anagrams/</t>
  </si>
  <si>
    <t>Pow(x, n)</t>
  </si>
  <si>
    <t>Math, Binary Search</t>
  </si>
  <si>
    <t>Fast Power - Exponentiation by Squaring</t>
  </si>
  <si>
    <t>Fast Power - Exponentiation by Squaring: Recursively or iteratively square the base and halve the exponent; invert for negative exponents.</t>
  </si>
  <si>
    <t>https://leetcode.com/problems/powx-n/</t>
  </si>
  <si>
    <t>N-Queens</t>
  </si>
  <si>
    <t>Backtracking</t>
  </si>
  <si>
    <t>Amazon, Google, Grind169, Meta, Microsoft, NeetCode150</t>
  </si>
  <si>
    <t>Backtracking: Build candidates recursively, prune invalid choices early, add a result at the base case, and undo choices before returning.</t>
  </si>
  <si>
    <t>O(branch^depth)</t>
  </si>
  <si>
    <t>O(depth)</t>
  </si>
  <si>
    <t>https://leetcode.com/problems/n-queens/</t>
  </si>
  <si>
    <t>N-Queens II</t>
  </si>
  <si>
    <t>https://leetcode.com/problems/n-queens-ii/</t>
  </si>
  <si>
    <t>Maximum Subarray</t>
  </si>
  <si>
    <t>Array, DP</t>
  </si>
  <si>
    <t>Kadane's Algorithm</t>
  </si>
  <si>
    <t>Kadane's Algorithm: Track best subarray ending at current index and global best; restart when current value is better.</t>
  </si>
  <si>
    <t>https://leetcode.com/problems/maximum-subarray/</t>
  </si>
  <si>
    <t>Spiral Matrix</t>
  </si>
  <si>
    <t>Boundary Shrinking</t>
  </si>
  <si>
    <t>Boundary Shrinking: Maintain top, bottom, left, and right boundaries and traverse right, down, left, up while shrinking.</t>
  </si>
  <si>
    <t>https://leetcode.com/problems/spiral-matrix/</t>
  </si>
  <si>
    <t>Jump Game</t>
  </si>
  <si>
    <t>Array, Greedy</t>
  </si>
  <si>
    <t>Greedy - Track Max Reachable</t>
  </si>
  <si>
    <t>Greedy - Track Max Reachable: Track the farthest reachable index and fail if the current index is beyond it.</t>
  </si>
  <si>
    <t>https://leetcode.com/problems/jump-game/</t>
  </si>
  <si>
    <t>Merge Intervals</t>
  </si>
  <si>
    <t>Array, Intervals</t>
  </si>
  <si>
    <t>Sort by Start + Merge Overlapping</t>
  </si>
  <si>
    <t>Sort by Start + Merge Overlapping: Sort intervals by start and merge into the previous interval when they overlap.</t>
  </si>
  <si>
    <t>O(n log n)</t>
  </si>
  <si>
    <t>https://leetcode.com/problems/merge-intervals/</t>
  </si>
  <si>
    <t>Insert Interval</t>
  </si>
  <si>
    <t>Three Phases</t>
  </si>
  <si>
    <t>Amazon, Apple, Blind75, Google, Grind169, Grind75, Microsoft, NeetCode150, Uber</t>
  </si>
  <si>
    <t>Three Phases: Before, Overlap, After: Add intervals before new interval, merge all overlaps with it, then append the rest.</t>
  </si>
  <si>
    <t>https://leetcode.com/problems/insert-interval/</t>
  </si>
  <si>
    <t>Length of Last Word</t>
  </si>
  <si>
    <t>Scan from Right</t>
  </si>
  <si>
    <t>Scan from Right: Skip trailing spaces, then count characters until the previous space.</t>
  </si>
  <si>
    <t>https://leetcode.com/problems/length-of-last-word/</t>
  </si>
  <si>
    <t>Spiral Matrix II</t>
  </si>
  <si>
    <t>Boundary Simulation</t>
  </si>
  <si>
    <t>Amazon</t>
  </si>
  <si>
    <t>Boundary Simulation: Maintain top/bottom/left/right bounds and fill 1..n^2 while walking right, down, left, up, shrinking a bound after each edge.</t>
  </si>
  <si>
    <t>O(n^2)</t>
  </si>
  <si>
    <t>https://leetcode.com/problems/spiral-matrix-ii/</t>
  </si>
  <si>
    <t>Permutation Sequence</t>
  </si>
  <si>
    <t>Math, Backtracking</t>
  </si>
  <si>
    <t>Factorial Number System</t>
  </si>
  <si>
    <t>Factorial Number System: Use factorial blocks to choose each digit of the kth permutation from remaining numbers.</t>
  </si>
  <si>
    <t>https://leetcode.com/problems/permutation-sequence/</t>
  </si>
  <si>
    <t>Rotate List</t>
  </si>
  <si>
    <t>Find New Tail at Position (n-k%len)</t>
  </si>
  <si>
    <t>Amazon, Google, Grind169</t>
  </si>
  <si>
    <t>Find New Tail at Position (n-k%len): Compute length, connect tail to head, then break at the new tail position.</t>
  </si>
  <si>
    <t>https://leetcode.com/problems/rotate-list/</t>
  </si>
  <si>
    <t>Unique Paths</t>
  </si>
  <si>
    <t>DP, Math</t>
  </si>
  <si>
    <t>DP - Unique Paths Grid</t>
  </si>
  <si>
    <t>Amazon, Blind75, Google, Grind169, Grind75, Meta, Microsoft, NeetCode150</t>
  </si>
  <si>
    <t>DP - Unique Paths Grid: Use dp[i][j] = top + left, with first row and column initialized to 1.</t>
  </si>
  <si>
    <t>https://leetcode.com/problems/unique-paths/</t>
  </si>
  <si>
    <t>Unique Paths II</t>
  </si>
  <si>
    <t>Array, Matrix, DP</t>
  </si>
  <si>
    <t>Grid DP</t>
  </si>
  <si>
    <t>Grid DP: dp[j] = paths to a cell = 0 if obstacle else dp[j] (from above) + dp[j-1] (from left); use a 1D rolling row.</t>
  </si>
  <si>
    <t>O(m*n)</t>
  </si>
  <si>
    <t>https://leetcode.com/problems/unique-paths-ii/</t>
  </si>
  <si>
    <t>Minimum Path Sum</t>
  </si>
  <si>
    <t>DP - Min Path Sum</t>
  </si>
  <si>
    <t>Amazon, Google, Microsoft, Uber</t>
  </si>
  <si>
    <t>DP - Min Path Sum: Accumulate min cost from top or left; use the grid in-place when allowed.</t>
  </si>
  <si>
    <t>https://leetcode.com/problems/minimum-path-sum/</t>
  </si>
  <si>
    <t>Valid Number</t>
  </si>
  <si>
    <t>State Machine - Validate Number</t>
  </si>
  <si>
    <t>Amazon, Meta</t>
  </si>
  <si>
    <t>State Machine - Validate Number: Process each character through valid numeric states: sign, digits, dot, exponent, and exponent sign.</t>
  </si>
  <si>
    <t>https://leetcode.com/problems/valid-number/</t>
  </si>
  <si>
    <t>Plus One</t>
  </si>
  <si>
    <t>Array, Math</t>
  </si>
  <si>
    <t>Increment from Right with Carry</t>
  </si>
  <si>
    <t>Increment from Right with Carry: Walk from the last digit; increment if &lt;9, otherwise set to 0 and carry left.</t>
  </si>
  <si>
    <t>https://leetcode.com/problems/plus-one/</t>
  </si>
  <si>
    <t>Add Binary</t>
  </si>
  <si>
    <t>String, Bit Manipulation</t>
  </si>
  <si>
    <t>Bit Addition with Carry</t>
  </si>
  <si>
    <t>Amazon, Apple, Google, Grind169, Grind75, Meta, Microsoft</t>
  </si>
  <si>
    <t>Bit Addition with Carry: Add bits from right to left with carry and build the result.</t>
  </si>
  <si>
    <t>https://leetcode.com/problems/add-binary/</t>
  </si>
  <si>
    <t>Text Justification</t>
  </si>
  <si>
    <t>String, Array</t>
  </si>
  <si>
    <t>Greedy - Pack Words per Line</t>
  </si>
  <si>
    <t>Amazon, Apple, Google, Uber</t>
  </si>
  <si>
    <t>Greedy - Pack Words per Line: Greedily fit words into each line, then distribute spaces evenly with extra spaces from the left.</t>
  </si>
  <si>
    <t>O(n·L)</t>
  </si>
  <si>
    <t>O(L)</t>
  </si>
  <si>
    <t>https://leetcode.com/problems/text-justification/</t>
  </si>
  <si>
    <t>Sqrt(x)</t>
  </si>
  <si>
    <t>Binary Search for Floor of sqrt</t>
  </si>
  <si>
    <t>Binary Search for Floor of sqrt: Binary search the largest mid whose square is &lt;= x.</t>
  </si>
  <si>
    <t>https://leetcode.com/problems/sqrtx/</t>
  </si>
  <si>
    <t>Climbing Stairs</t>
  </si>
  <si>
    <t>DP Fibonacci</t>
  </si>
  <si>
    <t>DP Fibonacci: Use the recurrence ways[i] = ways[i-1] + ways[i-2] with two rolling variables.</t>
  </si>
  <si>
    <t>https://leetcode.com/problems/climbing-stairs/</t>
  </si>
  <si>
    <t>Simplify Path</t>
  </si>
  <si>
    <t>Stack for Path Components</t>
  </si>
  <si>
    <t>Stack for Path Components: Split by '/', ignore '.' and empty parts, pop for '..', and push valid directory names.</t>
  </si>
  <si>
    <t>https://leetcode.com/problems/simplify-path/</t>
  </si>
  <si>
    <t>Edit Distance</t>
  </si>
  <si>
    <t>2D DP - Edit Distance</t>
  </si>
  <si>
    <t>2D DP - Edit Distance: Use dp[i][j] for min edits between prefixes; transition by insert, delete, replace, or match.</t>
  </si>
  <si>
    <t>O(min(m, n))</t>
  </si>
  <si>
    <t>https://leetcode.com/problems/edit-distance/</t>
  </si>
  <si>
    <t>Set Matrix Zeroes</t>
  </si>
  <si>
    <t>First Pass Record, Second Pass Zero</t>
  </si>
  <si>
    <t>First Pass Record, Second Pass Zero: Use first row and first column as markers, then zero marked rows and columns.</t>
  </si>
  <si>
    <t>https://leetcode.com/problems/set-matrix-zeroes/</t>
  </si>
  <si>
    <t>Search a 2D Matrix</t>
  </si>
  <si>
    <t>Array, Matrix, Binary Search</t>
  </si>
  <si>
    <t>Binary Search Treating as 1D</t>
  </si>
  <si>
    <t>Amazon, Apple, Google, Grind169, Meta, Microsoft, NeetCode150</t>
  </si>
  <si>
    <t>Binary Search Treating as 1D: Map a virtual 1D index to row and column and run normal binary search.</t>
  </si>
  <si>
    <t>O(log(m·n))</t>
  </si>
  <si>
    <t>https://leetcode.com/problems/search-a-2d-matrix/</t>
  </si>
  <si>
    <t>Sort Colors</t>
  </si>
  <si>
    <t>Dutch National Flag - 3-way Partition</t>
  </si>
  <si>
    <t>Dutch National Flag - 3-way Partition: Maintain low, mid, high pointers and swap 0s left, 2s right, leaving 1s in the middle.</t>
  </si>
  <si>
    <t>https://leetcode.com/problems/sort-colors/</t>
  </si>
  <si>
    <t>Minimum Window Substring</t>
  </si>
  <si>
    <t>String, Sliding Window, Hashing</t>
  </si>
  <si>
    <t>Sliding Window with Need/Have Counters</t>
  </si>
  <si>
    <t>Amazon, Apple, Blind75, Google, Grind169, Grind75, Meta, NeetCode150, Uber</t>
  </si>
  <si>
    <t>Sliding Window with Need/Have Counters: Expand right to satisfy required counts, shrink left while valid, and track the smallest window.</t>
  </si>
  <si>
    <t>https://leetcode.com/problems/minimum-window-substring/</t>
  </si>
  <si>
    <t>Combinations</t>
  </si>
  <si>
    <t>Backtracking - Combinations</t>
  </si>
  <si>
    <t>Backtracking - Combinations: Iterate from start to n, add current to path, recurse for k-1, then backtrack.</t>
  </si>
  <si>
    <t>https://leetcode.com/problems/combinations/</t>
  </si>
  <si>
    <t>Subsets</t>
  </si>
  <si>
    <t>Backtracking / Iterative Subsets</t>
  </si>
  <si>
    <t>Amazon, Google, Grind169, Grind75, Meta, Microsoft, NeetCode150, Uber</t>
  </si>
  <si>
    <t>Backtracking / Iterative Subsets: For each number, either include or exclude it; collect all generated subsets.</t>
  </si>
  <si>
    <t>O(n · 2^n)</t>
  </si>
  <si>
    <t>https://leetcode.com/problems/subsets/</t>
  </si>
  <si>
    <t>Word Search</t>
  </si>
  <si>
    <t>Array, Matrix, DFS</t>
  </si>
  <si>
    <t>DFS Backtracking on Grid</t>
  </si>
  <si>
    <t>DFS Backtracking on Grid: DFS from each matching start cell, mark visited in-place, explore 4 directions, then restore.</t>
  </si>
  <si>
    <t>O(m·n·4^L)</t>
  </si>
  <si>
    <t>https://leetcode.com/problems/word-search/</t>
  </si>
  <si>
    <t>Remove Duplicates from Sorted Array II</t>
  </si>
  <si>
    <t>Two Pointers - Allow At Most 2</t>
  </si>
  <si>
    <t>Two Pointers - Allow At Most 2: Use a write pointer and keep an element only if it differs from the value two kept positions back.</t>
  </si>
  <si>
    <t>https://leetcode.com/problems/remove-duplicates-from-sorted-array-ii/</t>
  </si>
  <si>
    <t>Search in Rotated Sorted Array II</t>
  </si>
  <si>
    <t>Binary Search with Duplicate Handling</t>
  </si>
  <si>
    <t>Amazon, Uber</t>
  </si>
  <si>
    <t>Binary Search with Duplicate Handling: Use rotated binary search; when endpoints equal mid, shrink both ends.</t>
  </si>
  <si>
    <t>O(log n) avg, O(n) worst</t>
  </si>
  <si>
    <t>https://leetcode.com/problems/search-in-rotated-sorted-array-ii/</t>
  </si>
  <si>
    <t>Remove Duplicates from Sorted List II</t>
  </si>
  <si>
    <t>Linked List Pointers</t>
  </si>
  <si>
    <t>Apple</t>
  </si>
  <si>
    <t>Linked List Pointers: Use dummy nodes and careful prev/curr/next pointer updates to handle edge cases cleanly.</t>
  </si>
  <si>
    <t>https://leetcode.com/problems/remove-duplicates-from-sorted-list-ii/</t>
  </si>
  <si>
    <t>Remove Duplicates from Sorted List</t>
  </si>
  <si>
    <t>https://leetcode.com/problems/remove-duplicates-from-sorted-list/</t>
  </si>
  <si>
    <t>Largest Rectangle in Histogram</t>
  </si>
  <si>
    <t>Array, Stack, Monotonic Stack</t>
  </si>
  <si>
    <t>Monotonic Stack - Extend Rectangles</t>
  </si>
  <si>
    <t>Monotonic Stack - Extend Rectangles: Maintain increasing bar indices; when a shorter bar appears, pop and compute rectangle area.</t>
  </si>
  <si>
    <t>https://leetcode.com/problems/largest-rectangle-in-histogram/</t>
  </si>
  <si>
    <t>Maximal Rectangle</t>
  </si>
  <si>
    <t>Array, Matrix, Stack, DP</t>
  </si>
  <si>
    <t>Extend LC84 Row by Row</t>
  </si>
  <si>
    <t>Extend LC84 Row by Row: Convert each matrix row to histogram heights and apply largest rectangle in histogram.</t>
  </si>
  <si>
    <t>https://leetcode.com/problems/maximal-rectangle/</t>
  </si>
  <si>
    <t>Partition List</t>
  </si>
  <si>
    <t>Two Dummy Lists</t>
  </si>
  <si>
    <t>Two Dummy Lists: Build a 'less than x' list and a '&gt;= x' list in one pass, then splice them together.</t>
  </si>
  <si>
    <t>https://leetcode.com/problems/partition-list/</t>
  </si>
  <si>
    <t>Merge Sorted Array</t>
  </si>
  <si>
    <t>Three Pointers Merge from Back</t>
  </si>
  <si>
    <t>Three Pointers Merge from Back: Merge nums2 into nums1 from the end so existing nums1 values are not overwritten.</t>
  </si>
  <si>
    <t>https://leetcode.com/problems/merge-sorted-array/</t>
  </si>
  <si>
    <t>Gray Code</t>
  </si>
  <si>
    <t>Bit Trick</t>
  </si>
  <si>
    <t>Bit Trick: The i-th Gray code is i ^ (i &gt;&gt; 1); generate for i in 0..2^n-1.</t>
  </si>
  <si>
    <t>https://leetcode.com/problems/gray-code/</t>
  </si>
  <si>
    <t>Subsets II</t>
  </si>
  <si>
    <t>Amazon, Apple, Google, NeetCode150</t>
  </si>
  <si>
    <t>https://leetcode.com/problems/subsets-ii/</t>
  </si>
  <si>
    <t>Decode Ways</t>
  </si>
  <si>
    <t>DP - Count Valid Decodings</t>
  </si>
  <si>
    <t>DP - Count Valid Decodings: At each index, add ways from a valid one-digit decode and a valid two-digit decode.</t>
  </si>
  <si>
    <t>https://leetcode.com/problems/decode-ways/</t>
  </si>
  <si>
    <t>Reverse Linked List II</t>
  </si>
  <si>
    <t>https://leetcode.com/problems/reverse-linked-list-ii/</t>
  </si>
  <si>
    <t>Restore IP Addresses</t>
  </si>
  <si>
    <t>Amazon, Microsoft</t>
  </si>
  <si>
    <t>https://leetcode.com/problems/restore-ip-addresses/</t>
  </si>
  <si>
    <t>Binary Tree Inorder Traversal</t>
  </si>
  <si>
    <t>Tree, DFS</t>
  </si>
  <si>
    <t>Iterative Inorder with Stack</t>
  </si>
  <si>
    <t>Iterative Inorder with Stack: Push left nodes, pop to visit, then traverse right subtree.</t>
  </si>
  <si>
    <t>O(h)</t>
  </si>
  <si>
    <t>https://leetcode.com/problems/binary-tree-inorder-traversal/</t>
  </si>
  <si>
    <t>Unique Binary Search Trees II</t>
  </si>
  <si>
    <t>Tree, DP</t>
  </si>
  <si>
    <t>Dynamic Programming</t>
  </si>
  <si>
    <t>Dynamic Programming: Define the state, initialize base cases, and transition from smaller subproblems to compute the answer.</t>
  </si>
  <si>
    <t>https://leetcode.com/problems/unique-binary-search-trees-ii/</t>
  </si>
  <si>
    <t>Unique Binary Search Trees</t>
  </si>
  <si>
    <t>Tree, DP, Math</t>
  </si>
  <si>
    <t>Binary Search</t>
  </si>
  <si>
    <t>Binary Search: Define a monotonic condition, check the middle value, and discard the half that cannot contain the answer.</t>
  </si>
  <si>
    <t>https://leetcode.com/problems/unique-binary-search-trees/</t>
  </si>
  <si>
    <t>Interleaving String</t>
  </si>
  <si>
    <t>https://leetcode.com/problems/interleaving-string/</t>
  </si>
  <si>
    <t>Validate Binary Search Tree</t>
  </si>
  <si>
    <t>Tree, DFS, BST</t>
  </si>
  <si>
    <t>DFS with Min/Max Bounds</t>
  </si>
  <si>
    <t>DFS with Min/Max Bounds: Pass lower and upper bounds down the tree and ensure every node lies within its valid range.</t>
  </si>
  <si>
    <t>https://leetcode.com/problems/validate-binary-search-tree/</t>
  </si>
  <si>
    <t>Recover Binary Search Tree</t>
  </si>
  <si>
    <t>https://leetcode.com/problems/recover-binary-search-tree/</t>
  </si>
  <si>
    <t>Same Tree</t>
  </si>
  <si>
    <t>DFS - Compare Structure and Values</t>
  </si>
  <si>
    <t>DFS - Compare Structure and Values: Recursively compare both trees for null structure, value equality, and matching children.</t>
  </si>
  <si>
    <t>https://leetcode.com/problems/same-tree/</t>
  </si>
  <si>
    <t>Symmetric Tree</t>
  </si>
  <si>
    <t>Tree, DFS, BFS</t>
  </si>
  <si>
    <t>DFS - Mirror Check on Left/Right</t>
  </si>
  <si>
    <t>DFS - Mirror Check on Left/Right: Recursively compare left.left with right.right and left.right with right.left.</t>
  </si>
  <si>
    <t>https://leetcode.com/problems/symmetric-tree/</t>
  </si>
  <si>
    <t>Binary Tree Level Order Traversal</t>
  </si>
  <si>
    <t>Tree, BFS</t>
  </si>
  <si>
    <t>BFS with Level Size Snapshot</t>
  </si>
  <si>
    <t>BFS with Level Size Snapshot: Use a queue and process exactly the current queue size for each level.</t>
  </si>
  <si>
    <t>https://leetcode.com/problems/binary-tree-level-order-traversal/</t>
  </si>
  <si>
    <t>Binary Tree Zigzag Level Order Traversal</t>
  </si>
  <si>
    <t>Tree, BFS, Stack</t>
  </si>
  <si>
    <t>Stack</t>
  </si>
  <si>
    <t>Amazon, Apple, Google, Grind169, Microsoft</t>
  </si>
  <si>
    <t>Stack: Push unresolved items and resolve them when the current item matches or dominates the stack top.</t>
  </si>
  <si>
    <t>https://leetcode.com/problems/binary-tree-zigzag-level-order-traversal/</t>
  </si>
  <si>
    <t>Maximum Depth of Binary Tree</t>
  </si>
  <si>
    <t>DFS - Return Max Depth</t>
  </si>
  <si>
    <t>DFS - Return Max Depth: Return 1 plus the maximum depth of left and right subtrees.</t>
  </si>
  <si>
    <t>https://leetcode.com/problems/maximum-depth-of-binary-tree/</t>
  </si>
  <si>
    <t>Construct Binary Tree from Preorder and Inorder Traversal</t>
  </si>
  <si>
    <t>Tree, DFS, Array</t>
  </si>
  <si>
    <t>Divide and Conquer with Inorder Index Map</t>
  </si>
  <si>
    <t>Divide and Conquer with Inorder Index Map: Use preorder root and inorder index to split left/right subtrees recursively.</t>
  </si>
  <si>
    <t>https://leetcode.com/problems/construct-binary-tree-from-preorder-and-inorder-traversal/</t>
  </si>
  <si>
    <t>Construct Binary Tree from Inorder and Postorder Traversal</t>
  </si>
  <si>
    <t>Recursive Build</t>
  </si>
  <si>
    <t>Recursive Build: Last value of postorder is the root; find it in inorder (hashmap) to split left/right, build right subtree before left.</t>
  </si>
  <si>
    <t>https://leetcode.com/problems/construct-binary-tree-from-inorder-and-postorder-traversal/</t>
  </si>
  <si>
    <t>Binary Tree Level Order Traversal II</t>
  </si>
  <si>
    <t>BFS + Reverse</t>
  </si>
  <si>
    <t>BFS + Reverse: Standard level-order BFS collecting each level, then reverse the list of levels (or prepend each level).</t>
  </si>
  <si>
    <t>https://leetcode.com/problems/binary-tree-level-order-traversal-ii/</t>
  </si>
  <si>
    <t>Convert Sorted Array to Binary Search Tree</t>
  </si>
  <si>
    <t>Tree, Binary Search</t>
  </si>
  <si>
    <t>Apple, Google, Grind169</t>
  </si>
  <si>
    <t>https://leetcode.com/problems/convert-sorted-array-to-binary-search-tree/</t>
  </si>
  <si>
    <t>Convert Sorted List to Binary Search Tree</t>
  </si>
  <si>
    <t>Tree, Linked List</t>
  </si>
  <si>
    <t>https://leetcode.com/problems/convert-sorted-list-to-binary-search-tree/</t>
  </si>
  <si>
    <t>Balanced Binary Tree</t>
  </si>
  <si>
    <t>Tree DFS/BFS</t>
  </si>
  <si>
    <t>Amazon, Google, Grind169, Grind75, Meta, Microsoft, NeetCode150</t>
  </si>
  <si>
    <t>Tree DFS/BFS: Traverse the tree recursively or level by level, returning local information needed to build the global answer.</t>
  </si>
  <si>
    <t>https://leetcode.com/problems/balanced-binary-tree/</t>
  </si>
  <si>
    <t>Minimum Depth of Binary Tree</t>
  </si>
  <si>
    <t>https://leetcode.com/problems/minimum-depth-of-binary-tree/</t>
  </si>
  <si>
    <t>Path Sum</t>
  </si>
  <si>
    <t>Apple, Google, Microsoft</t>
  </si>
  <si>
    <t>https://leetcode.com/problems/path-sum/</t>
  </si>
  <si>
    <t>Path Sum II</t>
  </si>
  <si>
    <t>Tree, DFS, Backtracking</t>
  </si>
  <si>
    <t>Amazon, Grind169</t>
  </si>
  <si>
    <t>https://leetcode.com/problems/path-sum-ii/</t>
  </si>
  <si>
    <t>Flatten Binary Tree to Linked List</t>
  </si>
  <si>
    <t>https://leetcode.com/problems/flatten-binary-tree-to-linked-list/</t>
  </si>
  <si>
    <t>Distinct Subsequences</t>
  </si>
  <si>
    <t>https://leetcode.com/problems/distinct-subsequences/</t>
  </si>
  <si>
    <t>Populating Next Right Pointers in Each Node</t>
  </si>
  <si>
    <t>https://leetcode.com/problems/populating-next-right-pointers-in-each-node/</t>
  </si>
  <si>
    <t>Populating Next Right Pointers in Each Node II</t>
  </si>
  <si>
    <t>Meta</t>
  </si>
  <si>
    <t>https://leetcode.com/problems/populating-next-right-pointers-in-each-node-ii/</t>
  </si>
  <si>
    <t>Pascal's Triangle</t>
  </si>
  <si>
    <t>https://leetcode.com/problems/pascals-triangle/</t>
  </si>
  <si>
    <t>Triangle</t>
  </si>
  <si>
    <t>https://leetcode.com/problems/triangle/</t>
  </si>
  <si>
    <t>Best Time to Buy and Sell Stock</t>
  </si>
  <si>
    <t>Single Pass - Track Min Price</t>
  </si>
  <si>
    <t>Single Pass - Track Min Price: Track the lowest price so far and update max profit using current price minus min price.</t>
  </si>
  <si>
    <t>https://leetcode.com/problems/best-time-to-buy-and-sell-stock/</t>
  </si>
  <si>
    <t>Best Time to Buy and Sell Stock II</t>
  </si>
  <si>
    <t>Greedy - Take Every Upward Slope</t>
  </si>
  <si>
    <t>Greedy - Take Every Upward Slope: Sum every positive day-to-day price difference.</t>
  </si>
  <si>
    <t>https://leetcode.com/problems/best-time-to-buy-and-sell-stock-ii/</t>
  </si>
  <si>
    <t>Best Time to Buy and Sell Stock III</t>
  </si>
  <si>
    <t>https://leetcode.com/problems/best-time-to-buy-and-sell-stock-iii/</t>
  </si>
  <si>
    <t>Binary Tree Maximum Path Sum</t>
  </si>
  <si>
    <t>Tree, DFS, DP</t>
  </si>
  <si>
    <t>DFS - Global Max with Local Gain</t>
  </si>
  <si>
    <t>DFS - Global Max with Local Gain: Return max downward gain from each node and update global path using left + node + right.</t>
  </si>
  <si>
    <t>https://leetcode.com/problems/binary-tree-maximum-path-sum/</t>
  </si>
  <si>
    <t>Valid Palindrome</t>
  </si>
  <si>
    <t>String, Two Pointers</t>
  </si>
  <si>
    <t>Two Pointers - Skip Non-Alphanumeric</t>
  </si>
  <si>
    <t>Two Pointers - Skip Non-Alphanumeric: Move inward while skipping non-alphanumeric chars and compare lowercase values.</t>
  </si>
  <si>
    <t>https://leetcode.com/problems/valid-palindrome/</t>
  </si>
  <si>
    <t>Word Ladder II</t>
  </si>
  <si>
    <t>String, BFS</t>
  </si>
  <si>
    <t>Graph Traversal</t>
  </si>
  <si>
    <t>Amazon, Apple, Google</t>
  </si>
  <si>
    <t>Graph Traversal: Build adjacency/state representation, use BFS for shortest path or DFS for reachability/components, and track visited states.</t>
  </si>
  <si>
    <t>O(N·L² + paths)</t>
  </si>
  <si>
    <t>O(N·L + paths)</t>
  </si>
  <si>
    <t>https://leetcode.com/problems/word-ladder-ii/</t>
  </si>
  <si>
    <t>Word Ladder</t>
  </si>
  <si>
    <t>String, BFS, Hashing</t>
  </si>
  <si>
    <t>O(N·L²)</t>
  </si>
  <si>
    <t>O(N·L)</t>
  </si>
  <si>
    <t>https://leetcode.com/problems/word-ladder/</t>
  </si>
  <si>
    <t>Longest Consecutive Sequence</t>
  </si>
  <si>
    <t>Array, Hashing, Union-Find</t>
  </si>
  <si>
    <t>HashSet - Chain Counting</t>
  </si>
  <si>
    <t>HashSet - Chain Counting: Start counting only from numbers that have no predecessor and extend the consecutive chain.</t>
  </si>
  <si>
    <t>https://leetcode.com/problems/longest-consecutive-sequence/</t>
  </si>
  <si>
    <t>Sum Root to Leaf Numbers</t>
  </si>
  <si>
    <t>Amazon, Google, Meta</t>
  </si>
  <si>
    <t>https://leetcode.com/problems/sum-root-to-leaf-numbers/</t>
  </si>
  <si>
    <t>Surrounded Regions</t>
  </si>
  <si>
    <t>Array, Matrix, DFS, BFS</t>
  </si>
  <si>
    <t>Amazon, Google, NeetCode150</t>
  </si>
  <si>
    <t>https://leetcode.com/problems/surrounded-regions/</t>
  </si>
  <si>
    <t>Palindrome Partitioning</t>
  </si>
  <si>
    <t>String, Backtracking, DP</t>
  </si>
  <si>
    <t>Amazon, Google, Meta, Microsoft, NeetCode150</t>
  </si>
  <si>
    <t>O(n·2^n)</t>
  </si>
  <si>
    <t>https://leetcode.com/problems/palindrome-partitioning/</t>
  </si>
  <si>
    <t>Clone Graph</t>
  </si>
  <si>
    <t>Graph, DFS, BFS, Hashing</t>
  </si>
  <si>
    <t>Amazon, Apple, Blind75, Grind169, Grind75, Meta, Microsoft, NeetCode150, Uber</t>
  </si>
  <si>
    <t>O(V+E)</t>
  </si>
  <si>
    <t>O(V)</t>
  </si>
  <si>
    <t>https://leetcode.com/problems/clone-graph/</t>
  </si>
  <si>
    <t>Gas Station</t>
  </si>
  <si>
    <t>Array Scan</t>
  </si>
  <si>
    <t>Amazon, Apple, Google, Grind169, Meta, NeetCode150</t>
  </si>
  <si>
    <t>Array Scan: Iterate through the array while maintaining running state and update the result in-place when possible.</t>
  </si>
  <si>
    <t>https://leetcode.com/problems/gas-station/</t>
  </si>
  <si>
    <t>Candy</t>
  </si>
  <si>
    <t>Amazon, Google, Meta, Microsoft, Uber</t>
  </si>
  <si>
    <t>https://leetcode.com/problems/candy/</t>
  </si>
  <si>
    <t>Single Number</t>
  </si>
  <si>
    <t>Array, Bit Manipulation</t>
  </si>
  <si>
    <t>XOR All Elements</t>
  </si>
  <si>
    <t>Amazon, Google, Grind169, Meta, NeetCode150</t>
  </si>
  <si>
    <t>XOR All Elements: XOR all values so duplicate pairs cancel and the single number remains.</t>
  </si>
  <si>
    <t>https://leetcode.com/problems/single-number/</t>
  </si>
  <si>
    <t>Single Number II</t>
  </si>
  <si>
    <t>Bit Manipulation</t>
  </si>
  <si>
    <t>https://leetcode.com/problems/single-number-ii/</t>
  </si>
  <si>
    <t>Copy List with Random Pointer</t>
  </si>
  <si>
    <t>Linked List, Hashing</t>
  </si>
  <si>
    <t>https://leetcode.com/problems/copy-list-with-random-pointer/</t>
  </si>
  <si>
    <t>Word Break</t>
  </si>
  <si>
    <t>String, DP, Hashing</t>
  </si>
  <si>
    <t>https://leetcode.com/problems/word-break/</t>
  </si>
  <si>
    <t>Word Break II</t>
  </si>
  <si>
    <t>String, DP, Backtracking</t>
  </si>
  <si>
    <t>O(n² + output)</t>
  </si>
  <si>
    <t>https://leetcode.com/problems/word-break-ii/</t>
  </si>
  <si>
    <t>Linked List Cycle</t>
  </si>
  <si>
    <t>Linked List, Two Pointers</t>
  </si>
  <si>
    <t>Fast and Slow Pointers</t>
  </si>
  <si>
    <t>Amazon, Blind75, Google, Grind169, Grind75, Microsoft, NeetCode150</t>
  </si>
  <si>
    <t>Fast and Slow Pointers: Move slow by 1 and fast by 2; if they meet, a cycle exists.</t>
  </si>
  <si>
    <t>https://leetcode.com/problems/linked-list-cycle/</t>
  </si>
  <si>
    <t>Linked List Cycle II</t>
  </si>
  <si>
    <t>Fast/Slow + Find Cycle Entry</t>
  </si>
  <si>
    <t>Fast/Slow + Find Cycle Entry: After detecting a meeting point, reset one pointer to head and move both one step to find entry.</t>
  </si>
  <si>
    <t>https://leetcode.com/problems/linked-list-cycle-ii/</t>
  </si>
  <si>
    <t>Reorder List</t>
  </si>
  <si>
    <t>Two Pointers</t>
  </si>
  <si>
    <t>Two Pointers: Maintain two indices and move the pointer that helps satisfy the condition while updating the answer.</t>
  </si>
  <si>
    <t>https://leetcode.com/problems/reorder-list/</t>
  </si>
  <si>
    <t>LRU Cache</t>
  </si>
  <si>
    <t>Design, Linked List, Hashing</t>
  </si>
  <si>
    <t>HashMap + Doubly Linked List</t>
  </si>
  <si>
    <t>HashMap + Doubly Linked List: Use a map for O(1) access and a DLL to maintain recency for eviction.</t>
  </si>
  <si>
    <t>O(1) get/put</t>
  </si>
  <si>
    <t>O(capacity)</t>
  </si>
  <si>
    <t>https://leetcode.com/problems/lru-cache/</t>
  </si>
  <si>
    <t>Sort List</t>
  </si>
  <si>
    <t>Linked List, Sorting</t>
  </si>
  <si>
    <t>https://leetcode.com/problems/sort-list/</t>
  </si>
  <si>
    <t>Max Points on a Line</t>
  </si>
  <si>
    <t>Math, Hashing</t>
  </si>
  <si>
    <t>HashMap / HashSet</t>
  </si>
  <si>
    <t>HashMap / HashSet: Store seen values or counts for O(1) average lookups and update the answer during one pass.</t>
  </si>
  <si>
    <t>https://leetcode.com/problems/max-points-on-a-line/</t>
  </si>
  <si>
    <t>Evaluate Reverse Polish Notation</t>
  </si>
  <si>
    <t>Array, Stack, Math</t>
  </si>
  <si>
    <t>Stack - Evaluate RPN</t>
  </si>
  <si>
    <t>Amazon, Apple, Google, Grind169, Grind75, Meta, Microsoft, NeetCode150</t>
  </si>
  <si>
    <t>Stack - Evaluate RPN: Push numbers; on an operator, pop two operands, compute, and push the result.</t>
  </si>
  <si>
    <t>https://leetcode.com/problems/evaluate-reverse-polish-notation/</t>
  </si>
  <si>
    <t>Reverse Words in a String</t>
  </si>
  <si>
    <t>https://leetcode.com/problems/reverse-words-in-a-string/</t>
  </si>
  <si>
    <t>Maximum Product Subarray</t>
  </si>
  <si>
    <t>DP - Track Max and Min Product</t>
  </si>
  <si>
    <t>Amazon, Blind75, Google, Grind169, Meta, Microsoft, NeetCode150</t>
  </si>
  <si>
    <t>DP - Track Max and Min Product: Track both max and min product ending here because negatives can flip them.</t>
  </si>
  <si>
    <t>https://leetcode.com/problems/maximum-product-subarray/</t>
  </si>
  <si>
    <t>Find Minimum in Rotated Sorted Array</t>
  </si>
  <si>
    <t>Binary Search - Minimum in Rotated</t>
  </si>
  <si>
    <t>Binary Search - Minimum in Rotated: Compare mid with right boundary to decide which side contains the minimum.</t>
  </si>
  <si>
    <t>https://leetcode.com/problems/find-minimum-in-rotated-sorted-array/</t>
  </si>
  <si>
    <t>Find Minimum in Rotated Sorted Array II</t>
  </si>
  <si>
    <t>Binary Search with Duplicates</t>
  </si>
  <si>
    <t>Binary Search with Duplicates: Compare mid to right; if greater go right, if smaller go left, if equal shrink right by one.</t>
  </si>
  <si>
    <t>https://leetcode.com/problems/find-minimum-in-rotated-sorted-array-ii/</t>
  </si>
  <si>
    <t>Min Stack</t>
  </si>
  <si>
    <t>Stack, Design</t>
  </si>
  <si>
    <t>Stack + Auxiliary Min Stack</t>
  </si>
  <si>
    <t>Stack + Auxiliary Min Stack: Maintain a normal stack and a min stack so getMin reads the current minimum in O(1).</t>
  </si>
  <si>
    <t>O(1) per op</t>
  </si>
  <si>
    <t>https://leetcode.com/problems/min-stack/</t>
  </si>
  <si>
    <t>Read N Characters Given Read4</t>
  </si>
  <si>
    <t>String, Design</t>
  </si>
  <si>
    <t>Simulation - Read4 Loop</t>
  </si>
  <si>
    <t>Simulation - Read4 Loop: Call read4 repeatedly. Copy bytes into buf until reaching n or EOF. Handle partial reads at end.</t>
  </si>
  <si>
    <t>https://leetcode.com/problems/read-n-characters-given-read4/</t>
  </si>
  <si>
    <t>Read N Characters Given read4 II - Call Multiple Times</t>
  </si>
  <si>
    <t>Buffered Read with State</t>
  </si>
  <si>
    <t>Buffered Read with State: Maintain internal buffer from read4 calls. Track buffer position and size across multiple read() calls.</t>
  </si>
  <si>
    <t>https://leetcode.com/problems/read-n-characters-given-read4-ii-call-multiple-times/</t>
  </si>
  <si>
    <t>Intersection of Two Linked Lists</t>
  </si>
  <si>
    <t>Two Pointers - Path Equalization</t>
  </si>
  <si>
    <t>Two Pointers - Path Equalization: Traverse both lists and switch heads at the end; pointers meet at intersection or null.</t>
  </si>
  <si>
    <t>https://leetcode.com/problems/intersection-of-two-linked-lists/</t>
  </si>
  <si>
    <t>One Edit Distance</t>
  </si>
  <si>
    <t>String Processing</t>
  </si>
  <si>
    <t>Apple, Uber</t>
  </si>
  <si>
    <t>String Processing: Scan characters while maintaining the needed state, counters, or parsed tokens.</t>
  </si>
  <si>
    <t>https://leetcode.com/problems/one-edit-distance/</t>
  </si>
  <si>
    <t>Find Peak Element</t>
  </si>
  <si>
    <t>https://leetcode.com/problems/find-peak-element/</t>
  </si>
  <si>
    <t>Missing Ranges</t>
  </si>
  <si>
    <t>Two Pointers Scan</t>
  </si>
  <si>
    <t>Two Pointers Scan: When gap between nums[i-1]+1 and nums[i]-1 exists, output that range. Handle boundary edges separately.</t>
  </si>
  <si>
    <t>https://leetcode.com/problems/missing-ranges/</t>
  </si>
  <si>
    <t>Compare Version Numbers</t>
  </si>
  <si>
    <t>https://leetcode.com/problems/compare-version-numbers/</t>
  </si>
  <si>
    <t>Fraction to Recurring Decimal</t>
  </si>
  <si>
    <t>Math, Hashing, String</t>
  </si>
  <si>
    <t>Long Division</t>
  </si>
  <si>
    <t>Long Division: Divide numerator by denominator tracking remainders in a HashMap. When remainder repeats, insert parentheses at that position.</t>
  </si>
  <si>
    <t>https://leetcode.com/problems/fraction-to-recurring-decimal/</t>
  </si>
  <si>
    <t>Two Sum II - Input Array Is Sorted</t>
  </si>
  <si>
    <t>Amazon, Apple, Google, Meta, NeetCode150</t>
  </si>
  <si>
    <t>https://leetcode.com/problems/two-sum-ii-input-array-is-sorted/</t>
  </si>
  <si>
    <t>Excel Sheet Column Title</t>
  </si>
  <si>
    <t>Math, String</t>
  </si>
  <si>
    <t>Base-26 Conversion</t>
  </si>
  <si>
    <t>Base-26 Conversion: Convert number to base-26 with A=1..Z=26 (no zero digit). Repeatedly take (n-1)%26 and prepend letter, then n=(n-1)/26.</t>
  </si>
  <si>
    <t>https://leetcode.com/problems/excel-sheet-column-title/</t>
  </si>
  <si>
    <t>Majority Element</t>
  </si>
  <si>
    <t>Boyer-Moore Voting Algorithm</t>
  </si>
  <si>
    <t>Amazon, Google, Grind169, Grind75, Meta, Microsoft</t>
  </si>
  <si>
    <t>Boyer-Moore Voting Algorithm: Maintain a candidate and count; majority survives cancellations, then candidate is answer.</t>
  </si>
  <si>
    <t>https://leetcode.com/problems/majority-element/</t>
  </si>
  <si>
    <t>Excel Sheet Column Number</t>
  </si>
  <si>
    <t>Uber</t>
  </si>
  <si>
    <t>https://leetcode.com/problems/excel-sheet-column-number/</t>
  </si>
  <si>
    <t>Factorial Trailing Zeroes</t>
  </si>
  <si>
    <t>Count Factors of 5</t>
  </si>
  <si>
    <t>Count Factors of 5: Trailing zeros = n/5 + n/25 + n/125 + ... since 5s are scarcer than 2s.</t>
  </si>
  <si>
    <t>https://leetcode.com/problems/factorial-trailing-zeroes/</t>
  </si>
  <si>
    <t>Binary Search Tree Iterator</t>
  </si>
  <si>
    <t>Tree, BST, Design</t>
  </si>
  <si>
    <t>Amazon, Apple, Meta, Microsoft</t>
  </si>
  <si>
    <t>O(1) avg next</t>
  </si>
  <si>
    <t>https://leetcode.com/problems/binary-search-tree-iterator/</t>
  </si>
  <si>
    <t>Dungeon Game</t>
  </si>
  <si>
    <t>DP Bottom-Up from Bottom-Right</t>
  </si>
  <si>
    <t>Amazon, Google, Uber</t>
  </si>
  <si>
    <t>DP Bottom-Up from Bottom-Right: dp[i][j]=min health to survive. At exit: max(1,1-dungeon[m-1][n-1]). Backward transition: max(1, min(dp[i+1][j], dp[i][j+1]) - dungeon[i][j]).</t>
  </si>
  <si>
    <t>https://leetcode.com/problems/dungeon-game/</t>
  </si>
  <si>
    <t>Combine Two Tables</t>
  </si>
  <si>
    <t>SQL</t>
  </si>
  <si>
    <t>SQL LEFT JOIN</t>
  </si>
  <si>
    <t>SQL LEFT JOIN: LEFT JOIN Persons and Addresses on PersonId to include persons with no address (NULL for city/state).</t>
  </si>
  <si>
    <t>https://leetcode.com/problems/combine-two-tables/</t>
  </si>
  <si>
    <t>Second Highest Salary</t>
  </si>
  <si>
    <t>SQL Subquery/LIMIT</t>
  </si>
  <si>
    <t>SQL Subquery/LIMIT: SELECT DISTINCT salary FROM Employee ORDER BY salary DESC LIMIT 1 OFFSET 1. Return NULL if not found.</t>
  </si>
  <si>
    <t>https://leetcode.com/problems/second-highest-salary/</t>
  </si>
  <si>
    <t>Nth Highest Salary</t>
  </si>
  <si>
    <t>SQL Nth</t>
  </si>
  <si>
    <t>SQL Nth: SELECT DISTINCT salary FROM Employee ORDER BY salary DESC LIMIT 1 OFFSET N-1. Use variable offset.</t>
  </si>
  <si>
    <t>https://leetcode.com/problems/nth-highest-salary/</t>
  </si>
  <si>
    <t>Rank Scores</t>
  </si>
  <si>
    <t>SQL Window</t>
  </si>
  <si>
    <t>SQL Window: DENSE_RANK() OVER (ORDER BY score DESC) gives the rank with no gaps for ties.</t>
  </si>
  <si>
    <t>https://leetcode.com/problems/rank-scores/</t>
  </si>
  <si>
    <t>Largest Number</t>
  </si>
  <si>
    <t>Array, String, Sorting</t>
  </si>
  <si>
    <t>Custom Comparator Sort</t>
  </si>
  <si>
    <t>Amazon, Grind169, Microsoft</t>
  </si>
  <si>
    <t>Custom Comparator Sort: Sort by comparing concatenated strings ab vs ba. comparator: return b+a &gt; a+b.</t>
  </si>
  <si>
    <t>O(n log n · k)</t>
  </si>
  <si>
    <t>https://leetcode.com/problems/largest-number/</t>
  </si>
  <si>
    <t>Consecutive Numbers</t>
  </si>
  <si>
    <t>SQL Self-Join / Window</t>
  </si>
  <si>
    <t>SQL Self-Join / Window: Join on id=id+1=id+2 with equal num (or use LAG/LEAD) and keep rows appearing 3 times in a row.</t>
  </si>
  <si>
    <t>https://leetcode.com/problems/consecutive-numbers/</t>
  </si>
  <si>
    <t>Employees Earning More Than Their Managers</t>
  </si>
  <si>
    <t>SQL Self-Join</t>
  </si>
  <si>
    <t>SQL Self-Join: JOIN Employee as e with Employee as m on e.ManagerId=m.Id. WHERE e.Salary &gt; m.Salary.</t>
  </si>
  <si>
    <t>https://leetcode.com/problems/employees-earning-more-than-their-managers/</t>
  </si>
  <si>
    <t>Duplicate Emails</t>
  </si>
  <si>
    <t>SQL GROUP BY HAVING</t>
  </si>
  <si>
    <t>SQL GROUP BY HAVING: SELECT Email FROM Person GROUP BY Email HAVING COUNT(Id) &gt; 1.</t>
  </si>
  <si>
    <t>https://leetcode.com/problems/duplicate-emails/</t>
  </si>
  <si>
    <t>Customers Who Never Order</t>
  </si>
  <si>
    <t>SQL LEFT JOIN IS NULL</t>
  </si>
  <si>
    <t>SQL LEFT JOIN IS NULL: SELECT c.Name FROM Customers c LEFT JOIN Orders o ON c.Id=o.CustomerId WHERE o.Id IS NULL.</t>
  </si>
  <si>
    <t>https://leetcode.com/problems/customers-who-never-order/</t>
  </si>
  <si>
    <t>Department Highest Salary</t>
  </si>
  <si>
    <t>SQL Group Max</t>
  </si>
  <si>
    <t>SQL Group Max: Join Employee to Department and keep rows where salary equals the per-department MAX (subquery or window).</t>
  </si>
  <si>
    <t>https://leetcode.com/problems/department-highest-salary/</t>
  </si>
  <si>
    <t>Department Top Three Salaries</t>
  </si>
  <si>
    <t>SQL Dense Rank</t>
  </si>
  <si>
    <t>SQL Dense Rank: DENSE_RANK() PARTITION BY department ORDER BY salary DESC; keep rank &lt;= 3.</t>
  </si>
  <si>
    <t>https://leetcode.com/problems/department-top-three-salaries/</t>
  </si>
  <si>
    <t>Reverse Words in a String II</t>
  </si>
  <si>
    <t>https://leetcode.com/problems/reverse-words-in-a-string-ii/</t>
  </si>
  <si>
    <t>Repeated DNA Sequences</t>
  </si>
  <si>
    <t>String, Hashing, Bit Manipulation, Sliding Window</t>
  </si>
  <si>
    <t>Sliding Window Hashing</t>
  </si>
  <si>
    <t>Sliding Window Hashing: Slide a length-10 window, store each substring in a set, and emit it the second time it is seen.</t>
  </si>
  <si>
    <t>https://leetcode.com/problems/repeated-dna-sequences/</t>
  </si>
  <si>
    <t>Best Time to Buy and Sell Stock IV</t>
  </si>
  <si>
    <t>https://leetcode.com/problems/best-time-to-buy-and-sell-stock-iv/</t>
  </si>
  <si>
    <t>Rotate Array</t>
  </si>
  <si>
    <t>Array, Two Pointers, Math</t>
  </si>
  <si>
    <t>https://leetcode.com/problems/rotate-array/</t>
  </si>
  <si>
    <t>Reverse Bits</t>
  </si>
  <si>
    <t>Amazon, Apple, Blind75, Grind169, NeetCode150</t>
  </si>
  <si>
    <t>https://leetcode.com/problems/reverse-bits/</t>
  </si>
  <si>
    <t>Number of 1 Bits</t>
  </si>
  <si>
    <t>Amazon, Apple, Blind75, Google, Grind169, Meta, NeetCode150</t>
  </si>
  <si>
    <t>https://leetcode.com/problems/number-of-1-bits/</t>
  </si>
  <si>
    <t>Valid Phone Numbers</t>
  </si>
  <si>
    <t>Regex Line Filter</t>
  </si>
  <si>
    <t>Regex Line Filter: grep a line against ^(\d{3}-|\(\d{3}\) )\d{3}-\d{4}$ to keep valid phone numbers.</t>
  </si>
  <si>
    <t>https://leetcode.com/problems/valid-phone-numbers/</t>
  </si>
  <si>
    <t>Delete Duplicate Emails</t>
  </si>
  <si>
    <t>Database (SQL)</t>
  </si>
  <si>
    <t>SQL DELETE Self-Join</t>
  </si>
  <si>
    <t>SQL DELETE Self-Join: DELETE p1 FROM Person p1, Person p2 WHERE p1.Email=p2.Email AND p1.Id &gt; p2.Id.</t>
  </si>
  <si>
    <t>https://leetcode.com/problems/delete-duplicate-emails/</t>
  </si>
  <si>
    <t>Rising Temperature</t>
  </si>
  <si>
    <t>SQL Date Diff Join</t>
  </si>
  <si>
    <t>SQL Date Diff Join: JOIN Weather w1 with w2 on DATEDIFF(w1.recordDate, w2.recordDate)=1 WHERE w1.temperature &gt; w2.temperature.</t>
  </si>
  <si>
    <t>https://leetcode.com/problems/rising-temperature/</t>
  </si>
  <si>
    <t>House Robber</t>
  </si>
  <si>
    <t>DP - Rob or Skip</t>
  </si>
  <si>
    <t>DP - Rob or Skip: For each house, choose max of skipping it or robbing it plus best two positions back.</t>
  </si>
  <si>
    <t>https://leetcode.com/problems/house-robber/</t>
  </si>
  <si>
    <t>Binary Tree Right Side View</t>
  </si>
  <si>
    <t>Tree, BFS, DFS</t>
  </si>
  <si>
    <t>Amazon, Apple, Grind169, Grind75, Meta, Microsoft, NeetCode150, Uber</t>
  </si>
  <si>
    <t>https://leetcode.com/problems/binary-tree-right-side-view/</t>
  </si>
  <si>
    <t>Number of Islands</t>
  </si>
  <si>
    <t>DFS/BFS Flood Fill</t>
  </si>
  <si>
    <t>DFS/BFS Flood Fill: For each unvisited land cell, flood-fill the whole island and increment count.</t>
  </si>
  <si>
    <t>https://leetcode.com/problems/number-of-islands/</t>
  </si>
  <si>
    <t>Happy Number</t>
  </si>
  <si>
    <t>Hashing, Two Pointers, Math</t>
  </si>
  <si>
    <t>Fast/Slow Pointers on Number Sequence</t>
  </si>
  <si>
    <t>Fast/Slow Pointers on Number Sequence: Repeatedly transform number to sum of squared digits and detect cycle; reaching 1 means happy.</t>
  </si>
  <si>
    <t>https://leetcode.com/problems/happy-number/</t>
  </si>
  <si>
    <t>Remove Linked List Elements</t>
  </si>
  <si>
    <t>https://leetcode.com/problems/remove-linked-list-elements/</t>
  </si>
  <si>
    <t>Count Primes</t>
  </si>
  <si>
    <t>O(n log log n)</t>
  </si>
  <si>
    <t>https://leetcode.com/problems/count-primes/</t>
  </si>
  <si>
    <t>Isomorphic Strings</t>
  </si>
  <si>
    <t>String, Hashing</t>
  </si>
  <si>
    <t>https://leetcode.com/problems/isomorphic-strings/</t>
  </si>
  <si>
    <t>Reverse Linked List</t>
  </si>
  <si>
    <t>Iterative with Prev/Curr Pointers</t>
  </si>
  <si>
    <t>Iterative with Prev/Curr Pointers: Reverse links one by one using prev, curr, and next pointers.</t>
  </si>
  <si>
    <t>https://leetcode.com/problems/reverse-linked-list/</t>
  </si>
  <si>
    <t>Course Schedule</t>
  </si>
  <si>
    <t>Graph, Topological Sort</t>
  </si>
  <si>
    <t>Topological Sort / Cycle Detection</t>
  </si>
  <si>
    <t>Topological Sort / Cycle Detection: Build graph and indegrees; process zero-indegree courses and verify all are processed.</t>
  </si>
  <si>
    <t>https://leetcode.com/problems/course-schedule/</t>
  </si>
  <si>
    <t>Implement Trie (Prefix Tree)</t>
  </si>
  <si>
    <t>Trie, Design</t>
  </si>
  <si>
    <t>TrieNode with children + isEnd</t>
  </si>
  <si>
    <t>TrieNode with children + isEnd: Insert and search by walking character nodes; mark word endings separately.</t>
  </si>
  <si>
    <t>O(L) per op</t>
  </si>
  <si>
    <t>O(total characters)</t>
  </si>
  <si>
    <t>https://leetcode.com/problems/implement-trie-prefix-tree/</t>
  </si>
  <si>
    <t>Minimum Size Subarray Sum</t>
  </si>
  <si>
    <t>Array, Sliding Window</t>
  </si>
  <si>
    <t>Sliding Window</t>
  </si>
  <si>
    <t>Amazon, Apple, Google, Microsoft</t>
  </si>
  <si>
    <t>Sliding Window: Expand the right pointer to include new items, shrink from the left when the constraint is violated, and track the best valid window.</t>
  </si>
  <si>
    <t>https://leetcode.com/problems/minimum-size-subarray-sum/</t>
  </si>
  <si>
    <t>Course Schedule II</t>
  </si>
  <si>
    <t>https://leetcode.com/problems/course-schedule-ii/</t>
  </si>
  <si>
    <t>Design Add and Search Words Data Structure</t>
  </si>
  <si>
    <t>Trie, DFS, Design</t>
  </si>
  <si>
    <t>Trie</t>
  </si>
  <si>
    <t>Amazon, Apple, Blind75, Grind169, Microsoft, NeetCode150</t>
  </si>
  <si>
    <t>Trie: Store words/prefixes character by character and traverse the trie to answer prefix or wildcard queries efficiently.</t>
  </si>
  <si>
    <t>O(L) add, O(26^wildcards) search</t>
  </si>
  <si>
    <t>https://leetcode.com/problems/add-and-search-word-data-structure-design/</t>
  </si>
  <si>
    <t>Word Search II</t>
  </si>
  <si>
    <t>Trie, Backtracking, DFS</t>
  </si>
  <si>
    <t>Amazon, Apple, Blind75, Google, Grind169, Microsoft, NeetCode150, Uber</t>
  </si>
  <si>
    <t>https://leetcode.com/problems/word-search-ii/</t>
  </si>
  <si>
    <t>House Robber II</t>
  </si>
  <si>
    <t>Amazon, Apple, Blind75, Google, NeetCode150, Uber</t>
  </si>
  <si>
    <t>https://leetcode.com/problems/house-robber-ii/</t>
  </si>
  <si>
    <t>Shortest Palindrome</t>
  </si>
  <si>
    <t>String, KMP</t>
  </si>
  <si>
    <t>https://leetcode.com/problems/shortest-palindrome/</t>
  </si>
  <si>
    <t>Kth Largest Element in an Array</t>
  </si>
  <si>
    <t>Array, Heap</t>
  </si>
  <si>
    <t>QuickSelect / Min-Heap of Size K</t>
  </si>
  <si>
    <t>QuickSelect / Min-Heap of Size K: Partition around a pivot and recurse only on the side containing kth, or keep a size-k heap.</t>
  </si>
  <si>
    <t>O(n) avg / O(n log k)</t>
  </si>
  <si>
    <t>O(1) avg / O(k)</t>
  </si>
  <si>
    <t>https://leetcode.com/problems/kth-largest-element-in-an-array/</t>
  </si>
  <si>
    <t>Combination Sum III</t>
  </si>
  <si>
    <t>Backtracking: Choose k distinct numbers from 1..9 summing to n, pruning when the running sum exceeds n.</t>
  </si>
  <si>
    <t>O(C(9,k))</t>
  </si>
  <si>
    <t>https://leetcode.com/problems/combination-sum-iii/</t>
  </si>
  <si>
    <t>Contains Duplicate</t>
  </si>
  <si>
    <t>HashSet Membership Check</t>
  </si>
  <si>
    <t>Amazon, Apple, Blind75, Google, Grind169, Grind75, Meta, NeetCode150</t>
  </si>
  <si>
    <t>HashSet Membership Check: Insert each value into a set and return true if it already exists.</t>
  </si>
  <si>
    <t>https://leetcode.com/problems/contains-duplicate/</t>
  </si>
  <si>
    <t>The Skyline Problem</t>
  </si>
  <si>
    <t>Heap / Priority Queue</t>
  </si>
  <si>
    <t>Apple, Google, Uber</t>
  </si>
  <si>
    <t>Heap / Priority Queue: Keep the next best candidate at the heap top, pop in priority order, and push newly reachable candidates.</t>
  </si>
  <si>
    <t>O(n log k)</t>
  </si>
  <si>
    <t>https://leetcode.com/problems/the-skyline-problem/</t>
  </si>
  <si>
    <t>Contains Duplicate II</t>
  </si>
  <si>
    <t>https://leetcode.com/problems/contains-duplicate-ii/</t>
  </si>
  <si>
    <t>Maximal Square</t>
  </si>
  <si>
    <t>https://leetcode.com/problems/maximal-square/</t>
  </si>
  <si>
    <t>Rectangle Area</t>
  </si>
  <si>
    <t>Inclusion-Exclusion</t>
  </si>
  <si>
    <t>Inclusion-Exclusion: total = areaA + areaB - overlap, where overlap width/height come from min/max of the two rectangles' coordinates.</t>
  </si>
  <si>
    <t>https://leetcode.com/problems/rectangle-area/</t>
  </si>
  <si>
    <t>Basic Calculator</t>
  </si>
  <si>
    <t>String, Stack, Math</t>
  </si>
  <si>
    <t>https://leetcode.com/problems/basic-calculator/</t>
  </si>
  <si>
    <t>Implement Stack using Queues</t>
  </si>
  <si>
    <t>Stack, Queue, Design</t>
  </si>
  <si>
    <t>https://leetcode.com/problems/implement-stack-using-queues/</t>
  </si>
  <si>
    <t>Invert Binary Tree</t>
  </si>
  <si>
    <t>DFS - Swap Left and Right</t>
  </si>
  <si>
    <t>DFS - Swap Left and Right: Recursively invert children by swapping left and right at every node.</t>
  </si>
  <si>
    <t>https://leetcode.com/problems/invert-binary-tree/</t>
  </si>
  <si>
    <t>Basic Calculator II</t>
  </si>
  <si>
    <t>Amazon, Apple, Google, Grind169, Meta, Uber</t>
  </si>
  <si>
    <t>https://leetcode.com/problems/basic-calculator-ii/</t>
  </si>
  <si>
    <t>Summary Ranges</t>
  </si>
  <si>
    <t>Two Pointers Range Detection</t>
  </si>
  <si>
    <t>Two Pointers Range Detection: Track range start. Close range when nums[i]+1 != nums[i+1]. Output either 'a' or 'a-&gt;b'.</t>
  </si>
  <si>
    <t>https://leetcode.com/problems/summary-ranges/</t>
  </si>
  <si>
    <t>Majority Element II</t>
  </si>
  <si>
    <t>https://leetcode.com/problems/majority-element-ii/</t>
  </si>
  <si>
    <t>Kth Smallest Element in a BST</t>
  </si>
  <si>
    <t>Blind75, Google, Grind169, Grind75, Meta, Microsoft, NeetCode150, Uber</t>
  </si>
  <si>
    <t>O(h+k)</t>
  </si>
  <si>
    <t>https://leetcode.com/problems/kth-smallest-element-in-a-bst/</t>
  </si>
  <si>
    <t>Power of Two</t>
  </si>
  <si>
    <t>https://leetcode.com/problems/power-of-two/</t>
  </si>
  <si>
    <t>Implement Queue using Stacks</t>
  </si>
  <si>
    <t>O(1) amortized</t>
  </si>
  <si>
    <t>https://leetcode.com/problems/implement-queue-using-stacks/</t>
  </si>
  <si>
    <t>Palindrome Linked List</t>
  </si>
  <si>
    <t>Fast/Slow to Mid + Reverse + Compare</t>
  </si>
  <si>
    <t>Fast/Slow to Mid + Reverse + Compare: Find midpoint, reverse second half, compare halves, and optionally restore.</t>
  </si>
  <si>
    <t>https://leetcode.com/problems/palindrome-linked-list/</t>
  </si>
  <si>
    <t>Lowest Common Ancestor of a Binary Search Tree</t>
  </si>
  <si>
    <t>https://leetcode.com/problems/lowest-common-ancestor-of-a-binary-search-tree/</t>
  </si>
  <si>
    <t>Lowest Common Ancestor of a Binary Tree</t>
  </si>
  <si>
    <t>https://leetcode.com/problems/lowest-common-ancestor-of-a-binary-tree/</t>
  </si>
  <si>
    <t>Delete Node in a Linked List</t>
  </si>
  <si>
    <t>https://leetcode.com/problems/delete-node-in-a-linked-list/</t>
  </si>
  <si>
    <t>Product of Array Except Self</t>
  </si>
  <si>
    <t>Array, Prefix Sum</t>
  </si>
  <si>
    <t>Prefix and Suffix Products</t>
  </si>
  <si>
    <t>Prefix and Suffix Products: Compute product of all elements left of each index, then multiply by running suffix from the right.</t>
  </si>
  <si>
    <t>O(1) excluding output</t>
  </si>
  <si>
    <t>https://leetcode.com/problems/product-of-array-except-self/</t>
  </si>
  <si>
    <t>Sliding Window Maximum</t>
  </si>
  <si>
    <t>Array, Sliding Window, Monotonic Stack</t>
  </si>
  <si>
    <t>Monotonic Deque</t>
  </si>
  <si>
    <t>Monotonic Deque: Keep indices in decreasing value order; remove out-of-window indices and read max from the front.</t>
  </si>
  <si>
    <t>https://leetcode.com/problems/sliding-window-maximum/</t>
  </si>
  <si>
    <t>Search a 2D Matrix II</t>
  </si>
  <si>
    <t>Amazon, Apple, Google, Microsoft, Uber</t>
  </si>
  <si>
    <t>https://leetcode.com/problems/search-a-2d-matrix-ii/</t>
  </si>
  <si>
    <t>Valid Anagram</t>
  </si>
  <si>
    <t>Char Frequency Count</t>
  </si>
  <si>
    <t>Char Frequency Count: Count characters in one string and decrement using the other; all counts must end at zero.</t>
  </si>
  <si>
    <t>https://leetcode.com/problems/valid-anagram/</t>
  </si>
  <si>
    <t>Shortest Word Distance</t>
  </si>
  <si>
    <t>https://leetcode.com/problems/shortest-word-distance/</t>
  </si>
  <si>
    <t>Strobogrammatic Number</t>
  </si>
  <si>
    <t>https://leetcode.com/problems/strobogrammatic-number/</t>
  </si>
  <si>
    <t>Group Shifted Strings</t>
  </si>
  <si>
    <t>Google, Meta, Uber</t>
  </si>
  <si>
    <t>https://leetcode.com/problems/group-shifted-strings/</t>
  </si>
  <si>
    <t>Meeting Rooms</t>
  </si>
  <si>
    <t>Amazon, Apple, Blind75, Grind169, NeetCode150, Uber</t>
  </si>
  <si>
    <t>https://leetcode.com/problems/meeting-rooms/</t>
  </si>
  <si>
    <t>Meeting Rooms II</t>
  </si>
  <si>
    <t>Array, Intervals, Heap</t>
  </si>
  <si>
    <t>https://leetcode.com/problems/meeting-rooms-ii/</t>
  </si>
  <si>
    <t>Factor Combinations</t>
  </si>
  <si>
    <t>https://leetcode.com/problems/factor-combinations/</t>
  </si>
  <si>
    <t>Paint House</t>
  </si>
  <si>
    <t>DP</t>
  </si>
  <si>
    <t>DP: dp[c] for house i = cost[i][c] + min(dp_prev of the other two colors); keep only previous row.</t>
  </si>
  <si>
    <t>https://leetcode.com/problems/paint-house/</t>
  </si>
  <si>
    <t>Binary Tree Paths</t>
  </si>
  <si>
    <t>https://leetcode.com/problems/binary-tree-paths/</t>
  </si>
  <si>
    <t>Add Digits</t>
  </si>
  <si>
    <t>https://leetcode.com/problems/add-digits/</t>
  </si>
  <si>
    <t>Graph Valid Tree</t>
  </si>
  <si>
    <t>Graph, Union-Find</t>
  </si>
  <si>
    <t>Blind75, Grind169</t>
  </si>
  <si>
    <t>https://leetcode.com/problems/graph-valid-tree/</t>
  </si>
  <si>
    <t>Ugly Number</t>
  </si>
  <si>
    <t>https://leetcode.com/problems/ugly-number/</t>
  </si>
  <si>
    <t>Palindrome Permutation</t>
  </si>
  <si>
    <t>https://leetcode.com/problems/palindrome-permutation/</t>
  </si>
  <si>
    <t>Missing Number</t>
  </si>
  <si>
    <t>Array, Bit Manipulation, Math</t>
  </si>
  <si>
    <t>XOR All Indices and Values</t>
  </si>
  <si>
    <t>Amazon, Apple, Blind75, Google, Grind169, NeetCode150</t>
  </si>
  <si>
    <t>XOR All Indices and Values: XOR 0..n and every array value; matching pairs cancel and missing value remains.</t>
  </si>
  <si>
    <t>https://leetcode.com/problems/missing-number/</t>
  </si>
  <si>
    <t>Alien Dictionary</t>
  </si>
  <si>
    <t>Amazon, Apple, Blind75, Grind169, Meta, NeetCode150, Uber</t>
  </si>
  <si>
    <t>O(C)</t>
  </si>
  <si>
    <t>https://leetcode.com/problems/alien-dictionary/</t>
  </si>
  <si>
    <t>Closest Binary Search Tree Value</t>
  </si>
  <si>
    <t>https://leetcode.com/problems/closest-binary-search-tree-value/</t>
  </si>
  <si>
    <t>Encode and Decode Strings</t>
  </si>
  <si>
    <t>Google, Grind169, NeetCode150</t>
  </si>
  <si>
    <t>https://leetcode.com/problems/encode-and-decode-strings/</t>
  </si>
  <si>
    <t>Integer to English Words</t>
  </si>
  <si>
    <t>https://leetcode.com/problems/integer-to-english-words/</t>
  </si>
  <si>
    <t>H-Index</t>
  </si>
  <si>
    <t>Array, Sorting</t>
  </si>
  <si>
    <t>Sorting + Scan</t>
  </si>
  <si>
    <t>Sorting + Scan: Sort to expose ordering, then scan once or use pointers to merge, group, or find valid combinations.</t>
  </si>
  <si>
    <t>https://leetcode.com/problems/h-index/</t>
  </si>
  <si>
    <t>Find the Celebrity</t>
  </si>
  <si>
    <t>Graph, Design</t>
  </si>
  <si>
    <t>https://leetcode.com/problems/find-the-celebrity/</t>
  </si>
  <si>
    <t>First Bad Version</t>
  </si>
  <si>
    <t>Amazon, Apple, Google, Grind169, Grind75, Meta</t>
  </si>
  <si>
    <t>https://leetcode.com/problems/first-bad-version/</t>
  </si>
  <si>
    <t>Perfect Squares</t>
  </si>
  <si>
    <t>DP, BFS</t>
  </si>
  <si>
    <t>O(n * sqrt(n))</t>
  </si>
  <si>
    <t>https://leetcode.com/problems/perfect-squares/</t>
  </si>
  <si>
    <t>Expression Add Operators</t>
  </si>
  <si>
    <t>Array, Math, Backtracking</t>
  </si>
  <si>
    <t>Google, Meta</t>
  </si>
  <si>
    <t>https://leetcode.com/problems/expression-add-operators/</t>
  </si>
  <si>
    <t>Move Zeroes</t>
  </si>
  <si>
    <t>Two Pointers - Move Zeroes</t>
  </si>
  <si>
    <t>Two Pointers - Move Zeroes: Write non-zero values forward, then fill the remaining positions with zeroes.</t>
  </si>
  <si>
    <t>O(1) to O(k)</t>
  </si>
  <si>
    <t>https://leetcode.com/problems/move-zeroes/</t>
  </si>
  <si>
    <t>Peeking Iterator</t>
  </si>
  <si>
    <t>Array, Design</t>
  </si>
  <si>
    <t>O(1) to O(n)</t>
  </si>
  <si>
    <t>https://leetcode.com/problems/peeking-iterator/</t>
  </si>
  <si>
    <t>Inorder Successor in BST</t>
  </si>
  <si>
    <t>Grind169</t>
  </si>
  <si>
    <t>https://leetcode.com/problems/inorder-successor-in-bst/</t>
  </si>
  <si>
    <t>Walls and Gates</t>
  </si>
  <si>
    <t>Array, Matrix, BFS</t>
  </si>
  <si>
    <t>Google, Meta, Microsoft, NeetCode150, Uber</t>
  </si>
  <si>
    <t>https://leetcode.com/problems/walls-and-gates/</t>
  </si>
  <si>
    <t>Find the Duplicate Number</t>
  </si>
  <si>
    <t>Array, Two Pointers, Binary Search</t>
  </si>
  <si>
    <t>Floyd's Cycle Detection</t>
  </si>
  <si>
    <t>Floyd's Cycle Detection: Treat nums as a linked list from index to nums[index]; cycle entry is duplicate.</t>
  </si>
  <si>
    <t>https://leetcode.com/problems/find-the-duplicate-number/</t>
  </si>
  <si>
    <t>Game of Life</t>
  </si>
  <si>
    <t>https://leetcode.com/problems/game-of-life/</t>
  </si>
  <si>
    <t>Word Pattern</t>
  </si>
  <si>
    <t>https://leetcode.com/problems/word-pattern/</t>
  </si>
  <si>
    <t>Word Pattern II</t>
  </si>
  <si>
    <t>https://leetcode.com/problems/word-pattern-ii/</t>
  </si>
  <si>
    <t>Find Median from Data Stream</t>
  </si>
  <si>
    <t>Heap, Design</t>
  </si>
  <si>
    <t>Two Heaps - Lower and Upper Half</t>
  </si>
  <si>
    <t>Two Heaps - Lower and Upper Half: Maintain max-heap for lower half and min-heap for upper half, balanced by size.</t>
  </si>
  <si>
    <t>O(log n) add, O(1) median</t>
  </si>
  <si>
    <t>https://leetcode.com/problems/find-median-from-data-stream/</t>
  </si>
  <si>
    <t>Serialize and Deserialize Binary Tree</t>
  </si>
  <si>
    <t>Tree, Design</t>
  </si>
  <si>
    <t>https://leetcode.com/problems/serialize-and-deserialize-binary-tree/</t>
  </si>
  <si>
    <t>Binary Tree Longest Consecutive Sequence</t>
  </si>
  <si>
    <t>https://leetcode.com/problems/binary-tree-longest-consecutive-sequence/</t>
  </si>
  <si>
    <t>Bulls and Cows</t>
  </si>
  <si>
    <t>One-Pass Counting</t>
  </si>
  <si>
    <t>One-Pass Counting: Count exact-position matches as bulls; for cows use min of digit frequency counts between secret and guess.</t>
  </si>
  <si>
    <t>https://leetcode.com/problems/bulls-and-cows/</t>
  </si>
  <si>
    <t>Longest Increasing Subsequence</t>
  </si>
  <si>
    <t>Array, DP, Binary Search</t>
  </si>
  <si>
    <t>DP + Binary Search (Patience Sort)</t>
  </si>
  <si>
    <t>Amazon, Blind75, Google, Grind169, Meta, Microsoft, NeetCode150, Uber</t>
  </si>
  <si>
    <t>DP + Binary Search (Patience Sort): Maintain tails where tails[i] is the smallest tail of an increasing subsequence of length i+1.</t>
  </si>
  <si>
    <t>https://leetcode.com/problems/longest-increasing-subsequence/</t>
  </si>
  <si>
    <t>Remove Invalid Parentheses</t>
  </si>
  <si>
    <t>String, BFS, Backtracking</t>
  </si>
  <si>
    <t>BFS Level by Level</t>
  </si>
  <si>
    <t>BFS Level by Level: Remove one parenthesis at a time per BFS level. First level producing valid strings = min removals. Use set to avoid duplicates.</t>
  </si>
  <si>
    <t>https://leetcode.com/problems/remove-invalid-parentheses/</t>
  </si>
  <si>
    <t>Range Sum Query - Immutable</t>
  </si>
  <si>
    <t>O(n) build, O(1) query</t>
  </si>
  <si>
    <t>https://leetcode.com/problems/range-sum-query-immutable/</t>
  </si>
  <si>
    <t>Range Sum Query 2D - Immutable</t>
  </si>
  <si>
    <t>Array, Matrix, Prefix Sum</t>
  </si>
  <si>
    <t>2D Prefix Sum</t>
  </si>
  <si>
    <t>2D Prefix Sum: Precompute a (m+1)x(n+1) prefix matrix; answer each query in O(1) by inclusion-exclusion.</t>
  </si>
  <si>
    <t>O(m*n) build, O(1) query</t>
  </si>
  <si>
    <t>https://leetcode.com/problems/range-sum-query-2d-immutable/</t>
  </si>
  <si>
    <t>Number of Islands II</t>
  </si>
  <si>
    <t>https://leetcode.com/problems/number-of-islands-ii/</t>
  </si>
  <si>
    <t>Range Sum Query 2D - Mutable</t>
  </si>
  <si>
    <t>2D Binary Indexed Tree</t>
  </si>
  <si>
    <t>Google</t>
  </si>
  <si>
    <t>2D Binary Indexed Tree: update() adds delta to (row,col). sumRegion() uses 2D BIT prefix queries. O(log m · log n) per operation.</t>
  </si>
  <si>
    <t>O(log m * log n)</t>
  </si>
  <si>
    <t>https://leetcode.com/problems/range-sum-query-2d-mutable/</t>
  </si>
  <si>
    <t>Best Time to Buy and Sell Stock with Cooldown</t>
  </si>
  <si>
    <t>Apple, Google, NeetCode150</t>
  </si>
  <si>
    <t>https://leetcode.com/problems/best-time-to-buy-and-sell-stock-with-cooldown/</t>
  </si>
  <si>
    <t>Minimum Height Trees</t>
  </si>
  <si>
    <t>Graph, BFS, Topological Sort</t>
  </si>
  <si>
    <t>Grind169, Grind75, Microsoft</t>
  </si>
  <si>
    <t>O(V + E)</t>
  </si>
  <si>
    <t>https://leetcode.com/problems/minimum-height-trees/</t>
  </si>
  <si>
    <t>Sparse Matrix Multiplication</t>
  </si>
  <si>
    <t>https://leetcode.com/problems/sparse-matrix-multiplication/</t>
  </si>
  <si>
    <t>Burst Balloons</t>
  </si>
  <si>
    <t>Amazon, Google, Microsoft, NeetCode150, Uber</t>
  </si>
  <si>
    <t>O(n^3)</t>
  </si>
  <si>
    <t>https://leetcode.com/problems/burst-balloons/</t>
  </si>
  <si>
    <t>Super Ugly Number</t>
  </si>
  <si>
    <t>Math, Heap</t>
  </si>
  <si>
    <t>Multi-Pointer DP</t>
  </si>
  <si>
    <t>Multi-Pointer DP: Keep a pointer per prime into the ugly array; next ugly = min(prime_i * ugly[ptr_i]); advance matching pointers.</t>
  </si>
  <si>
    <t>O(n*k)</t>
  </si>
  <si>
    <t>O(n+k)</t>
  </si>
  <si>
    <t>https://leetcode.com/problems/super-ugly-number/</t>
  </si>
  <si>
    <t>Binary Tree Vertical Order Traversal</t>
  </si>
  <si>
    <t>Tree, BFS, Hashing</t>
  </si>
  <si>
    <t>Apple, Meta</t>
  </si>
  <si>
    <t>https://leetcode.com/problems/binary-tree-vertical-order-traversal/</t>
  </si>
  <si>
    <t>Count of Smaller Numbers After Self</t>
  </si>
  <si>
    <t>Array, Binary Search, Merge Sort, BIT, Segment Tree</t>
  </si>
  <si>
    <t>Merge Sort Count</t>
  </si>
  <si>
    <t>Merge Sort Count: During merge, when element from right subarray is placed before left elements, those left elements form reverse pairs. Count them.</t>
  </si>
  <si>
    <t>https://leetcode.com/problems/count-of-smaller-numbers-after-self/</t>
  </si>
  <si>
    <t>Remove Duplicate Letters</t>
  </si>
  <si>
    <t>Monotonic Stack No Duplicates</t>
  </si>
  <si>
    <t>Monotonic Stack No Duplicates: Maintain increasing stack. Pop top if current char &lt; top AND top appears later. Skip if current already in stack.</t>
  </si>
  <si>
    <t>https://leetcode.com/problems/remove-duplicate-letters/</t>
  </si>
  <si>
    <t>Shortest Distance from All Buildings</t>
  </si>
  <si>
    <t>Graph, BFS</t>
  </si>
  <si>
    <t>Apple, Microsoft</t>
  </si>
  <si>
    <t>https://leetcode.com/problems/shortest-distance-from-all-buildings/</t>
  </si>
  <si>
    <t>Bulb Switcher</t>
  </si>
  <si>
    <t>Math Insight</t>
  </si>
  <si>
    <t>Math Insight: A bulb ends on only if its index has an odd number of divisors, i.e. it is a perfect square; answer = floor(sqrt(n)).</t>
  </si>
  <si>
    <t>https://leetcode.com/problems/bulb-switcher/</t>
  </si>
  <si>
    <t>Coin Change</t>
  </si>
  <si>
    <t>Array, DP, BFS</t>
  </si>
  <si>
    <t>DP - Coin Change</t>
  </si>
  <si>
    <t>DP - Coin Change: For every amount, try each coin and take the minimum coins from dp[amount-coin]+1.</t>
  </si>
  <si>
    <t>O(amount · n)</t>
  </si>
  <si>
    <t>O(amount)</t>
  </si>
  <si>
    <t>https://leetcode.com/problems/coin-change/</t>
  </si>
  <si>
    <t>Number of Connected Components</t>
  </si>
  <si>
    <t>Graph, DFS, Union-Find</t>
  </si>
  <si>
    <t>Union-Find / DFS Components</t>
  </si>
  <si>
    <t>Union-Find / DFS Components: Build adjacency list. Count connected components via DFS from each unvisited node. Or Union-Find all edges.</t>
  </si>
  <si>
    <t>https://leetcode.com/problems/number-of-connected-components-in-an-undirected-graph/</t>
  </si>
  <si>
    <t>Maximum Size Subarray Sum Equals k</t>
  </si>
  <si>
    <t>https://leetcode.com/problems/maximum-size-subarray-sum-equals-k/</t>
  </si>
  <si>
    <t>Power of Three</t>
  </si>
  <si>
    <t>Math: Repeatedly divide by 3 (or test that the largest int power of 3, 3^19, is divisible by n).</t>
  </si>
  <si>
    <t>https://leetcode.com/problems/power-of-three/</t>
  </si>
  <si>
    <t>Count Of Range Sum</t>
  </si>
  <si>
    <t>https://leetcode.com/problems/count-of-range-sum/</t>
  </si>
  <si>
    <t>Odd Even Linked List</t>
  </si>
  <si>
    <t>https://leetcode.com/problems/odd-even-linked-list/</t>
  </si>
  <si>
    <t>Longest Increasing Path in a Matrix</t>
  </si>
  <si>
    <t>Array, Matrix, DFS, DP</t>
  </si>
  <si>
    <t>https://leetcode.com/problems/longest-increasing-path-in-a-matrix/</t>
  </si>
  <si>
    <t>Patching Array</t>
  </si>
  <si>
    <t>https://leetcode.com/problems/patching-array/</t>
  </si>
  <si>
    <t>Reconstruct Itinerary</t>
  </si>
  <si>
    <t>Graph, DFS</t>
  </si>
  <si>
    <t>Amazon, Apple, NeetCode150, Uber</t>
  </si>
  <si>
    <t>https://leetcode.com/problems/reconstruct-itinerary/</t>
  </si>
  <si>
    <t>Increasing Triplet Subsequence</t>
  </si>
  <si>
    <t>Meta, Microsoft</t>
  </si>
  <si>
    <t>https://leetcode.com/problems/increasing-triplet-subsequence/</t>
  </si>
  <si>
    <t>Palindrome Pairs</t>
  </si>
  <si>
    <t>String, Trie, Hashing</t>
  </si>
  <si>
    <t>Trie + Palindrome Check</t>
  </si>
  <si>
    <t>Trie + Palindrome Check: For each word, its pair is reverse(word). Check: empty prefix+palindrome+reverse in set, or prefix in set+palindrome+rest. Handle all 3 cases.</t>
  </si>
  <si>
    <t>O(n * L^2)</t>
  </si>
  <si>
    <t>O(n * L)</t>
  </si>
  <si>
    <t>https://leetcode.com/problems/palindrome-pairs/</t>
  </si>
  <si>
    <t>House Robber III</t>
  </si>
  <si>
    <t>https://leetcode.com/problems/house-robber-iii/</t>
  </si>
  <si>
    <t>Counting Bits</t>
  </si>
  <si>
    <t>Bit Manipulation, DP</t>
  </si>
  <si>
    <t>https://leetcode.com/problems/counting-bits/</t>
  </si>
  <si>
    <t>Nested List Weight Sum</t>
  </si>
  <si>
    <t>Tree, DFS, Design</t>
  </si>
  <si>
    <t>https://leetcode.com/problems/nested-list-weight-sum/</t>
  </si>
  <si>
    <t>Longest Substring with At Most K Distinct Characters</t>
  </si>
  <si>
    <t>https://leetcode.com/problems/longest-substring-with-at-most-k-distinct-characters/</t>
  </si>
  <si>
    <t>Flatten Nested List Iterator</t>
  </si>
  <si>
    <t>https://leetcode.com/problems/flatten-nested-list-iterator/</t>
  </si>
  <si>
    <t>Integer Break</t>
  </si>
  <si>
    <t>Math, DP</t>
  </si>
  <si>
    <t>DP Integer Break</t>
  </si>
  <si>
    <t>DP Integer Break: dp[i]=max product splitting i. For each j&lt;i: dp[i]=max(dp[i], max(j,dp[j])*max(i-j,dp[i-j])). Or math: use 3s greedily.</t>
  </si>
  <si>
    <t>https://leetcode.com/problems/integer-break/</t>
  </si>
  <si>
    <t>Reverse String</t>
  </si>
  <si>
    <t>https://leetcode.com/problems/reverse-string/</t>
  </si>
  <si>
    <t>Reverse Vowels of a String</t>
  </si>
  <si>
    <t>https://leetcode.com/problems/reverse-vowels-of-a-string/</t>
  </si>
  <si>
    <t>Moving Average from Data Stream</t>
  </si>
  <si>
    <t>Array, Queue, Design</t>
  </si>
  <si>
    <t>https://leetcode.com/problems/moving-average-from-data-stream/</t>
  </si>
  <si>
    <t>Top K Frequent Elements</t>
  </si>
  <si>
    <t>Array, Hashing, Heap</t>
  </si>
  <si>
    <t>Bucket Sort / Min-Heap of Size K</t>
  </si>
  <si>
    <t>Amazon, Apple, Blind75, Google, Meta, Microsoft, NeetCode150, Uber</t>
  </si>
  <si>
    <t>Bucket Sort / Min-Heap of Size K: Count frequencies and either bucket by frequency or maintain a heap of top k.</t>
  </si>
  <si>
    <t>https://leetcode.com/problems/top-k-frequent-elements/</t>
  </si>
  <si>
    <t>Design Tic-Tac-Toe</t>
  </si>
  <si>
    <t>Amazon, Apple, Meta</t>
  </si>
  <si>
    <t>O(1) move</t>
  </si>
  <si>
    <t>https://leetcode.com/problems/design-tic-tac-toe/</t>
  </si>
  <si>
    <t>Intersection of Two Arrays</t>
  </si>
  <si>
    <t>O(min(m,n))</t>
  </si>
  <si>
    <t>https://leetcode.com/problems/intersection-of-two-arrays/</t>
  </si>
  <si>
    <t>Intersection of Two Arrays II</t>
  </si>
  <si>
    <t>HashMap Counts</t>
  </si>
  <si>
    <t>HashMap Counts: Count elements of the smaller array, then scan the other decrementing counts to collect intersections (with multiplicity).</t>
  </si>
  <si>
    <t>O(n+m)</t>
  </si>
  <si>
    <t>O(min(n,m))</t>
  </si>
  <si>
    <t>https://leetcode.com/problems/intersection-of-two-arrays-ii/</t>
  </si>
  <si>
    <t>Russian Doll Envelopes</t>
  </si>
  <si>
    <t>https://leetcode.com/problems/russian-doll-envelopes/</t>
  </si>
  <si>
    <t>Design Twitter</t>
  </si>
  <si>
    <t>Design, Heap, Hashing</t>
  </si>
  <si>
    <t>Amazon, Apple, Microsoft, NeetCode150</t>
  </si>
  <si>
    <t>https://leetcode.com/problems/design-twitter/</t>
  </si>
  <si>
    <t>Logger Rate Limiter</t>
  </si>
  <si>
    <t>Design, Hashing</t>
  </si>
  <si>
    <t>https://leetcode.com/problems/logger-rate-limiter/</t>
  </si>
  <si>
    <t>Design Hit Counter</t>
  </si>
  <si>
    <t>Design, Queue</t>
  </si>
  <si>
    <t>Sliding Window Queue</t>
  </si>
  <si>
    <t>Apple, Google, Grind169, Uber</t>
  </si>
  <si>
    <t>Sliding Window Queue: Queue of timestamps. hit(t): append t. getHits(t): remove all &lt; t-300. Return queue.size().</t>
  </si>
  <si>
    <t>https://leetcode.com/problems/design-hit-counter/</t>
  </si>
  <si>
    <t>Max Sum of Rectangle No Larger Than K</t>
  </si>
  <si>
    <t>Compress + Sorted Prefix</t>
  </si>
  <si>
    <t>Compress + Sorted Prefix: Fix a column pair, compress rows to 1D sums, then use a sorted set of prefix sums and binary search for the best sum &lt;= k.</t>
  </si>
  <si>
    <t>O(min(m,n)^2 * max(m,n) * log)</t>
  </si>
  <si>
    <t>O(max(m,n))</t>
  </si>
  <si>
    <t>https://leetcode.com/problems/max-sum-of-rectangle-no-larger-than-k/</t>
  </si>
  <si>
    <t>Water and Jug Problem</t>
  </si>
  <si>
    <t>Math, BFS</t>
  </si>
  <si>
    <t>O(log(min(x, y)))</t>
  </si>
  <si>
    <t>https://leetcode.com/problems/water-and-jug-problem/</t>
  </si>
  <si>
    <t>Largest Divisible Subset</t>
  </si>
  <si>
    <t>Array, DP, Math</t>
  </si>
  <si>
    <t>https://leetcode.com/problems/largest-divisible-subset/</t>
  </si>
  <si>
    <t>Sum of Two Integers</t>
  </si>
  <si>
    <t>Bit Manipulation, Math</t>
  </si>
  <si>
    <t>Bit Manipulation - XOR and AND</t>
  </si>
  <si>
    <t>Amazon, Blind75, Google, Microsoft, NeetCode150</t>
  </si>
  <si>
    <t>Bit Manipulation - XOR and AND: Use XOR for sum without carry and AND shifted left for carry; repeat until carry is zero.</t>
  </si>
  <si>
    <t>https://leetcode.com/problems/sum-of-two-integers/</t>
  </si>
  <si>
    <t>Find K Pairs with Smallest Sums</t>
  </si>
  <si>
    <t>https://leetcode.com/problems/find-k-pairs-with-smallest-sums/</t>
  </si>
  <si>
    <t>Combination Sum IV</t>
  </si>
  <si>
    <t>Blind75, Google, Grind169</t>
  </si>
  <si>
    <t>O(n * target)</t>
  </si>
  <si>
    <t>O(target)</t>
  </si>
  <si>
    <t>https://leetcode.com/problems/combination-sum-iv/</t>
  </si>
  <si>
    <t>Kth Smallest Element in a Sorted Matrix</t>
  </si>
  <si>
    <t>Array, Heap, Binary Search</t>
  </si>
  <si>
    <t>Apple, Meta, Microsoft</t>
  </si>
  <si>
    <t>https://leetcode.com/problems/kth-smallest-element-in-a-sorted-matrix/</t>
  </si>
  <si>
    <t>Insert Delete GetRandom O(1)</t>
  </si>
  <si>
    <t>Array, Hashing, Design</t>
  </si>
  <si>
    <t>Amazon, Apple, Google, Grind169, Microsoft, Uber</t>
  </si>
  <si>
    <t>https://leetcode.com/problems/insert-delete-getrandom-o1/</t>
  </si>
  <si>
    <t>Ransom Note</t>
  </si>
  <si>
    <t>Frequency Count</t>
  </si>
  <si>
    <t>Amazon, Apple, Grind169, Grind75</t>
  </si>
  <si>
    <t>Frequency Count: Count magazine characters, decrement for ransom note, and fail if any count becomes negative.</t>
  </si>
  <si>
    <t>https://leetcode.com/problems/ransom-note/</t>
  </si>
  <si>
    <t>Shuffle an Array</t>
  </si>
  <si>
    <t>https://leetcode.com/problems/shuffle-an-array/</t>
  </si>
  <si>
    <t>Mini Parser</t>
  </si>
  <si>
    <t>Stack Parse</t>
  </si>
  <si>
    <t>Stack Parse: Walk the string building NestedIntegers; push on '[', pop and attach on ']', accumulate digits between.</t>
  </si>
  <si>
    <t>https://leetcode.com/problems/mini-parser/</t>
  </si>
  <si>
    <t>First Unique Character in a String</t>
  </si>
  <si>
    <t>https://leetcode.com/problems/first-unique-character-in-a-string/</t>
  </si>
  <si>
    <t>Find the Difference</t>
  </si>
  <si>
    <t>https://leetcode.com/problems/find-the-difference/</t>
  </si>
  <si>
    <t>Elimination Game</t>
  </si>
  <si>
    <t>Math Simulation</t>
  </si>
  <si>
    <t>Math Simulation: Track head, step, and remaining; the head moves when scanning left-to-right or when the count is odd; double the step each pass.</t>
  </si>
  <si>
    <t>https://leetcode.com/problems/elimination-game/</t>
  </si>
  <si>
    <t>Perfect Rectangle</t>
  </si>
  <si>
    <t>Corner Counting</t>
  </si>
  <si>
    <t>Corner Counting: Sum of sub-areas must equal the bounding box and every corner point must cancel except the four outer corners (set toggle).</t>
  </si>
  <si>
    <t>https://leetcode.com/problems/perfect-rectangle/</t>
  </si>
  <si>
    <t>Is Subsequence</t>
  </si>
  <si>
    <t>Two Pointers, String, DP</t>
  </si>
  <si>
    <t>Two Pointers Subsequence</t>
  </si>
  <si>
    <t>Two Pointers Subsequence: i for s, j for t. If s[i]==t[j] advance i. Always advance j. Return i==len(s).</t>
  </si>
  <si>
    <t>https://leetcode.com/problems/is-subsequence/</t>
  </si>
  <si>
    <t>Decode String</t>
  </si>
  <si>
    <t>https://leetcode.com/problems/decode-string/</t>
  </si>
  <si>
    <t>Longest Substring with At Least K Repeating Characters</t>
  </si>
  <si>
    <t>Divide &amp; Conquer</t>
  </si>
  <si>
    <t>Divide &amp; Conquer: Recurse splitting on characters whose total count is below k (they can never be in a valid window).</t>
  </si>
  <si>
    <t>O(n * 26)</t>
  </si>
  <si>
    <t>O(26)</t>
  </si>
  <si>
    <t>https://leetcode.com/problems/longest-substring-with-at-least-k-repeating-characters/</t>
  </si>
  <si>
    <t>Rotate Function</t>
  </si>
  <si>
    <t>Rotation Contribution</t>
  </si>
  <si>
    <t>Rotation Contribution: For rotation k, element i contributes nums[i]*((i-k+n)%n). Precompute with prefix sums for O(n) total.</t>
  </si>
  <si>
    <t>https://leetcode.com/problems/rotate-function/</t>
  </si>
  <si>
    <t>Evaluate Division</t>
  </si>
  <si>
    <t>Graph, BFS, Union-Find</t>
  </si>
  <si>
    <t>https://leetcode.com/problems/evaluate-division/</t>
  </si>
  <si>
    <t>Remove K Digits</t>
  </si>
  <si>
    <t>String, Stack, Greedy</t>
  </si>
  <si>
    <t>https://leetcode.com/problems/remove-k-digits/</t>
  </si>
  <si>
    <t>Frog Jump</t>
  </si>
  <si>
    <t>DP with Reachable Steps</t>
  </si>
  <si>
    <t>DP with Reachable Steps: Map each stone to the set of jump sizes that reach it; from each, try k-1, k, k+1 to extend.</t>
  </si>
  <si>
    <t>https://leetcode.com/problems/frog-jump/</t>
  </si>
  <si>
    <t>Queue Reconstruction by Height</t>
  </si>
  <si>
    <t>https://leetcode.com/problems/queue-reconstruction-by-height/</t>
  </si>
  <si>
    <t>Trapping Rain Water II</t>
  </si>
  <si>
    <t>Array, Matrix, BFS, Heap</t>
  </si>
  <si>
    <t>https://leetcode.com/problems/trapping-rain-water-ii/</t>
  </si>
  <si>
    <t>Valid Word Abbreviation</t>
  </si>
  <si>
    <t>https://leetcode.com/problems/valid-word-abbreviation/</t>
  </si>
  <si>
    <t>Longest Palindrome</t>
  </si>
  <si>
    <t>String, Hashing, Greedy</t>
  </si>
  <si>
    <t>https://leetcode.com/problems/longest-palindrome/</t>
  </si>
  <si>
    <t>Split Array Largest Sum</t>
  </si>
  <si>
    <t>https://leetcode.com/problems/split-array-largest-sum/</t>
  </si>
  <si>
    <t>Fizz Buzz</t>
  </si>
  <si>
    <t>https://leetcode.com/problems/fizz-buzz/</t>
  </si>
  <si>
    <t>Arithmetic Slices</t>
  </si>
  <si>
    <t>DP: cur = (a[i]-a[i-1] == previous diff) ? cur+1 : 0; add cur to the running total of slices.</t>
  </si>
  <si>
    <t>https://leetcode.com/problems/arithmetic-slices/</t>
  </si>
  <si>
    <t>Add Strings</t>
  </si>
  <si>
    <t>https://leetcode.com/problems/add-strings/</t>
  </si>
  <si>
    <t>Partition Equal Subset Sum</t>
  </si>
  <si>
    <t>Amazon, Google, Grind169, Grind75, Meta</t>
  </si>
  <si>
    <t>O(n·sum)</t>
  </si>
  <si>
    <t>O(sum)</t>
  </si>
  <si>
    <t>https://leetcode.com/problems/partition-equal-subset-sum/</t>
  </si>
  <si>
    <t>Pacific Atlantic Water Flow</t>
  </si>
  <si>
    <t>Amazon, Blind75, Google, Grind169, Microsoft, NeetCode150, Uber</t>
  </si>
  <si>
    <t>https://leetcode.com/problems/pacific-atlantic-water-flow/</t>
  </si>
  <si>
    <t>Battleships in a Board</t>
  </si>
  <si>
    <t>https://leetcode.com/problems/battleships-in-a-board/</t>
  </si>
  <si>
    <t>Longest Repeating Character Replacement</t>
  </si>
  <si>
    <t>Sliding Window - Max Freq + K Replacements</t>
  </si>
  <si>
    <t>Sliding Window - Max Freq + K Replacements: Maintain window max frequency; window is valid if size - maxFreq &lt;= k.</t>
  </si>
  <si>
    <t>https://leetcode.com/problems/longest-repeating-character-replacement/</t>
  </si>
  <si>
    <t>Convert Binary Search Tree to Sorted Doubly Linked List</t>
  </si>
  <si>
    <t>https://leetcode.com/problems/convert-binary-search-tree-to-sorted-doubly-linked-list/</t>
  </si>
  <si>
    <t>Serialize and Deserialize N-ary Tree</t>
  </si>
  <si>
    <t>https://leetcode.com/problems/serialize-and-deserialize-n-ary-tree/</t>
  </si>
  <si>
    <t>Flatten a Multilevel Doubly Linked List</t>
  </si>
  <si>
    <t>DFS Splice</t>
  </si>
  <si>
    <t>DFS Splice: When a node has a child, recurse and splice the flattened child between the node and its next, saving next on a stack.</t>
  </si>
  <si>
    <t>https://leetcode.com/problems/flatten-a-multilevel-doubly-linked-list/</t>
  </si>
  <si>
    <t>All O`one Data Structure</t>
  </si>
  <si>
    <t>https://leetcode.com/problems/all-oone-data-structure/</t>
  </si>
  <si>
    <t>Non-overlapping Intervals</t>
  </si>
  <si>
    <t>Array, Intervals, Greedy</t>
  </si>
  <si>
    <t>Greedy Sort by End</t>
  </si>
  <si>
    <t>Greedy Sort by End: Sort intervals by end. Keep interval if start &gt;= prev_end. Count intervals not kept = min removals.</t>
  </si>
  <si>
    <t>https://leetcode.com/problems/non-overlapping-intervals/</t>
  </si>
  <si>
    <t>Path Sum III</t>
  </si>
  <si>
    <t>Tree, DFS, Hashing, Prefix Sum</t>
  </si>
  <si>
    <t>Prefix Sum DFS</t>
  </si>
  <si>
    <t>Google, Grind169, Microsoft</t>
  </si>
  <si>
    <t>Prefix Sum DFS: DFS tracking running prefix sum from root to current node. HashMap stores prefix-to-count. Paths = map[currSum-target].</t>
  </si>
  <si>
    <t>https://leetcode.com/problems/path-sum-iii/</t>
  </si>
  <si>
    <t>Find All Anagrams in a String</t>
  </si>
  <si>
    <t>Sliding Window with Char Counts</t>
  </si>
  <si>
    <t>Sliding Window with Char Counts: Use a fixed-size window matching p length and compare character counts.</t>
  </si>
  <si>
    <t>https://leetcode.com/problems/find-all-anagrams-in-a-string/</t>
  </si>
  <si>
    <t>Arranging Coins</t>
  </si>
  <si>
    <t>Math Quadratic Formula</t>
  </si>
  <si>
    <t>Math Quadratic Formula: Largest k where k(k+1)/2 &lt;= n. k = floor((-1+sqrt(1+8n))/2).</t>
  </si>
  <si>
    <t>https://leetcode.com/problems/arranging-coins/</t>
  </si>
  <si>
    <t>Find All Duplicates in an Array</t>
  </si>
  <si>
    <t>https://leetcode.com/problems/find-all-duplicates-in-an-array/</t>
  </si>
  <si>
    <t>String Compression</t>
  </si>
  <si>
    <t>https://leetcode.com/problems/string-compression/</t>
  </si>
  <si>
    <t>Add Two Numbers II</t>
  </si>
  <si>
    <t>Linked List, Stack</t>
  </si>
  <si>
    <t>https://leetcode.com/problems/add-two-numbers-ii/</t>
  </si>
  <si>
    <t>Find All Numbers Disappeared in an Array</t>
  </si>
  <si>
    <t>https://leetcode.com/problems/find-all-numbers-disappeared-in-an-array/</t>
  </si>
  <si>
    <t>Serialize and Deserialize BST</t>
  </si>
  <si>
    <t>Tree, Design, BST</t>
  </si>
  <si>
    <t>BST Preorder</t>
  </si>
  <si>
    <t>BST Preorder: Serialize via preorder; deserialize using value bounds so no null markers are needed.</t>
  </si>
  <si>
    <t>https://leetcode.com/problems/serialize-and-deserialize-bst/</t>
  </si>
  <si>
    <t>Delete Node in a BST</t>
  </si>
  <si>
    <t>Google, Uber</t>
  </si>
  <si>
    <t>https://leetcode.com/problems/delete-node-in-a-bst/</t>
  </si>
  <si>
    <t>Sort Characters By Frequency</t>
  </si>
  <si>
    <t>Array, Hashing, Sorting</t>
  </si>
  <si>
    <t>https://leetcode.com/problems/sort-characters-by-frequency/</t>
  </si>
  <si>
    <t>Assign Cookies</t>
  </si>
  <si>
    <t>https://leetcode.com/problems/assign-cookies/</t>
  </si>
  <si>
    <t>132 Pattern</t>
  </si>
  <si>
    <t>Array, Stack</t>
  </si>
  <si>
    <t>Monotonic Stack</t>
  </si>
  <si>
    <t>Monotonic Stack: Scan right-to-left maintaining the largest valid 'k' (the 2) using a decreasing stack; succeed when an i &lt; k is found.</t>
  </si>
  <si>
    <t>https://leetcode.com/problems/132-pattern/</t>
  </si>
  <si>
    <t>LFU Cache</t>
  </si>
  <si>
    <t>Design, Hashing, Linked List</t>
  </si>
  <si>
    <t>Amazon, Apple, Microsoft, Uber</t>
  </si>
  <si>
    <t>https://leetcode.com/problems/lfu-cache/</t>
  </si>
  <si>
    <t>Island Perimeter</t>
  </si>
  <si>
    <t>https://leetcode.com/problems/island-perimeter/</t>
  </si>
  <si>
    <t>Optimal Account Balancing</t>
  </si>
  <si>
    <t>Graph, Backtracking</t>
  </si>
  <si>
    <t>https://leetcode.com/problems/optimal-account-balancing/</t>
  </si>
  <si>
    <t>Validate IP Address</t>
  </si>
  <si>
    <t>https://leetcode.com/problems/validate-ip-address/</t>
  </si>
  <si>
    <t>Concatenated Words</t>
  </si>
  <si>
    <t>Array, Trie, DP</t>
  </si>
  <si>
    <t>Word-Break DP</t>
  </si>
  <si>
    <t>Word-Break DP: Sort words by length; for each, run word-break DP using the set of already-seen shorter words.</t>
  </si>
  <si>
    <t>https://leetcode.com/problems/concatenated-words/</t>
  </si>
  <si>
    <t>Matchsticks to Square</t>
  </si>
  <si>
    <t>https://leetcode.com/problems/matchsticks-to-square/</t>
  </si>
  <si>
    <t>Ones and Zeroes</t>
  </si>
  <si>
    <t>2D Knapsack</t>
  </si>
  <si>
    <t>2D Knapsack: dp[i][j] = max strings using i zeros and j ones; iterate strings, both capacities downward.</t>
  </si>
  <si>
    <t>O(L*m*n)</t>
  </si>
  <si>
    <t>https://leetcode.com/problems/ones-and-zeroes/</t>
  </si>
  <si>
    <t>Total Hamming Distance</t>
  </si>
  <si>
    <t>https://leetcode.com/problems/total-hamming-distance/</t>
  </si>
  <si>
    <t>Sliding Window Median</t>
  </si>
  <si>
    <t>Heap, Sliding Window</t>
  </si>
  <si>
    <t>Apple, Google, Meta, Microsoft</t>
  </si>
  <si>
    <t>https://leetcode.com/problems/sliding-window-median/</t>
  </si>
  <si>
    <t>Max Consecutive Ones</t>
  </si>
  <si>
    <t>https://leetcode.com/problems/max-consecutive-ones/</t>
  </si>
  <si>
    <t>Predict the Winner</t>
  </si>
  <si>
    <t>https://leetcode.com/problems/predict-the-winner/</t>
  </si>
  <si>
    <t>Robot Room Cleaner</t>
  </si>
  <si>
    <t>https://leetcode.com/problems/robot-room-cleaner/</t>
  </si>
  <si>
    <t>The Maze</t>
  </si>
  <si>
    <t>Graph, BFS, DFS</t>
  </si>
  <si>
    <t>https://leetcode.com/problems/the-maze/</t>
  </si>
  <si>
    <t>Reverse Pairs</t>
  </si>
  <si>
    <t>Array, Merge Sort</t>
  </si>
  <si>
    <t>https://leetcode.com/problems/reverse-pairs/</t>
  </si>
  <si>
    <t>Target Sum</t>
  </si>
  <si>
    <t>Array, DP, Backtracking</t>
  </si>
  <si>
    <t>Amazon, Google, Microsoft, NeetCode150</t>
  </si>
  <si>
    <t>O(n·target)</t>
  </si>
  <si>
    <t>https://leetcode.com/problems/target-sum/</t>
  </si>
  <si>
    <t>Next Greater Element I</t>
  </si>
  <si>
    <t>https://leetcode.com/problems/next-greater-element-i/</t>
  </si>
  <si>
    <t>Diagonal Traverse</t>
  </si>
  <si>
    <t>https://leetcode.com/problems/diagonal-traverse/</t>
  </si>
  <si>
    <t>Find Mode in Binary Search Tree</t>
  </si>
  <si>
    <t>In-order Scan</t>
  </si>
  <si>
    <t>In-order Scan: In-order traversal yields sorted values; track current run length against the max to collect modes.</t>
  </si>
  <si>
    <t>https://leetcode.com/problems/find-mode-in-binary-search-tree/</t>
  </si>
  <si>
    <t>IPO</t>
  </si>
  <si>
    <t>Array, Heap, Greedy</t>
  </si>
  <si>
    <t>Greedy Two Heaps</t>
  </si>
  <si>
    <t>Greedy Two Heaps: Sort projects by capital; push all affordable profits to a max-heap and take the top one, k times.</t>
  </si>
  <si>
    <t>https://leetcode.com/problems/ipo/</t>
  </si>
  <si>
    <t>Next Greater Element II</t>
  </si>
  <si>
    <t>https://leetcode.com/problems/next-greater-element-ii/</t>
  </si>
  <si>
    <t>Base 7</t>
  </si>
  <si>
    <t>Base Conversion</t>
  </si>
  <si>
    <t>Base Conversion: Repeatedly take n % 7 and divide by 7, building digits; handle sign and zero.</t>
  </si>
  <si>
    <t>https://leetcode.com/problems/base-7/</t>
  </si>
  <si>
    <t>Perfect Number</t>
  </si>
  <si>
    <t>Math Proper Divisors</t>
  </si>
  <si>
    <t>Math Proper Divisors: Sum all divisors of n excluding n itself. Iterate to sqrt(n). Return sum==n.</t>
  </si>
  <si>
    <t>https://leetcode.com/problems/perfect-number/</t>
  </si>
  <si>
    <t>Fibonacci Number</t>
  </si>
  <si>
    <t>https://leetcode.com/problems/fibonacci-number/</t>
  </si>
  <si>
    <t>Freedom Trail</t>
  </si>
  <si>
    <t>O(m * n^2)</t>
  </si>
  <si>
    <t>https://leetcode.com/problems/freedom-trail/</t>
  </si>
  <si>
    <t>Find Largest Value in Each Tree Row</t>
  </si>
  <si>
    <t>https://leetcode.com/problems/find-largest-value-in-each-tree-row/</t>
  </si>
  <si>
    <t>Longest Palindromic Subsequence</t>
  </si>
  <si>
    <t>Microsoft, Uber</t>
  </si>
  <si>
    <t>https://leetcode.com/problems/longest-palindromic-subsequence/</t>
  </si>
  <si>
    <t>Coin Change II</t>
  </si>
  <si>
    <t>Amazon, Google, Meta, NeetCode150</t>
  </si>
  <si>
    <t>https://leetcode.com/problems/coin-change-ii/</t>
  </si>
  <si>
    <t>Continuous Subarray Sum</t>
  </si>
  <si>
    <t>Array, Hashing, Prefix Sum</t>
  </si>
  <si>
    <t>https://leetcode.com/problems/continuous-subarray-sum/</t>
  </si>
  <si>
    <t>Contiguous Array</t>
  </si>
  <si>
    <t>https://leetcode.com/problems/contiguous-array/</t>
  </si>
  <si>
    <t>Random Pick with Weight</t>
  </si>
  <si>
    <t>Array, Binary Search, Math</t>
  </si>
  <si>
    <t>https://leetcode.com/problems/random-pick-with-weight/</t>
  </si>
  <si>
    <t>Minesweeper</t>
  </si>
  <si>
    <t>https://leetcode.com/problems/minesweeper/</t>
  </si>
  <si>
    <t>Minimum Absolute Difference in BST</t>
  </si>
  <si>
    <t>In-order Diff</t>
  </si>
  <si>
    <t>In-order Diff: In-order traversal is sorted; track the minimum difference between consecutive values.</t>
  </si>
  <si>
    <t>https://leetcode.com/problems/minimum-absolute-difference-in-bst/</t>
  </si>
  <si>
    <t>K-diff Pairs in an Array</t>
  </si>
  <si>
    <t>https://leetcode.com/problems/k-diff-pairs-in-an-array/</t>
  </si>
  <si>
    <t>Encode and Decode TinyURL</t>
  </si>
  <si>
    <t>Hashing, Design</t>
  </si>
  <si>
    <t>https://leetcode.com/problems/encode-and-decode-tinyurl/</t>
  </si>
  <si>
    <t>Single Element in a Sorted Array</t>
  </si>
  <si>
    <t>https://leetcode.com/problems/single-element-in-a-sorted-array/</t>
  </si>
  <si>
    <t>Reverse String II</t>
  </si>
  <si>
    <t>https://leetcode.com/problems/reverse-string-ii/</t>
  </si>
  <si>
    <t>01 Matrix</t>
  </si>
  <si>
    <t>Apple, Grind169, Grind75, Uber</t>
  </si>
  <si>
    <t>https://leetcode.com/problems/01-matrix/</t>
  </si>
  <si>
    <t>Diameter of Binary Tree</t>
  </si>
  <si>
    <t>Amazon, Apple, Google, Grind169, Grind75, Meta, NeetCode150</t>
  </si>
  <si>
    <t>https://leetcode.com/problems/diameter-of-binary-tree/</t>
  </si>
  <si>
    <t>Boundary of Binary Tree</t>
  </si>
  <si>
    <t>https://leetcode.com/problems/boundary-of-binary-tree/</t>
  </si>
  <si>
    <t>Number of Provinces</t>
  </si>
  <si>
    <t>https://leetcode.com/problems/number-of-provinces/</t>
  </si>
  <si>
    <t>Binary Tree Longest Consecutive Sequence II</t>
  </si>
  <si>
    <t>https://leetcode.com/problems/binary-tree-longest-consecutive-sequence-ii/</t>
  </si>
  <si>
    <t>Game Play Analysis IV</t>
  </si>
  <si>
    <t>SQL First Login</t>
  </si>
  <si>
    <t>SQL First Login: Use MIN(event_date) per player as first_login date, then check if player also has event on first_login+1.</t>
  </si>
  <si>
    <t>https://leetcode.com/problems/game-play-analysis-iv/</t>
  </si>
  <si>
    <t>Brick Wall</t>
  </si>
  <si>
    <t>Gap Hashing</t>
  </si>
  <si>
    <t>Gap Hashing: Count edge positions (prefix sums excluding the last brick) in a hashmap; answer = rows - max aligned edges.</t>
  </si>
  <si>
    <t>https://leetcode.com/problems/brick-wall/</t>
  </si>
  <si>
    <t>Next Greater Element III</t>
  </si>
  <si>
    <t>Math, Two Pointers, String</t>
  </si>
  <si>
    <t>Next Permutation: Find the rightmost ascent, swap with the next-larger digit to its right, reverse the suffix; reject on 32-bit overflow.</t>
  </si>
  <si>
    <t>O(d)</t>
  </si>
  <si>
    <t>https://leetcode.com/problems/next-greater-element-iii/</t>
  </si>
  <si>
    <t>Reverse Words In A String III</t>
  </si>
  <si>
    <t>Reverse Each Word</t>
  </si>
  <si>
    <t>Reverse Each Word: Split by spaces, reverse each word individually using two-pointer or StringBuilder, rejoin.</t>
  </si>
  <si>
    <t>https://leetcode.com/problems/reverse-words-in-a-string-iii/</t>
  </si>
  <si>
    <t>Subarray Sum Equals K</t>
  </si>
  <si>
    <t>Prefix Sum + HashMap</t>
  </si>
  <si>
    <t>Prefix Sum + HashMap: Track prefix sums and count prior sums equal to currentSum-k.</t>
  </si>
  <si>
    <t>https://leetcode.com/problems/subarray-sum-equals-k/</t>
  </si>
  <si>
    <t>Array Partition</t>
  </si>
  <si>
    <t>Sort + Pair</t>
  </si>
  <si>
    <t>Sort + Pair: Sort ascending and sum every element at an even index (each pair's minimum).</t>
  </si>
  <si>
    <t>https://leetcode.com/problems/array-partition/</t>
  </si>
  <si>
    <t>Find the Closest Palindrome</t>
  </si>
  <si>
    <t>https://leetcode.com/problems/find-the-closest-palindrome/</t>
  </si>
  <si>
    <t>Array Nesting</t>
  </si>
  <si>
    <t>https://leetcode.com/problems/array-nesting/</t>
  </si>
  <si>
    <t>Permutation in String</t>
  </si>
  <si>
    <t>Sliding Window with Char Count</t>
  </si>
  <si>
    <t>Sliding Window with Char Count: Maintain a window of s1 length over s2 and compare character frequency differences.</t>
  </si>
  <si>
    <t>https://leetcode.com/problems/permutation-in-string/</t>
  </si>
  <si>
    <t>Median Employee Salary</t>
  </si>
  <si>
    <t>SQL Median Window</t>
  </si>
  <si>
    <t>SQL Median Window: Rank salaries ascending and descending per company; the median rows satisfy rank_asc in [rank_desc-1, rank_desc+1].</t>
  </si>
  <si>
    <t>https://leetcode.com/problems/median-employee-salary/</t>
  </si>
  <si>
    <t>Managers with at Least 5 Direct Reports</t>
  </si>
  <si>
    <t>SQL COUNT &gt;= 5</t>
  </si>
  <si>
    <t>SQL COUNT &gt;= 5: SELECT e.name FROM Employee e WHERE e.id IN (SELECT managerId FROM Employee GROUP BY managerId HAVING COUNT(*)&gt;=5).</t>
  </si>
  <si>
    <t>https://leetcode.com/problems/managers-with-at-least-5-direct-reports/</t>
  </si>
  <si>
    <t>Subtree of Another Tree</t>
  </si>
  <si>
    <t>Blind75, Grind169, NeetCode150</t>
  </si>
  <si>
    <t>O(m * n)</t>
  </si>
  <si>
    <t>https://leetcode.com/problems/subtree-of-another-tree/</t>
  </si>
  <si>
    <t>Employee Bonus</t>
  </si>
  <si>
    <t>SQL LEFT JOIN NULL Check</t>
  </si>
  <si>
    <t>SQL LEFT JOIN NULL Check: LEFT JOIN Employee with Bonus on empId. WHERE bonus &lt; 1000 OR bonus IS NULL.</t>
  </si>
  <si>
    <t>https://leetcode.com/problems/employee-bonus/</t>
  </si>
  <si>
    <t>Find Customer Referee</t>
  </si>
  <si>
    <t>SQL NULL Handling</t>
  </si>
  <si>
    <t>SQL NULL Handling: WHERE referee_id != 2 OR referee_id IS NULL. NULL != 2 evaluates to NULL (not true), so IS NULL must be explicit.</t>
  </si>
  <si>
    <t>https://leetcode.com/problems/find-customer-referee/</t>
  </si>
  <si>
    <t>Design In-Memory File System</t>
  </si>
  <si>
    <t>Grind169, Microsoft, Uber</t>
  </si>
  <si>
    <t>https://leetcode.com/problems/design-in-memory-file-system/</t>
  </si>
  <si>
    <t>Big Countries</t>
  </si>
  <si>
    <t>https://leetcode.com/problems/big-countries/</t>
  </si>
  <si>
    <t>Minimum Index Sum of Two Lists</t>
  </si>
  <si>
    <t>HashMap Index Sum</t>
  </si>
  <si>
    <t>HashMap Index Sum: Map list1 value -&gt; index; scan list2 tracking the minimum index-sum and collect ties.</t>
  </si>
  <si>
    <t>https://leetcode.com/problems/minimum-index-sum-of-two-lists/</t>
  </si>
  <si>
    <t>Can Place Flowers</t>
  </si>
  <si>
    <t>https://leetcode.com/problems/can-place-flowers/</t>
  </si>
  <si>
    <t>Triangle Judgement</t>
  </si>
  <si>
    <t>SQL CASE</t>
  </si>
  <si>
    <t>SQL CASE: Output 'Yes' when x+y&gt;z AND x+z&gt;y AND y+z&gt;x, else 'No'.</t>
  </si>
  <si>
    <t>https://leetcode.com/problems/triangle-judgement/</t>
  </si>
  <si>
    <t>Not Boring Movies</t>
  </si>
  <si>
    <t>SQL NOT BORING</t>
  </si>
  <si>
    <t>SQL NOT BORING: SELECT * FROM cinema WHERE id%2=1 AND description != 'boring' ORDER BY rating DESC.</t>
  </si>
  <si>
    <t>https://leetcode.com/problems/not-boring-movies/</t>
  </si>
  <si>
    <t>Task Scheduler</t>
  </si>
  <si>
    <t>Amazon, Apple, Google, Grind169, Grind75, Microsoft, NeetCode150, Uber</t>
  </si>
  <si>
    <t>https://leetcode.com/problems/task-scheduler/</t>
  </si>
  <si>
    <t>Design Circular Queue</t>
  </si>
  <si>
    <t>Circular Buffer</t>
  </si>
  <si>
    <t>Circular Buffer: Fixed array with head/tail pointers (mod capacity). Track current size for isFull/isEmpty.</t>
  </si>
  <si>
    <t>https://leetcode.com/problems/design-circular-queue/</t>
  </si>
  <si>
    <t>Exchange Seats</t>
  </si>
  <si>
    <t>SQL Parity Swap</t>
  </si>
  <si>
    <t>SQL Parity Swap: Use CASE on id parity to swap with the neighbor (id+1 if odd and not last, id-1 if even).</t>
  </si>
  <si>
    <t>https://leetcode.com/problems/exchange-seats/</t>
  </si>
  <si>
    <t>Maximum Product of Three Numbers</t>
  </si>
  <si>
    <t>https://leetcode.com/problems/maximum-product-of-three-numbers/</t>
  </si>
  <si>
    <t>Smallest Range Covering Elements from K Lists</t>
  </si>
  <si>
    <t>Array, Heap, Sliding Window</t>
  </si>
  <si>
    <t>Heap K-way + Track Max</t>
  </si>
  <si>
    <t>Heap K-way + Track Max: Min-heap with one element per list. Track current max across all lists. Range=max-heap.top(). Pop min, push next from same list.</t>
  </si>
  <si>
    <t>https://leetcode.com/problems/smallest-range-covering-elements-from-k-lists/</t>
  </si>
  <si>
    <t>Sum of Square Numbers</t>
  </si>
  <si>
    <t>O(sqrt(n))</t>
  </si>
  <si>
    <t>https://leetcode.com/problems/sum-of-square-numbers/</t>
  </si>
  <si>
    <t>Design Log Storage System</t>
  </si>
  <si>
    <t>TreeMap/SortedMap</t>
  </si>
  <si>
    <t>TreeMap/SortedMap: Map formatted_timestamp to log_id. For range query, iterate entries within start/end bounds.</t>
  </si>
  <si>
    <t>https://leetcode.com/problems/design-log-storage-system/</t>
  </si>
  <si>
    <t>Exclusive Time of Functions</t>
  </si>
  <si>
    <t>Amazon, Apple, Google, Meta, Uber</t>
  </si>
  <si>
    <t>https://leetcode.com/problems/exclusive-time-of-functions/</t>
  </si>
  <si>
    <t>Design Search Autocomplete System</t>
  </si>
  <si>
    <t>Trie, Design, Heap</t>
  </si>
  <si>
    <t>https://leetcode.com/problems/design-search-autocomplete-system/</t>
  </si>
  <si>
    <t>Maximum Average Subarray I</t>
  </si>
  <si>
    <t>https://leetcode.com/problems/maximum-average-subarray-i/</t>
  </si>
  <si>
    <t>Set Mismatch</t>
  </si>
  <si>
    <t>Cyclic Sort</t>
  </si>
  <si>
    <t>Cyclic Sort: Place nums[i] at index nums[i]-1. After sort, first index where nums[i]!=i+1 reveals the pattern.</t>
  </si>
  <si>
    <t>https://leetcode.com/problems/set-mismatch/</t>
  </si>
  <si>
    <t>Palindromic Substrings</t>
  </si>
  <si>
    <t>Amazon, Apple, Blind75, Meta, Microsoft, NeetCode150</t>
  </si>
  <si>
    <t>https://leetcode.com/problems/palindromic-substrings/</t>
  </si>
  <si>
    <t>Replace Words</t>
  </si>
  <si>
    <t>Trie, Hashing</t>
  </si>
  <si>
    <t>https://leetcode.com/problems/replace-words/</t>
  </si>
  <si>
    <t>Two Sum IV - Input is a BST</t>
  </si>
  <si>
    <t>In-order + Two Pointers</t>
  </si>
  <si>
    <t>In-order + Two Pointers: Flatten the BST in-order to a sorted array and apply the two-pointer two-sum (or a hashset DFS).</t>
  </si>
  <si>
    <t>https://leetcode.com/problems/two-sum-iv-input-is-a-bst/</t>
  </si>
  <si>
    <t>Find K Closest Elements</t>
  </si>
  <si>
    <t>O(log n + k)</t>
  </si>
  <si>
    <t>https://leetcode.com/problems/find-k-closest-elements/</t>
  </si>
  <si>
    <t>String, Design, Array</t>
  </si>
  <si>
    <t>Blind75</t>
  </si>
  <si>
    <t>Image Smoother</t>
  </si>
  <si>
    <t>2D Average</t>
  </si>
  <si>
    <t>2D Average: For each cell, average all valid 3x3 neighborhood cells. Use a copy. Clamp indices to grid bounds.</t>
  </si>
  <si>
    <t>https://leetcode.com/problems/image-smoother/</t>
  </si>
  <si>
    <t>Maximum Width of Binary Tree</t>
  </si>
  <si>
    <t>Amazon, Google, Grind169, Microsoft</t>
  </si>
  <si>
    <t>https://leetcode.com/problems/maximum-width-of-binary-tree/</t>
  </si>
  <si>
    <t>Maximum Swap</t>
  </si>
  <si>
    <t>https://leetcode.com/problems/maximum-swap/</t>
  </si>
  <si>
    <t>Valid Parenthesis String</t>
  </si>
  <si>
    <t>https://leetcode.com/problems/valid-parenthesis-string/</t>
  </si>
  <si>
    <t>Valid Palindrome II</t>
  </si>
  <si>
    <t>https://leetcode.com/problems/valid-palindrome-ii/</t>
  </si>
  <si>
    <t>Baseball Game</t>
  </si>
  <si>
    <t>Stack, Array, Simulation</t>
  </si>
  <si>
    <t>Stack Baseball</t>
  </si>
  <si>
    <t>Stack Baseball: Stack for scores. '+': sum top 2. 'D': double top. 'C': pop. Number: push. Return sum.</t>
  </si>
  <si>
    <t>https://leetcode.com/problems/baseball-game/</t>
  </si>
  <si>
    <t>Redundant Connection</t>
  </si>
  <si>
    <t>Union-Find</t>
  </si>
  <si>
    <t>Union-Find: Union each edge's endpoints; the first edge whose endpoints are already connected is the redundant one.</t>
  </si>
  <si>
    <t>O(n * alpha)</t>
  </si>
  <si>
    <t>https://leetcode.com/problems/redundant-connection/</t>
  </si>
  <si>
    <t>Knight Probability in Chessboard</t>
  </si>
  <si>
    <t>https://leetcode.com/problems/knight-probability-in-chessboard/</t>
  </si>
  <si>
    <t>Employee Importance</t>
  </si>
  <si>
    <t>Graph, DFS, BFS</t>
  </si>
  <si>
    <t>https://leetcode.com/problems/employee-importance/</t>
  </si>
  <si>
    <t>Top K Frequent Words</t>
  </si>
  <si>
    <t>String, Heap, Hashing</t>
  </si>
  <si>
    <t>https://leetcode.com/problems/top-k-frequent-words/</t>
  </si>
  <si>
    <t>Binary Number with Alternating Bits</t>
  </si>
  <si>
    <t>Bit Trick: x = n ^ (n &gt;&gt; 1) makes bits all 1 for alternating input; verify with x &amp; (x+1) == 0.</t>
  </si>
  <si>
    <t>https://leetcode.com/problems/binary-number-with-alternating-bits/</t>
  </si>
  <si>
    <t>Max Area of Island</t>
  </si>
  <si>
    <t>https://leetcode.com/problems/max-area-of-island/</t>
  </si>
  <si>
    <t>Count Binary Substrings</t>
  </si>
  <si>
    <t>Count Groups</t>
  </si>
  <si>
    <t>Count Groups: Count consecutive 0-run and 1-run lengths. Adjacent equal-length runs form valid pairs.</t>
  </si>
  <si>
    <t>https://leetcode.com/problems/count-binary-substrings/</t>
  </si>
  <si>
    <t>Partition to K Equal Sum Subsets</t>
  </si>
  <si>
    <t>Backtracking Buckets</t>
  </si>
  <si>
    <t>Backtracking Buckets: Fill k buckets to target = sum/k; sort descending and prune, optionally memoizing on a used-bitmask.</t>
  </si>
  <si>
    <t>O(k * 2^n)</t>
  </si>
  <si>
    <t>https://leetcode.com/problems/partition-to-k-equal-sum-subsets/</t>
  </si>
  <si>
    <t>Falling Squares</t>
  </si>
  <si>
    <t>Array, Sorted Set</t>
  </si>
  <si>
    <t>https://leetcode.com/problems/falling-squares/</t>
  </si>
  <si>
    <t>Search in a Binary Search Tree</t>
  </si>
  <si>
    <t>Tree, BST, DFS</t>
  </si>
  <si>
    <t>BST Search</t>
  </si>
  <si>
    <t>BST Search: If val &lt; root.val go left; if val &gt; root.val go right; if equal return root.</t>
  </si>
  <si>
    <t>https://leetcode.com/problems/search-in-a-binary-search-tree/</t>
  </si>
  <si>
    <t>Kth Largest Element in a Stream</t>
  </si>
  <si>
    <t>Min-Heap Size k</t>
  </si>
  <si>
    <t>NeetCode150</t>
  </si>
  <si>
    <t>Min-Heap Size k: On add: push if size&lt;k, else if val&gt;peek() replace top. Peek = kth largest.</t>
  </si>
  <si>
    <t>https://leetcode.com/problems/kth-largest-element-in-a-stream/</t>
  </si>
  <si>
    <t>Standard Binary Search</t>
  </si>
  <si>
    <t>Standard Binary Search: Use low/high/mid and discard half based on comparison with target.</t>
  </si>
  <si>
    <t>https://leetcode.com/problems/binary-search/</t>
  </si>
  <si>
    <t>Design HashMap</t>
  </si>
  <si>
    <t>https://leetcode.com/problems/design-hashmap/</t>
  </si>
  <si>
    <t>Design Linked List</t>
  </si>
  <si>
    <t>Design, Linked List</t>
  </si>
  <si>
    <t>https://leetcode.com/problems/design-linked-list/</t>
  </si>
  <si>
    <t>Insert into a Sorted Circular Linked List</t>
  </si>
  <si>
    <t>https://leetcode.com/problems/insert-into-a-sorted-circular-linked-list/</t>
  </si>
  <si>
    <t>To Lower Case</t>
  </si>
  <si>
    <t>toLower ASCII</t>
  </si>
  <si>
    <t>toLower ASCII: For each char 'A'-'Z', add 32 to get lowercase. Build result string.</t>
  </si>
  <si>
    <t>https://leetcode.com/problems/to-lower-case/</t>
  </si>
  <si>
    <t>Minimum ASCII Delete Sum for Two Strings</t>
  </si>
  <si>
    <t>2D DP Min ASCII Delete</t>
  </si>
  <si>
    <t>2D DP Min ASCII Delete: dp[i][j]=min ASCII deletions to equalize. Match: dp[i-1][j-1]. Else: min(dp[i-1][j]+s1[i], dp[i][j-1]+s2[j]).</t>
  </si>
  <si>
    <t>https://leetcode.com/problems/minimum-ascii-delete-sum-for-two-strings/</t>
  </si>
  <si>
    <t>Subarray Product Less Than K</t>
  </si>
  <si>
    <t>https://leetcode.com/problems/subarray-product-less-than-k/</t>
  </si>
  <si>
    <t>Best Time to Buy and Sell Stock with Transaction Fee</t>
  </si>
  <si>
    <t>https://leetcode.com/problems/best-time-to-buy-and-sell-stock-with-transaction-fee/</t>
  </si>
  <si>
    <t>Range Module</t>
  </si>
  <si>
    <t>Design, Sorted Set</t>
  </si>
  <si>
    <t>https://leetcode.com/problems/range-module/</t>
  </si>
  <si>
    <t>Find K-th Smallest Pair Distance</t>
  </si>
  <si>
    <t>Binary Search on Answer</t>
  </si>
  <si>
    <t>Binary Search on Answer: Sort, then binary search the distance and count pairs with gap &lt;= mid using two pointers.</t>
  </si>
  <si>
    <t>O(n log n + n log W)</t>
  </si>
  <si>
    <t>https://leetcode.com/problems/find-k-th-smallest-pair-distance/</t>
  </si>
  <si>
    <t>Accounts Merge</t>
  </si>
  <si>
    <t>Graph, Union-Find, Hashing</t>
  </si>
  <si>
    <t>O(N α(N))</t>
  </si>
  <si>
    <t>O(N)</t>
  </si>
  <si>
    <t>https://leetcode.com/problems/accounts-merge/</t>
  </si>
  <si>
    <t>Candy Crush</t>
  </si>
  <si>
    <t>https://leetcode.com/problems/candy-crush/</t>
  </si>
  <si>
    <t>Find Pivot Index</t>
  </si>
  <si>
    <t>https://leetcode.com/problems/find-pivot-index/</t>
  </si>
  <si>
    <t>Split Linked List in Parts</t>
  </si>
  <si>
    <t>Length Split</t>
  </si>
  <si>
    <t>Length Split: Count the length, compute base part size and remainder, then cut the list into k parts.</t>
  </si>
  <si>
    <t>https://leetcode.com/problems/split-linked-list-in-parts/</t>
  </si>
  <si>
    <t>Number of Atoms</t>
  </si>
  <si>
    <t>String, Stack, Hashing</t>
  </si>
  <si>
    <t>Recursive/Stack Parse</t>
  </si>
  <si>
    <t>Recursive/Stack Parse: Parse atoms with optional counts, apply multipliers across parentheses into a count map, then output sorted.</t>
  </si>
  <si>
    <t>https://leetcode.com/problems/number-of-atoms/</t>
  </si>
  <si>
    <t>My Calendar I</t>
  </si>
  <si>
    <t>Sorted Set, Design</t>
  </si>
  <si>
    <t>https://leetcode.com/problems/my-calendar-i/</t>
  </si>
  <si>
    <t>My Calendar II</t>
  </si>
  <si>
    <t>https://leetcode.com/problems/my-calendar-ii/</t>
  </si>
  <si>
    <t>Flood Fill</t>
  </si>
  <si>
    <t>Amazon, Apple, Google, Grind169, Grind75, Microsoft, Uber</t>
  </si>
  <si>
    <t>DFS/BFS Flood Fill: From the source cell, visit all connected cells with original color and change them.</t>
  </si>
  <si>
    <t>https://leetcode.com/problems/flood-fill/</t>
  </si>
  <si>
    <t>Asteroid Collision</t>
  </si>
  <si>
    <t>https://leetcode.com/problems/asteroid-collision/</t>
  </si>
  <si>
    <t>Sentence Similarity II</t>
  </si>
  <si>
    <t>https://leetcode.com/problems/sentence-similarity-ii/</t>
  </si>
  <si>
    <t>Daily Temperatures</t>
  </si>
  <si>
    <t>Array, Monotonic Stack</t>
  </si>
  <si>
    <t>Monotonic Decreasing Stack</t>
  </si>
  <si>
    <t>Monotonic Decreasing Stack: Keep indices of unresolved temperatures; when warmer temp appears, pop and set wait days.</t>
  </si>
  <si>
    <t>https://leetcode.com/problems/daily-temperatures/</t>
  </si>
  <si>
    <t>Cherry Pickup</t>
  </si>
  <si>
    <t>https://leetcode.com/problems/cherry-pickup/</t>
  </si>
  <si>
    <t>Network Delay Time</t>
  </si>
  <si>
    <t>Graph, BFS, Heap</t>
  </si>
  <si>
    <t>O(E log V)</t>
  </si>
  <si>
    <t>https://leetcode.com/problems/network-delay-time/</t>
  </si>
  <si>
    <t>Find Smallest Letter Greater Than Target</t>
  </si>
  <si>
    <t>Binary Search Next Letter</t>
  </si>
  <si>
    <t>Binary Search Next Letter: Find leftmost char &gt; target. If none found, return letters[0] (wrap around).</t>
  </si>
  <si>
    <t>https://leetcode.com/problems/find-smallest-letter-greater-than-target/</t>
  </si>
  <si>
    <t>Min Cost Climbing Stairs</t>
  </si>
  <si>
    <t>DP - Min Cost Climbing</t>
  </si>
  <si>
    <t>Amazon, NeetCode150</t>
  </si>
  <si>
    <t>DP - Min Cost Climbing: Track min cost to reach each step using the cheaper of one-step and two-step previous costs.</t>
  </si>
  <si>
    <t>https://leetcode.com/problems/min-cost-climbing-stairs/</t>
  </si>
  <si>
    <t>Open the Lock</t>
  </si>
  <si>
    <t>Graph, BFS, Hashing</t>
  </si>
  <si>
    <t>Amazon, Microsoft, Uber</t>
  </si>
  <si>
    <t>https://leetcode.com/problems/open-the-lock/</t>
  </si>
  <si>
    <t>Pyramid Transition Matrix</t>
  </si>
  <si>
    <t>Backtracking: Build the pyramid level by level using an allowed-triples map, backtracking when no block fits.</t>
  </si>
  <si>
    <t>O(exp)</t>
  </si>
  <si>
    <t>https://leetcode.com/problems/pyramid-transition-matrix/</t>
  </si>
  <si>
    <t>Employee Free Time</t>
  </si>
  <si>
    <t>Apple, Google, Grind169, Microsoft</t>
  </si>
  <si>
    <t>https://leetcode.com/problems/employee-free-time/</t>
  </si>
  <si>
    <t>Special Binary String</t>
  </si>
  <si>
    <t>String, Recursion</t>
  </si>
  <si>
    <t>Recursive Sort</t>
  </si>
  <si>
    <t>Recursive Sort: Split into top-level 'special' substrings, recursively normalize each, then sort them descending and concatenate.</t>
  </si>
  <si>
    <t>https://leetcode.com/problems/special-binary-string/</t>
  </si>
  <si>
    <t>Partition Labels</t>
  </si>
  <si>
    <t>String, Greedy</t>
  </si>
  <si>
    <t>https://leetcode.com/problems/partition-labels/</t>
  </si>
  <si>
    <t>Toeplitz Matrix</t>
  </si>
  <si>
    <t>Toeplitz Check</t>
  </si>
  <si>
    <t>Toeplitz Check: For each cell (i,j) where i&gt;0 and j&gt;0, check matrix[i][j]==matrix[i-1][j-1].</t>
  </si>
  <si>
    <t>https://leetcode.com/problems/toeplitz-matrix/</t>
  </si>
  <si>
    <t>Reorganize String</t>
  </si>
  <si>
    <t>String, Heap, Greedy</t>
  </si>
  <si>
    <t>https://leetcode.com/problems/reorganize-string/</t>
  </si>
  <si>
    <t>Max Chunks To Make Sorted</t>
  </si>
  <si>
    <t>https://leetcode.com/problems/max-chunks-to-make-sorted/</t>
  </si>
  <si>
    <t>Jewels and Stones</t>
  </si>
  <si>
    <t>HashSet Count</t>
  </si>
  <si>
    <t>HashSet Count: Set of jewel chars. Count stone chars that exist in the jewel set.</t>
  </si>
  <si>
    <t>https://leetcode.com/problems/jewels-and-stones/</t>
  </si>
  <si>
    <t>Sliding Puzzle</t>
  </si>
  <si>
    <t>https://leetcode.com/problems/sliding-puzzle/</t>
  </si>
  <si>
    <t>Swap Adjacent in LR String</t>
  </si>
  <si>
    <t>https://leetcode.com/problems/swap-adjacent-in-lr-string/</t>
  </si>
  <si>
    <t>Swim in Rising Water</t>
  </si>
  <si>
    <t>Array, Matrix, BFS, Binary Search</t>
  </si>
  <si>
    <t>O(n^2 log n)</t>
  </si>
  <si>
    <t>https://leetcode.com/problems/swim-in-rising-water/</t>
  </si>
  <si>
    <t>Is Graph Bipartite?</t>
  </si>
  <si>
    <t>https://leetcode.com/problems/is-graph-bipartite/</t>
  </si>
  <si>
    <t>Cheapest Flights Within K Stops</t>
  </si>
  <si>
    <t>Graph, DP, BFS</t>
  </si>
  <si>
    <t>https://leetcode.com/problems/cheapest-flights-within-k-stops/</t>
  </si>
  <si>
    <t>Rotated Digits</t>
  </si>
  <si>
    <t>Per-Number Digit Check</t>
  </si>
  <si>
    <t>Per-Number Digit Check: A number is good if every digit is rotatable and at least one digit is 2,5,6, or 9.</t>
  </si>
  <si>
    <t>O(n*d)</t>
  </si>
  <si>
    <t>https://leetcode.com/problems/rotated-digits/</t>
  </si>
  <si>
    <t>Domino and Tromino Tiling</t>
  </si>
  <si>
    <t>DP Recurrence</t>
  </si>
  <si>
    <t>DP Recurrence: dp[i] = 2*dp[i-1] + dp[i-3] for tilings of a 2xN board.</t>
  </si>
  <si>
    <t>https://leetcode.com/problems/domino-and-tromino-tiling/</t>
  </si>
  <si>
    <t>Custom Sort String</t>
  </si>
  <si>
    <t>String, Hashing, Sorting</t>
  </si>
  <si>
    <t>Meta, Uber</t>
  </si>
  <si>
    <t>https://leetcode.com/problems/custom-sort-string/</t>
  </si>
  <si>
    <t>Number of Matching Subsequences</t>
  </si>
  <si>
    <t>String, Binary Search</t>
  </si>
  <si>
    <t>https://leetcode.com/problems/number-of-matching-subsequences/</t>
  </si>
  <si>
    <t>Rotate String</t>
  </si>
  <si>
    <t>https://leetcode.com/problems/rotate-string/</t>
  </si>
  <si>
    <t>All Paths From Source to Target</t>
  </si>
  <si>
    <t>DFS Backtracking</t>
  </si>
  <si>
    <t>DFS Backtracking: From node 0, DFS the DAG to node n-1, recording each complete path.</t>
  </si>
  <si>
    <t>O(2^n * n)</t>
  </si>
  <si>
    <t>https://leetcode.com/problems/all-paths-from-source-to-target/</t>
  </si>
  <si>
    <t>Champagne Tower</t>
  </si>
  <si>
    <t>DP Overflow</t>
  </si>
  <si>
    <t>DP Overflow: Simulate row by row; each glass passes (amount-1)/2 to its two children when it overflows.</t>
  </si>
  <si>
    <t>O(r^2)</t>
  </si>
  <si>
    <t>O(r)</t>
  </si>
  <si>
    <t>https://leetcode.com/problems/champagne-tower/</t>
  </si>
  <si>
    <t>Find Eventual Safe States</t>
  </si>
  <si>
    <t>https://leetcode.com/problems/find-eventual-safe-states/</t>
  </si>
  <si>
    <t>Unique Morse Code Words</t>
  </si>
  <si>
    <t>Set of Transforms</t>
  </si>
  <si>
    <t>Set of Transforms: Map each word to its concatenated Morse code and count distinct results in a set.</t>
  </si>
  <si>
    <t>O(n*L)</t>
  </si>
  <si>
    <t>https://leetcode.com/problems/unique-morse-code-words/</t>
  </si>
  <si>
    <t>Bus Routes</t>
  </si>
  <si>
    <t>Amazon, Grind169, Uber</t>
  </si>
  <si>
    <t>https://leetcode.com/problems/bus-routes/</t>
  </si>
  <si>
    <t>Linked List Components</t>
  </si>
  <si>
    <t>Set + Run Counting</t>
  </si>
  <si>
    <t>Set + Run Counting: Put nums in a set; while traversing the list, count maximal runs of present consecutive nodes.</t>
  </si>
  <si>
    <t>https://leetcode.com/problems/linked-list-components/</t>
  </si>
  <si>
    <t>Short Encoding of Words</t>
  </si>
  <si>
    <t>Trie, Array</t>
  </si>
  <si>
    <t>https://leetcode.com/problems/short-encoding-of-words/</t>
  </si>
  <si>
    <t>Goat Latin</t>
  </si>
  <si>
    <t>https://leetcode.com/problems/goat-latin/</t>
  </si>
  <si>
    <t>Friends Of Appropriate Ages</t>
  </si>
  <si>
    <t>https://leetcode.com/problems/friends-of-appropriate-ages/</t>
  </si>
  <si>
    <t>Making A Large Island</t>
  </si>
  <si>
    <t>Array, Matrix, DFS, Union-Find</t>
  </si>
  <si>
    <t>Amazon, Meta, Microsoft, Uber</t>
  </si>
  <si>
    <t>https://leetcode.com/problems/making-a-large-island/</t>
  </si>
  <si>
    <t>Flipping an Image</t>
  </si>
  <si>
    <t>Array, Matrix, Two Pointers, Bit Manipulation</t>
  </si>
  <si>
    <t>Flip and Invert</t>
  </si>
  <si>
    <t>Flip and Invert: Reverse each row. Flip each bit (XOR with 1).</t>
  </si>
  <si>
    <t>https://leetcode.com/problems/flipping-an-image/</t>
  </si>
  <si>
    <t>Similar String Groups</t>
  </si>
  <si>
    <t>Union-Find, Graph</t>
  </si>
  <si>
    <t>https://leetcode.com/problems/similar-string-groups/</t>
  </si>
  <si>
    <t>Magic Squares In Grid</t>
  </si>
  <si>
    <t>Brute Force 3x3</t>
  </si>
  <si>
    <t>Brute Force 3x3: Check every 3x3 subgrid for the magic-square property (center 5, distinct 1-9, equal sums).</t>
  </si>
  <si>
    <t>https://leetcode.com/problems/magic-squares-in-grid/</t>
  </si>
  <si>
    <t>Keys and Rooms</t>
  </si>
  <si>
    <t>https://leetcode.com/problems/keys-and-rooms/</t>
  </si>
  <si>
    <t>Guess the Word</t>
  </si>
  <si>
    <t>Apple, Google</t>
  </si>
  <si>
    <t>https://leetcode.com/problems/guess-the-word/</t>
  </si>
  <si>
    <t>Backspace String Compare</t>
  </si>
  <si>
    <t>https://leetcode.com/problems/backspace-string-compare/</t>
  </si>
  <si>
    <t>Hand of Straights</t>
  </si>
  <si>
    <t>Array, Greedy, Hashing</t>
  </si>
  <si>
    <t>Greedy Groups</t>
  </si>
  <si>
    <t>Greedy Groups: Sort. Use freq map. For each smallest unplaced card, greedily form W-consecutive group.</t>
  </si>
  <si>
    <t>https://leetcode.com/problems/hand-of-straights/</t>
  </si>
  <si>
    <t>Maximize Distance to Closest Person</t>
  </si>
  <si>
    <t>https://leetcode.com/problems/maximize-distance-to-closest-person/</t>
  </si>
  <si>
    <t>Peak Index in a Mountain Array</t>
  </si>
  <si>
    <t>https://leetcode.com/problems/peak-index-in-a-mountain-array/</t>
  </si>
  <si>
    <t>Car Fleet</t>
  </si>
  <si>
    <t>Monotonic Stack Fleets</t>
  </si>
  <si>
    <t>Monotonic Stack Fleets: Sort by position desc. Compute time=dist/speed. If time[i] &gt; time of previous fleet, it's a new fleet. Count.</t>
  </si>
  <si>
    <t>https://leetcode.com/problems/car-fleet/</t>
  </si>
  <si>
    <t>Exam Room</t>
  </si>
  <si>
    <t>Amazon, Apple, Uber</t>
  </si>
  <si>
    <t>https://leetcode.com/problems/exam-room/</t>
  </si>
  <si>
    <t>Lemonade Change</t>
  </si>
  <si>
    <t>Greedy Change</t>
  </si>
  <si>
    <t>Greedy Change: Track $5 and $10 bills. $10: give $5. $20: prefer $10+$5, else $5+$5+$5. Return false if can't make change.</t>
  </si>
  <si>
    <t>https://leetcode.com/problems/lemonade-change/</t>
  </si>
  <si>
    <t>All Nodes Distance K in Binary Tree</t>
  </si>
  <si>
    <t>Tree, BFS, DFS, Graph</t>
  </si>
  <si>
    <t>Amazon, Apple, Grind169, Meta, Microsoft</t>
  </si>
  <si>
    <t>https://leetcode.com/problems/all-nodes-distance-k-in-binary-tree/</t>
  </si>
  <si>
    <t>Smallest Subtree with all the Deepest Nodes</t>
  </si>
  <si>
    <t>https://leetcode.com/problems/smallest-subtree-with-all-the-deepest-nodes/</t>
  </si>
  <si>
    <t>Transpose Matrix</t>
  </si>
  <si>
    <t>https://leetcode.com/problems/transpose-matrix/</t>
  </si>
  <si>
    <t>Binary Gap</t>
  </si>
  <si>
    <t>Bit Scan</t>
  </si>
  <si>
    <t>Bit Scan: Track the maximum distance between consecutive set bits.</t>
  </si>
  <si>
    <t>https://leetcode.com/problems/binary-gap/</t>
  </si>
  <si>
    <t>Minimum Number of Refueling Stops</t>
  </si>
  <si>
    <t>Greedy Max-Heap</t>
  </si>
  <si>
    <t>Greedy Max-Heap: Push fuel of each passed station into a max-heap; when out of fuel, pop the largest and count a stop.</t>
  </si>
  <si>
    <t>https://leetcode.com/problems/minimum-number-of-refueling-stops/</t>
  </si>
  <si>
    <t>Walking Robot Simulation</t>
  </si>
  <si>
    <t>Simulation + Obstacle Set</t>
  </si>
  <si>
    <t>Simulation + Obstacle Set: Store obstacles in HashSet. Track direction. Move forward checking obstacles. Track max dist².</t>
  </si>
  <si>
    <t>https://leetcode.com/problems/walking-robot-simulation/</t>
  </si>
  <si>
    <t>Koko Eating Bananas</t>
  </si>
  <si>
    <t>Amazon, Google, Meta, Microsoft, NeetCode150, Uber</t>
  </si>
  <si>
    <t>https://leetcode.com/problems/koko-eating-bananas/</t>
  </si>
  <si>
    <t>Middle of the Linked List</t>
  </si>
  <si>
    <t>https://leetcode.com/problems/middle-of-the-linked-list/</t>
  </si>
  <si>
    <t>Nth Magical Number</t>
  </si>
  <si>
    <t>Binary Search + LCM</t>
  </si>
  <si>
    <t>Binary Search + LCM: Binary search the value; count multiples of a or b below it via inclusion-exclusion using lcm(a,b).</t>
  </si>
  <si>
    <t>O(log(n*max))</t>
  </si>
  <si>
    <t>https://leetcode.com/problems/nth-magical-number/</t>
  </si>
  <si>
    <t>Boats To Save People</t>
  </si>
  <si>
    <t>Array, Two Pointers, Greedy</t>
  </si>
  <si>
    <t>https://leetcode.com/problems/boats-to-save-people/</t>
  </si>
  <si>
    <t>Spiral Matrix III</t>
  </si>
  <si>
    <t>https://leetcode.com/problems/spiral-matrix-iii/</t>
  </si>
  <si>
    <t>Possible Bipartition</t>
  </si>
  <si>
    <t>https://leetcode.com/problems/possible-bipartition/</t>
  </si>
  <si>
    <t>Fair Candy Swap</t>
  </si>
  <si>
    <t>Array, Hashing, Binary Search</t>
  </si>
  <si>
    <t>XOR Fair Swap</t>
  </si>
  <si>
    <t>XOR Fair Swap: b = a + (sum(B)-sum(A))/2. Check in set(B). a and b have same parity iff sum difference is even.</t>
  </si>
  <si>
    <t>https://leetcode.com/problems/fair-candy-swap/</t>
  </si>
  <si>
    <t>Construct Binary Tree from Preorder and Postorder Traversal</t>
  </si>
  <si>
    <t>https://leetcode.com/problems/construct-binary-tree-from-preorder-and-postorder-traversal/</t>
  </si>
  <si>
    <t>Maximum Frequency Stack</t>
  </si>
  <si>
    <t>Amazon, Apple, Grind169, Uber</t>
  </si>
  <si>
    <t>https://leetcode.com/problems/maximum-frequency-stack/</t>
  </si>
  <si>
    <t>Monotonic Array</t>
  </si>
  <si>
    <t>One Pass</t>
  </si>
  <si>
    <t>One Pass: Track whether the array is still non-increasing and/or non-decreasing.</t>
  </si>
  <si>
    <t>https://leetcode.com/problems/monotonic-array/</t>
  </si>
  <si>
    <t>Online Stock Span</t>
  </si>
  <si>
    <t>https://leetcode.com/problems/online-stock-span/</t>
  </si>
  <si>
    <t>Fruit Into Baskets</t>
  </si>
  <si>
    <t>https://leetcode.com/problems/fruit-into-baskets/</t>
  </si>
  <si>
    <t>Sort Array By Parity</t>
  </si>
  <si>
    <t>Array, Two Pointers, Sorting</t>
  </si>
  <si>
    <t>Two Pointers Parity Sort</t>
  </si>
  <si>
    <t>Two Pointers Parity Sort: lo points to odd-indexed even value; hi points to even-indexed odd value. Swap and advance.</t>
  </si>
  <si>
    <t>https://leetcode.com/problems/sort-array-by-parity/</t>
  </si>
  <si>
    <t>Sum of Subarray Minimums</t>
  </si>
  <si>
    <t>https://leetcode.com/problems/sum-of-subarray-minimums/</t>
  </si>
  <si>
    <t>Snakes and Ladders</t>
  </si>
  <si>
    <t>https://leetcode.com/problems/snakes-and-ladders/</t>
  </si>
  <si>
    <t>Sort an Array</t>
  </si>
  <si>
    <t>https://leetcode.com/problems/sort-an-array/</t>
  </si>
  <si>
    <t>Maximum Sum Circular Subarray</t>
  </si>
  <si>
    <t>https://leetcode.com/problems/maximum-sum-circular-subarray/</t>
  </si>
  <si>
    <t>Minimum Add to Make Parentheses Valid</t>
  </si>
  <si>
    <t>https://leetcode.com/problems/minimum-add-to-make-parentheses-valid/</t>
  </si>
  <si>
    <t>Binary Subarrays With Sum</t>
  </si>
  <si>
    <t>Prefix Sum +1/-1</t>
  </si>
  <si>
    <t>Prefix Sum +1/-1: Replace 0→-1. Count subarrays with sum==goal. Use prefix sum map: answer += map[prefSum-goal].</t>
  </si>
  <si>
    <t>https://leetcode.com/problems/binary-subarrays-with-sum/</t>
  </si>
  <si>
    <t>Minimum Falling Path Sum</t>
  </si>
  <si>
    <t>https://leetcode.com/problems/minimum-falling-path-sum/</t>
  </si>
  <si>
    <t>Number of Recent Calls</t>
  </si>
  <si>
    <t>Circular Queue Timestamps</t>
  </si>
  <si>
    <t>Circular Queue Timestamps: Queue of hit timestamps. Remove timestamps &lt; t-300 on getHits(t). Return size.</t>
  </si>
  <si>
    <t>https://leetcode.com/problems/number-of-recent-calls/</t>
  </si>
  <si>
    <t>Shortest Bridge</t>
  </si>
  <si>
    <t>Array, Matrix, BFS, DFS</t>
  </si>
  <si>
    <t>https://leetcode.com/problems/shortest-bridge/</t>
  </si>
  <si>
    <t>Range Sum of BST</t>
  </si>
  <si>
    <t>https://leetcode.com/problems/range-sum-of-bst/</t>
  </si>
  <si>
    <t>Valid Mountain Array</t>
  </si>
  <si>
    <t>https://leetcode.com/problems/valid-mountain-array/</t>
  </si>
  <si>
    <t>Minimum Increment to Make Array Unique</t>
  </si>
  <si>
    <t>Sort + Bump</t>
  </si>
  <si>
    <t>Sort + Bump: Sort; if a[i] &lt;= a[i-1], raise it to a[i-1]+1 and add the increment to the answer.</t>
  </si>
  <si>
    <t>https://leetcode.com/problems/minimum-increment-to-make-array-unique/</t>
  </si>
  <si>
    <t>Validate Stack Sequences</t>
  </si>
  <si>
    <t>Stack, Array</t>
  </si>
  <si>
    <t>https://leetcode.com/problems/validate-stack-sequences/</t>
  </si>
  <si>
    <t>Most Stones Removed with Same Row or Column</t>
  </si>
  <si>
    <t>https://leetcode.com/problems/most-stones-removed-with-same-row-or-column/</t>
  </si>
  <si>
    <t>Verifying an Alien Dictionary</t>
  </si>
  <si>
    <t>https://leetcode.com/problems/verifying-an-alien-dictionary/</t>
  </si>
  <si>
    <t>Delete Columns to Make Sorted II</t>
  </si>
  <si>
    <t>Greedy Columns</t>
  </si>
  <si>
    <t>Greedy Columns: Track row pairs already strictly ordered; delete a column only if it breaks order among still-tied pairs.</t>
  </si>
  <si>
    <t>O(m)</t>
  </si>
  <si>
    <t>https://leetcode.com/problems/delete-columns-to-make-sorted-ii/</t>
  </si>
  <si>
    <t>Delete Columns to Make Sorted III</t>
  </si>
  <si>
    <t>LIS over Columns</t>
  </si>
  <si>
    <t>LIS over Columns: Find the longest set of columns kept in order (LIS where a column can follow another if every row is non-decreasing); answer = n - LIS.</t>
  </si>
  <si>
    <t>O(n^2 * m)</t>
  </si>
  <si>
    <t>https://leetcode.com/problems/delete-columns-to-make-sorted-iii/</t>
  </si>
  <si>
    <t>N-Repeated Element in Size 2N Array</t>
  </si>
  <si>
    <t>Hashset Duplicate</t>
  </si>
  <si>
    <t>Hashset Duplicate: The element repeated N times is just the first value seen twice.</t>
  </si>
  <si>
    <t>https://leetcode.com/problems/n-repeated-element-in-size-2n-array/</t>
  </si>
  <si>
    <t>Maximum Width Ramp</t>
  </si>
  <si>
    <t>https://leetcode.com/problems/maximum-width-ramp/</t>
  </si>
  <si>
    <t>Binary Tree Cameras</t>
  </si>
  <si>
    <t>Greedy DFS States</t>
  </si>
  <si>
    <t>Greedy DFS States: Bottom-up DFS with states {not covered, has camera, covered}; place a camera at a parent of an uncovered child.</t>
  </si>
  <si>
    <t>https://leetcode.com/problems/binary-tree-cameras/</t>
  </si>
  <si>
    <t>K Closest Points to Origin</t>
  </si>
  <si>
    <t>Array, Heap, Math</t>
  </si>
  <si>
    <t>QuickSelect or Min-Heap of Size K</t>
  </si>
  <si>
    <t>Apple, Grind169, Grind75, Meta, NeetCode150</t>
  </si>
  <si>
    <t>QuickSelect or Min-Heap of Size K: Use distance from origin and select the k smallest via QuickSelect or a size-k heap.</t>
  </si>
  <si>
    <t>https://leetcode.com/problems/k-closest-points-to-origin/</t>
  </si>
  <si>
    <t>Subarray Sums Divisible by K</t>
  </si>
  <si>
    <t>Prefix Mod Counting</t>
  </si>
  <si>
    <t>Prefix Mod Counting: Count prefix-sum remainders mod k in a hashmap; add the count of equal remainders seen.</t>
  </si>
  <si>
    <t>https://leetcode.com/problems/subarray-sums-divisible-by-k/</t>
  </si>
  <si>
    <t>Squares of a Sorted Array</t>
  </si>
  <si>
    <t>Amazon, Google, Grind169, Meta, Uber</t>
  </si>
  <si>
    <t>https://leetcode.com/problems/squares-of-a-sorted-array/</t>
  </si>
  <si>
    <t>Distribute Coins in Binary Tree</t>
  </si>
  <si>
    <t>DFS Balance</t>
  </si>
  <si>
    <t>DFS Balance: Post-order returns each subtree's surplus (coins-1); add abs of each child's surplus to the move count.</t>
  </si>
  <si>
    <t>https://leetcode.com/problems/distribute-coins-in-binary-tree/</t>
  </si>
  <si>
    <t>Unique Paths III</t>
  </si>
  <si>
    <t>O(n) or O(m·n)</t>
  </si>
  <si>
    <t>https://leetcode.com/problems/unique-paths-iii/</t>
  </si>
  <si>
    <t>Time Based Key-Value Store</t>
  </si>
  <si>
    <t>Design, Hashing, Binary Search</t>
  </si>
  <si>
    <t>O(log n) get, O(1) set</t>
  </si>
  <si>
    <t>https://leetcode.com/problems/time-based-key-value-store/</t>
  </si>
  <si>
    <t>Minimum Cost For Tickets</t>
  </si>
  <si>
    <t>https://leetcode.com/problems/minimum-cost-for-tickets/</t>
  </si>
  <si>
    <t>Interval List Intersections</t>
  </si>
  <si>
    <t>Amazon, Apple, Meta, Microsoft, Uber</t>
  </si>
  <si>
    <t>https://leetcode.com/problems/interval-list-intersections/</t>
  </si>
  <si>
    <t>Vertical Order Traversal of a Binary Tree</t>
  </si>
  <si>
    <t>Tree, BFS, Sorting</t>
  </si>
  <si>
    <t>https://leetcode.com/problems/vertical-order-traversal-of-a-binary-tree/</t>
  </si>
  <si>
    <t>Smallest String Starting From Leaf</t>
  </si>
  <si>
    <t>DFS Compare</t>
  </si>
  <si>
    <t>DFS Compare: DFS building the string from root to each leaf, comparing leaf strings for the lexicographically smallest.</t>
  </si>
  <si>
    <t>https://leetcode.com/problems/smallest-string-starting-from-leaf/</t>
  </si>
  <si>
    <t>Satisfiability of Equality Equations</t>
  </si>
  <si>
    <t>Union-Find: Union all '==' variables first, then check that no '!=' pair lies in the same set.</t>
  </si>
  <si>
    <t>https://leetcode.com/problems/satisfiability-of-equality-equations/</t>
  </si>
  <si>
    <t>Subarrays with K Different Integers</t>
  </si>
  <si>
    <t>https://leetcode.com/problems/subarrays-with-k-different-integers/</t>
  </si>
  <si>
    <t>Rotting Oranges</t>
  </si>
  <si>
    <t>Multi-Source BFS from Rotten Oranges</t>
  </si>
  <si>
    <t>Multi-Source BFS from Rotten Oranges: Start BFS from all rotten oranges and spread level by level to fresh neighbors.</t>
  </si>
  <si>
    <t>https://leetcode.com/problems/rotting-oranges/</t>
  </si>
  <si>
    <t>Number of Squareful Arrays</t>
  </si>
  <si>
    <t>https://leetcode.com/problems/number-of-squareful-arrays/</t>
  </si>
  <si>
    <t>Max Consecutive Ones III</t>
  </si>
  <si>
    <t>https://leetcode.com/problems/max-consecutive-ones-iii/</t>
  </si>
  <si>
    <t>Construct Binary Search Tree from Preorder Traversal</t>
  </si>
  <si>
    <t>Bounded Recursion</t>
  </si>
  <si>
    <t>Bounded Recursion: Build with an upper bound, consuming preorder values while they are smaller than the bound.</t>
  </si>
  <si>
    <t>https://leetcode.com/problems/construct-binary-search-tree-from-preorder-traversal/</t>
  </si>
  <si>
    <t>Capacity To Ship Packages Within D Days</t>
  </si>
  <si>
    <t>https://leetcode.com/problems/capacity-to-ship-packages-within-d-days/</t>
  </si>
  <si>
    <t>Partition Array Into Three Parts With Equal Sum</t>
  </si>
  <si>
    <t>Prefix Counting</t>
  </si>
  <si>
    <t>Prefix Counting: If total % 3 != 0 fail; scan accumulating and count the parts that reach total/3.</t>
  </si>
  <si>
    <t>https://leetcode.com/problems/partition-array-into-three-parts-with-equal-sum/</t>
  </si>
  <si>
    <t>Next Greater Node In Linked List</t>
  </si>
  <si>
    <t>Monotonic Stack: Convert to an array and use a decreasing stack of indices to find each node's next greater value.</t>
  </si>
  <si>
    <t>https://leetcode.com/problems/next-greater-node-in-linked-list/</t>
  </si>
  <si>
    <t>Remove Outermost Parentheses</t>
  </si>
  <si>
    <t>Depth Tracking</t>
  </si>
  <si>
    <t>Depth Tracking: Append each char except the outer '(' (depth 0) and the ')' that returns to depth 0.</t>
  </si>
  <si>
    <t>https://leetcode.com/problems/remove-outermost-parentheses/</t>
  </si>
  <si>
    <t>Divisor Game</t>
  </si>
  <si>
    <t>Math, DP, Game Theory</t>
  </si>
  <si>
    <t>Game Theory Divisor</t>
  </si>
  <si>
    <t>Game Theory Divisor: Player with even n always wins by choosing 1 (gives opponent odd). Return n%2==0.</t>
  </si>
  <si>
    <t>https://leetcode.com/problems/divisor-game/</t>
  </si>
  <si>
    <t>Longest Arithmetic Subsequence</t>
  </si>
  <si>
    <t>DP Hashmap</t>
  </si>
  <si>
    <t>DP Hashmap: dp[i][diff] = longest arithmetic run ending at i with that difference = dp[j][diff]+1.</t>
  </si>
  <si>
    <t>https://leetcode.com/problems/longest-arithmetic-subsequence/</t>
  </si>
  <si>
    <t>Recover a Tree From Preorder Traversal</t>
  </si>
  <si>
    <t>Stack by Depth</t>
  </si>
  <si>
    <t>Stack by Depth: Parse each (depth, value); pop the stack to the matching depth and attach the new node.</t>
  </si>
  <si>
    <t>https://leetcode.com/problems/recover-a-tree-from-preorder-traversal/</t>
  </si>
  <si>
    <t>Two City Scheduling</t>
  </si>
  <si>
    <t>Greedy Sort</t>
  </si>
  <si>
    <t>Greedy Sort: Sort people by (costA - costB); send the first n to city A and the rest to city B.</t>
  </si>
  <si>
    <t>https://leetcode.com/problems/two-city-scheduling/</t>
  </si>
  <si>
    <t>Stream of Characters</t>
  </si>
  <si>
    <t>Trie, Design, Array, DFS</t>
  </si>
  <si>
    <t>Suffix Trie on Stream</t>
  </si>
  <si>
    <t>Suffix Trie on Stream: Insert reverse of each word into trie. For each new char, check if suffix of stream matches any word.</t>
  </si>
  <si>
    <t>https://leetcode.com/problems/stream-of-characters/</t>
  </si>
  <si>
    <t>Robot Bounded In Circle</t>
  </si>
  <si>
    <t>https://leetcode.com/problems/robot-bounded-in-circle/</t>
  </si>
  <si>
    <t>Partition Array for Maximum Sum</t>
  </si>
  <si>
    <t>Partition DP</t>
  </si>
  <si>
    <t>Partition DP: dp[i] = max over k=1..K of dp[i-k] + (max of last k) * k.</t>
  </si>
  <si>
    <t>O(n*K)</t>
  </si>
  <si>
    <t>https://leetcode.com/problems/partition-array-for-maximum-sum/</t>
  </si>
  <si>
    <t>Last Stone Weight</t>
  </si>
  <si>
    <t>https://leetcode.com/problems/last-stone-weight/</t>
  </si>
  <si>
    <t>Remove All Adjacent Duplicates In String</t>
  </si>
  <si>
    <t>https://leetcode.com/problems/remove-all-adjacent-duplicates-in-string/</t>
  </si>
  <si>
    <t>Actors and Directors Who Cooperated At Least Three Times</t>
  </si>
  <si>
    <t>SQL Group Having</t>
  </si>
  <si>
    <t>SQL Group Having: GROUP BY actor_id, director_id HAVING COUNT(*) &gt;= 3.</t>
  </si>
  <si>
    <t>https://leetcode.com/problems/actors-and-directors-who-cooperated-at-least-three-times/</t>
  </si>
  <si>
    <t>Product Sales Analysis III</t>
  </si>
  <si>
    <t>SQL First Year</t>
  </si>
  <si>
    <t>SQL First Year: Keep rows whose (product_id, year) matches the product's earliest sale year (window MIN or subquery).</t>
  </si>
  <si>
    <t>https://leetcode.com/problems/product-sales-analysis-iii/</t>
  </si>
  <si>
    <t>Greatest Common Divisor of Strings</t>
  </si>
  <si>
    <t>https://leetcode.com/problems/greatest-common-divisor-of-strings/</t>
  </si>
  <si>
    <t>Brace Expansion</t>
  </si>
  <si>
    <t>https://leetcode.com/problems/brace-expansion/</t>
  </si>
  <si>
    <t>Shortest Path in Binary Matrix</t>
  </si>
  <si>
    <t>https://leetcode.com/problems/shortest-path-in-binary-matrix/</t>
  </si>
  <si>
    <t>Car Pooling</t>
  </si>
  <si>
    <t>Google, Microsoft</t>
  </si>
  <si>
    <t>https://leetcode.com/problems/car-pooling/</t>
  </si>
  <si>
    <t>The Earliest Moment When Everyone Become Friends</t>
  </si>
  <si>
    <t>Union-Find: Union connected items, compress paths for efficient lookups, and count/compare connected components.</t>
  </si>
  <si>
    <t>https://leetcode.com/problems/the-earliest-moment-when-everyone-become-friends/</t>
  </si>
  <si>
    <t>Delete Nodes And Return Forest</t>
  </si>
  <si>
    <t>DFS Forest</t>
  </si>
  <si>
    <t>DFS Forest: DFS the tree; when a node is deleted, its surviving children become new roots; return null upward for deleted nodes.</t>
  </si>
  <si>
    <t>https://leetcode.com/problems/delete-nodes-and-return-forest/</t>
  </si>
  <si>
    <t>Parallel Courses</t>
  </si>
  <si>
    <t>https://leetcode.com/problems/parallel-courses/</t>
  </si>
  <si>
    <t>Longest Common Subsequence</t>
  </si>
  <si>
    <t>2D DP - LCS</t>
  </si>
  <si>
    <t>Amazon, Apple, Blind75, Google, Meta, Microsoft, NeetCode150</t>
  </si>
  <si>
    <t>2D DP - LCS: Use dp[i][j] for longest common subsequence of prefixes; match adds one, otherwise take max neighbor.</t>
  </si>
  <si>
    <t>https://leetcode.com/problems/longest-common-subsequence/</t>
  </si>
  <si>
    <t>Snapshot Array</t>
  </si>
  <si>
    <t>Array, Design, Binary Search</t>
  </si>
  <si>
    <t>https://leetcode.com/problems/snapshot-array/</t>
  </si>
  <si>
    <t>Article Views I</t>
  </si>
  <si>
    <t>SQL Distinct Filter</t>
  </si>
  <si>
    <t>SQL Distinct Filter: SELECT DISTINCT author_id WHERE author_id = viewer_id ORDER BY author_id.</t>
  </si>
  <si>
    <t>https://leetcode.com/problems/article-views-i/</t>
  </si>
  <si>
    <t>Analyze User Website Visit Pattern</t>
  </si>
  <si>
    <t>Group + Combinations</t>
  </si>
  <si>
    <t>Group + Combinations: Group each user's pages by timestamp, enumerate all 3-sequences, count patterns, and pick the most frequent (ties by name).</t>
  </si>
  <si>
    <t>O(u * c^3)</t>
  </si>
  <si>
    <t>https://leetcode.com/problems/analyze-user-website-visit-pattern/</t>
  </si>
  <si>
    <t>Maximum Level Sum Of A Binary Tree</t>
  </si>
  <si>
    <t>Level Order Max Sum</t>
  </si>
  <si>
    <t>Level Order Max Sum: BFS level by level. Sum each level's values. Track level with max sum.</t>
  </si>
  <si>
    <t>https://leetcode.com/problems/maximum-level-sum-of-a-binary-tree/</t>
  </si>
  <si>
    <t>As Far from Land as Possible</t>
  </si>
  <si>
    <t>Multi-Source BFS</t>
  </si>
  <si>
    <t>Multi-Source BFS: BFS outward from every land cell at once; the last water cell reached gives the max distance.</t>
  </si>
  <si>
    <t>https://leetcode.com/problems/as-far-from-land-as-possible/</t>
  </si>
  <si>
    <t>Design File System</t>
  </si>
  <si>
    <t>Design, Trie</t>
  </si>
  <si>
    <t>Hashmap Paths</t>
  </si>
  <si>
    <t>Hashmap Paths: Store full path -&gt; value in a map; createPath succeeds only if the parent path exists.</t>
  </si>
  <si>
    <t>O(total paths)</t>
  </si>
  <si>
    <t>https://leetcode.com/problems/design-file-system/</t>
  </si>
  <si>
    <t>Optimize Water Distribution in a Village</t>
  </si>
  <si>
    <t>https://leetcode.com/problems/optimize-water-distribution-in-a-village/</t>
  </si>
  <si>
    <t>Remove Zero Sum Consecutive Nodes from Linked List</t>
  </si>
  <si>
    <t>https://leetcode.com/problems/remove-zero-sum-consecutive-nodes-from-linked-list/</t>
  </si>
  <si>
    <t>Immediate Food Delivery II</t>
  </si>
  <si>
    <t>SQL Immediate Delivery</t>
  </si>
  <si>
    <t>SQL Immediate Delivery: Count where order_date=customer_pref_delivery_date among first orders per customer. Divide by total first orders.</t>
  </si>
  <si>
    <t>https://leetcode.com/problems/immediate-food-delivery-ii/</t>
  </si>
  <si>
    <t>Critical Connections in a Network</t>
  </si>
  <si>
    <t>https://leetcode.com/problems/critical-connections-in-a-network/</t>
  </si>
  <si>
    <t>Monthly Transactions I</t>
  </si>
  <si>
    <t>SQL Group Aggregate</t>
  </si>
  <si>
    <t>SQL Group Aggregate: GROUP BY month and country; SUM transaction count/amount with CASE for approved rows.</t>
  </si>
  <si>
    <t>https://leetcode.com/problems/monthly-transactions-i/</t>
  </si>
  <si>
    <t>Minimum Knight Moves</t>
  </si>
  <si>
    <t>Apple, Grind169</t>
  </si>
  <si>
    <t>https://leetcode.com/problems/minimum-knight-moves/</t>
  </si>
  <si>
    <t>Unique Number of Occurrences</t>
  </si>
  <si>
    <t>https://leetcode.com/problems/unique-number-of-occurrences/</t>
  </si>
  <si>
    <t>Remove All Adjacent Duplicates in String II</t>
  </si>
  <si>
    <t>Stack of Counts</t>
  </si>
  <si>
    <t>Stack of Counts: Push (char, count); when the top count reaches k, pop it; rebuild the string at the end.</t>
  </si>
  <si>
    <t>https://leetcode.com/problems/remove-all-adjacent-duplicates-in-string-ii/</t>
  </si>
  <si>
    <t>Queries Quality and Percentage</t>
  </si>
  <si>
    <t>SQL Conditional Average</t>
  </si>
  <si>
    <t>SQL Conditional Average: GROUP BY query_name; AVG(rating/position) for quality and AVG(rating&lt;3)*100 for poor percentage.</t>
  </si>
  <si>
    <t>https://leetcode.com/problems/queries-quality-and-percentage/</t>
  </si>
  <si>
    <t>Intersection of Three Sorted Arrays</t>
  </si>
  <si>
    <t>https://leetcode.com/problems/intersection-of-three-sorted-arrays/</t>
  </si>
  <si>
    <t>Valid Palindrome III</t>
  </si>
  <si>
    <t>https://leetcode.com/problems/valid-palindrome-iii/</t>
  </si>
  <si>
    <t>Path with Maximum Gold</t>
  </si>
  <si>
    <t>DFS Backtracking: From each gold cell, DFS in four directions marking visited and restoring, maximizing the collected gold.</t>
  </si>
  <si>
    <t>O(4^k)</t>
  </si>
  <si>
    <t>https://leetcode.com/problems/path-with-maximum-gold/</t>
  </si>
  <si>
    <t>Split a String in Balanced Strings</t>
  </si>
  <si>
    <t>Greedy Balanced String</t>
  </si>
  <si>
    <t>Greedy Balanced String: Count R and L while scanning. Every time counts equal, increment result split count.</t>
  </si>
  <si>
    <t>https://leetcode.com/problems/split-a-string-in-balanced-strings/</t>
  </si>
  <si>
    <t>Missing Number In Arithmetic Progression</t>
  </si>
  <si>
    <t>Arithmetic Gap</t>
  </si>
  <si>
    <t>Arithmetic Gap: Common diff = (last-first)/n; scan or binary search for the index where the progression breaks.</t>
  </si>
  <si>
    <t>https://leetcode.com/problems/missing-number-in-arithmetic-progression/</t>
  </si>
  <si>
    <t>Meeting Scheduler</t>
  </si>
  <si>
    <t>https://leetcode.com/problems/meeting-scheduler/</t>
  </si>
  <si>
    <t>Maximum Profit in Job Scheduling</t>
  </si>
  <si>
    <t>Amazon, Grind169, Grind75, Microsoft, Uber</t>
  </si>
  <si>
    <t>https://leetcode.com/problems/maximum-profit-in-job-scheduling/</t>
  </si>
  <si>
    <t>Web Crawler</t>
  </si>
  <si>
    <t>Constrained BFS</t>
  </si>
  <si>
    <t>Constrained BFS: BFS/DFS from the start URL following links restricted to the same hostname, tracking visited URLs.</t>
  </si>
  <si>
    <t>https://leetcode.com/problems/web-crawler/</t>
  </si>
  <si>
    <t>Maximum Length of a Concatenated String with Unique Characters</t>
  </si>
  <si>
    <t>Array, String, Backtracking, Bit Manipulation</t>
  </si>
  <si>
    <t>Backtracking Bitmask</t>
  </si>
  <si>
    <t>Backtracking Bitmask: Track used characters as bitmask. Only add string if no character overlap. Maximize total length.</t>
  </si>
  <si>
    <t>https://leetcode.com/problems/maximum-length-of-a-concatenated-string-with-unique-characters/</t>
  </si>
  <si>
    <t>Web Crawler Multithreaded</t>
  </si>
  <si>
    <t>Multithreaded BFS</t>
  </si>
  <si>
    <t>Multithreaded BFS: Same as web crawler but with concurrent queue and thread pool. Use synchronized set for visited URLs.</t>
  </si>
  <si>
    <t>https://leetcode.com/problems/web-crawler-multithreaded/</t>
  </si>
  <si>
    <t>Count Number of Nice Subarrays</t>
  </si>
  <si>
    <t>Sliding Window / Prefix</t>
  </si>
  <si>
    <t>Sliding Window / Prefix: Count subarrays with exactly k odd numbers as atMost(k) - atMost(k-1) (or prefix counts of odd parity).</t>
  </si>
  <si>
    <t>https://leetcode.com/problems/count-number-of-nice-subarrays/</t>
  </si>
  <si>
    <t>Minimum Remove to Make Valid Parentheses</t>
  </si>
  <si>
    <t>https://leetcode.com/problems/minimum-remove-to-make-valid-parentheses/</t>
  </si>
  <si>
    <t>Average Selling Price</t>
  </si>
  <si>
    <t>SQL Weighted Average</t>
  </si>
  <si>
    <t>SQL Weighted Average: JOIN Units with Prices on product_id and date in range. ROUND(SUM(units*price)/SUM(units),2).</t>
  </si>
  <si>
    <t>https://leetcode.com/problems/average-selling-price/</t>
  </si>
  <si>
    <t>Greatest Sum Divisible by Three</t>
  </si>
  <si>
    <t>Remainder DP</t>
  </si>
  <si>
    <t>Remainder DP: Track the best achievable sum with remainder 0, 1, 2 mod 3 as you add each number.</t>
  </si>
  <si>
    <t>https://leetcode.com/problems/greatest-sum-divisible-by-three/</t>
  </si>
  <si>
    <t>Minimum Time Visiting All Points</t>
  </si>
  <si>
    <t>Array, Math, Geometry</t>
  </si>
  <si>
    <t>Manhattan Distance Sum</t>
  </si>
  <si>
    <t>Manhattan Distance Sum: For each consecutive point pair, add |x2-x1|+|y2-y1| to total.</t>
  </si>
  <si>
    <t>https://leetcode.com/problems/minimum-time-visiting-all-points/</t>
  </si>
  <si>
    <t>Search Suggestions System</t>
  </si>
  <si>
    <t>Trie, Binary Search</t>
  </si>
  <si>
    <t>https://leetcode.com/problems/search-suggestions-system/</t>
  </si>
  <si>
    <t>Find Winner on a Tic Tac Toe Game</t>
  </si>
  <si>
    <t>https://leetcode.com/problems/find-winner-on-a-tic-tac-toe-game/</t>
  </si>
  <si>
    <t>Count Square Submatrices with All Ones</t>
  </si>
  <si>
    <t>2D DP Count Squares</t>
  </si>
  <si>
    <t>2D DP Count Squares: dp[i][j]=min(dp[i-1][j], dp[i][j-1], dp[i-1][j-1])+1 if grid==1. Answer = sum of all dp values.</t>
  </si>
  <si>
    <t>https://leetcode.com/problems/count-square-submatrices-with-all-ones/</t>
  </si>
  <si>
    <t>Students and Examinations</t>
  </si>
  <si>
    <t>SQL Cross Join</t>
  </si>
  <si>
    <t>SQL Cross Join: CROSS JOIN students x subjects, LEFT JOIN exams, then COUNT exams per pair.</t>
  </si>
  <si>
    <t>O(s * subjects)</t>
  </si>
  <si>
    <t>https://leetcode.com/problems/students-and-examinations/</t>
  </si>
  <si>
    <t>Find the Smallest Divisor Given a Threshold</t>
  </si>
  <si>
    <t>Binary Search on Answer: Binary search the divisor; feasible when sum of ceil(num/divisor) &lt;= threshold.</t>
  </si>
  <si>
    <t>O(n log(max))</t>
  </si>
  <si>
    <t>https://leetcode.com/problems/find-the-smallest-divisor-given-a-threshold/</t>
  </si>
  <si>
    <t>Maximum Side Length of a Square with Sum Less than or Equal to Threshold</t>
  </si>
  <si>
    <t>2D Prefix + Search</t>
  </si>
  <si>
    <t>2D Prefix + Search: Build a 2D prefix sum and grow the square side while its sum stays &lt;= threshold.</t>
  </si>
  <si>
    <t>https://leetcode.com/problems/maximum-side-length-of-a-square-with-sum-less-than-or-equal-to-threshold/</t>
  </si>
  <si>
    <t>Shortest Path in a Grid with Obstacles Elimination</t>
  </si>
  <si>
    <t>State BFS</t>
  </si>
  <si>
    <t>State BFS: BFS over (row, col, eliminations remaining); a state is better only with more eliminations left.</t>
  </si>
  <si>
    <t>O(m*n*k)</t>
  </si>
  <si>
    <t>https://leetcode.com/problems/shortest-path-in-a-grid-with-obstacles-elimination/</t>
  </si>
  <si>
    <t>Find Numbers with Even Number of Digits</t>
  </si>
  <si>
    <t>Digit Count</t>
  </si>
  <si>
    <t>Digit Count: Count numbers whose digit count (or floor(log10)+1) is even.</t>
  </si>
  <si>
    <t>https://leetcode.com/problems/find-numbers-with-even-number-of-digits/</t>
  </si>
  <si>
    <t>Replace Elements with Greatest Element on Right Side</t>
  </si>
  <si>
    <t>Reverse Scan</t>
  </si>
  <si>
    <t>Reverse Scan: Walk right-to-left keeping the running max to the right and replace each element.</t>
  </si>
  <si>
    <t>https://leetcode.com/problems/replace-elements-with-greatest-element-on-right-side/</t>
  </si>
  <si>
    <t>Jump Game III</t>
  </si>
  <si>
    <t>Array, BFS, DFS</t>
  </si>
  <si>
    <t>Graph BFS</t>
  </si>
  <si>
    <t>Graph BFS: Treat indices as nodes with edges i-&gt;i+/-arr[i]; BFS from start to reach any zero value.</t>
  </si>
  <si>
    <t>https://leetcode.com/problems/jump-game-iii/</t>
  </si>
  <si>
    <t>Number of Operations to Make Network Connected</t>
  </si>
  <si>
    <t>Union-Find: Need at least n-1 cables; answer = number of connected components - 1 (else -1).</t>
  </si>
  <si>
    <t>O(E * alpha)</t>
  </si>
  <si>
    <t>https://leetcode.com/problems/number-of-operations-to-make-network-connected/</t>
  </si>
  <si>
    <t>Minimum Number of Taps to Open to Water a Garden</t>
  </si>
  <si>
    <t>https://leetcode.com/problems/minimum-number-of-taps-to-open-to-water-a-garden/</t>
  </si>
  <si>
    <t>Find the City With the Smallest Number of Neighbors at a Threshold Distance</t>
  </si>
  <si>
    <t>Graph, Dijkstra</t>
  </si>
  <si>
    <t>https://leetcode.com/problems/find-the-city-with-the-smallest-number-of-neighbors-at-a-threshold-distance/</t>
  </si>
  <si>
    <t>Maximum Product Of Splitted Binary Tree</t>
  </si>
  <si>
    <t>Tree DP Max Product</t>
  </si>
  <si>
    <t>Tree DP Max Product: Two-pass DFS. First pass gets total sum. Second: for each subtree, product=subtree*(total-subtree). Max.</t>
  </si>
  <si>
    <t>https://leetcode.com/problems/maximum-product-of-splitted-binary-tree/</t>
  </si>
  <si>
    <t>Number of Steps to Reduce a Number to Zero</t>
  </si>
  <si>
    <t>Bit Counting</t>
  </si>
  <si>
    <t>Bit Counting: Steps = bit length + popcount - 1 (each odd costs a subtract, each even a halve).</t>
  </si>
  <si>
    <t>https://leetcode.com/problems/number-of-steps-to-reduce-a-number-to-zero/</t>
  </si>
  <si>
    <t>Angle Between Hands of a Clock</t>
  </si>
  <si>
    <t>https://leetcode.com/problems/angle-between-hands-of-a-clock/</t>
  </si>
  <si>
    <t>Count Negative Numbers In A Sorted Matrix</t>
  </si>
  <si>
    <t>Binary Search per Row</t>
  </si>
  <si>
    <t>Binary Search per Row: For each row in sorted matrix, binary search for first negative. Count negatives = (n - firstNegIdx).</t>
  </si>
  <si>
    <t>https://leetcode.com/problems/count-negative-numbers-in-a-sorted-matrix/</t>
  </si>
  <si>
    <t>Product of the Last K Numbers</t>
  </si>
  <si>
    <t>https://leetcode.com/problems/product-of-the-last-k-numbers/</t>
  </si>
  <si>
    <t>Maximum Number of Events That Can Be Attended</t>
  </si>
  <si>
    <t>Greedy Min-Heap</t>
  </si>
  <si>
    <t>Greedy Min-Heap: Sort events by start; each day add newly available events to a min-heap by end day and attend the soonest-ending.</t>
  </si>
  <si>
    <t>https://leetcode.com/problems/maximum-number-of-events-that-can-be-attended/</t>
  </si>
  <si>
    <t>Sort Integers by The Number of 1 Bits</t>
  </si>
  <si>
    <t>Array, Bit Manipulation, Sorting</t>
  </si>
  <si>
    <t>Sort by Key</t>
  </si>
  <si>
    <t>Sort by Key: Sort with key (popcount(x), x).</t>
  </si>
  <si>
    <t>https://leetcode.com/problems/sort-integers-by-the-number-of-1-bits/</t>
  </si>
  <si>
    <t>How Many Numbers Are Smaller Than the Current Number</t>
  </si>
  <si>
    <t>Counting Sort</t>
  </si>
  <si>
    <t>Counting Sort: Count values over 0..100 and use a prefix sum to know how many are smaller than each.</t>
  </si>
  <si>
    <t>O(n+K)</t>
  </si>
  <si>
    <t>O(K)</t>
  </si>
  <si>
    <t>https://leetcode.com/problems/how-many-numbers-are-smaller-than-the-current-number/</t>
  </si>
  <si>
    <t>Maximum Sum BST in Binary Tree</t>
  </si>
  <si>
    <t>Post-order BST Check</t>
  </si>
  <si>
    <t>Post-order BST Check: Return (isBST, min, max, sum) per subtree; track the global max sum among valid BST subtrees.</t>
  </si>
  <si>
    <t>https://leetcode.com/problems/maximum-sum-bst-in-binary-tree/</t>
  </si>
  <si>
    <t>Time Needed to Inform All Employees</t>
  </si>
  <si>
    <t>Tree DFS/BFS: From the head, accumulate inform time down each path and take the maximum total.</t>
  </si>
  <si>
    <t>https://leetcode.com/problems/time-needed-to-inform-all-employees/</t>
  </si>
  <si>
    <t>Replace Employee ID With The Unique Identifier</t>
  </si>
  <si>
    <t>SQL LEFT JOIN Replace</t>
  </si>
  <si>
    <t>SQL LEFT JOIN Replace: LEFT JOIN Employees with EmployeeUNI on id. Return unique_id (NULL if no mapping exists).</t>
  </si>
  <si>
    <t>https://leetcode.com/problems/replace-employee-id-with-the-unique-identifier/</t>
  </si>
  <si>
    <t>Find a Corresponding Node of a Binary Tree in a Clone of That Tree</t>
  </si>
  <si>
    <t>DFS Simultaneous Traversal</t>
  </si>
  <si>
    <t>DFS Simultaneous Traversal: Traverse original and cloned trees simultaneously. Return cloned node when original matches target.</t>
  </si>
  <si>
    <t>https://leetcode.com/problems/find-a-corresponding-node-of-a-binary-tree-in-a-clone-of-that-tree/</t>
  </si>
  <si>
    <t>Design a Stack With Increment Operation</t>
  </si>
  <si>
    <t>Lazy Increment</t>
  </si>
  <si>
    <t>Lazy Increment: Array-backed stack plus an increment-marker array applied when an element is popped.</t>
  </si>
  <si>
    <t>https://leetcode.com/problems/design-a-stack-with-increment-operation/</t>
  </si>
  <si>
    <t>Balance a Binary Search Tree</t>
  </si>
  <si>
    <t>https://leetcode.com/problems/balance-a-binary-search-tree/</t>
  </si>
  <si>
    <t>Longest Happy Prefix</t>
  </si>
  <si>
    <t>KMP Failure Function</t>
  </si>
  <si>
    <t>KMP Failure Function: The longest happy prefix has length lps[n-1] from the KMP prefix-function.</t>
  </si>
  <si>
    <t>https://leetcode.com/problems/longest-happy-prefix/</t>
  </si>
  <si>
    <t>Construct K Palindrome Strings</t>
  </si>
  <si>
    <t>https://leetcode.com/problems/construct-k-palindrome-strings/</t>
  </si>
  <si>
    <t>Number of Steps to Reduce a Number in Binary Representation to One</t>
  </si>
  <si>
    <t>String, Bit Manipulation, Math</t>
  </si>
  <si>
    <t>Bit Simulation</t>
  </si>
  <si>
    <t>Bit Simulation: Process binary string right-to-left. If '1': add 1 (propagate carry). If '0' with carry: flip. Count steps.</t>
  </si>
  <si>
    <t>https://leetcode.com/problems/number-of-steps-to-reduce-a-number-in-binary-representation-to-one/</t>
  </si>
  <si>
    <t>Number Of Ways To Paint N X 3 Grid</t>
  </si>
  <si>
    <t>Profile DP</t>
  </si>
  <si>
    <t>Profile DP: State=(row, color profile). New row's profile must have no same color in same column as prev row.</t>
  </si>
  <si>
    <t>https://leetcode.com/problems/number-of-ways-to-paint-n-x-3-grid/</t>
  </si>
  <si>
    <t>Maximum Points You Can Obtain from Cards</t>
  </si>
  <si>
    <t>Sliding Window Complement</t>
  </si>
  <si>
    <t>Sliding Window Complement: Minimize a contiguous window of size n-k (the unchosen middle); answer = total - min window.</t>
  </si>
  <si>
    <t>https://leetcode.com/problems/maximum-points-you-can-obtain-from-cards/</t>
  </si>
  <si>
    <t>Diagonal Traverse II</t>
  </si>
  <si>
    <t>https://leetcode.com/problems/diagonal-traverse-ii/</t>
  </si>
  <si>
    <t>First Unique Number</t>
  </si>
  <si>
    <t>Queue, Hashing</t>
  </si>
  <si>
    <t>Queue + Counts</t>
  </si>
  <si>
    <t>Queue + Counts: Maintain insertion-order queue and a count map; on query, pop non-unique values from the front lazily.</t>
  </si>
  <si>
    <t>https://leetcode.com/problems/first-unique-number/</t>
  </si>
  <si>
    <t>Longest Continuous Subarray With Absolute Diff Less Than or Equal to Limit</t>
  </si>
  <si>
    <t>https://leetcode.com/problems/longest-continuous-subarray-with-absolute-diff-less-than-or-equal-to-limit/</t>
  </si>
  <si>
    <t>Count Good Nodes in Binary Tree</t>
  </si>
  <si>
    <t>https://leetcode.com/problems/count-good-nodes-in-binary-tree/</t>
  </si>
  <si>
    <t>Maximum Number Of Vowels In A Substring Of Given Length</t>
  </si>
  <si>
    <t>Fixed Sliding Window Vowels</t>
  </si>
  <si>
    <t>Fixed Sliding Window Vowels: Window of size k. Count vowels. Slide: subtract left, add right. Track max count.</t>
  </si>
  <si>
    <t>https://leetcode.com/problems/maximum-number-of-vowels-in-a-substring-of-given-length/</t>
  </si>
  <si>
    <t>Max Dot Product Of Two Subsequences</t>
  </si>
  <si>
    <t>2D DP Max Dot Product</t>
  </si>
  <si>
    <t>2D DP Max Dot Product: dp[i][j]=max dot product. If nums1[i]*nums2[j]&gt;0, can extend dp[i-1][j-1]. Handle all-negative.</t>
  </si>
  <si>
    <t>https://leetcode.com/problems/max-dot-product-of-two-subsequences/</t>
  </si>
  <si>
    <t>Check If a String Contains All Binary Codes of Size K</t>
  </si>
  <si>
    <t>Set of Substrings</t>
  </si>
  <si>
    <t>Set of Substrings: Collect every length-k substring in a set; the string is complete when the set size reaches 2^k.</t>
  </si>
  <si>
    <t>https://leetcode.com/problems/check-if-a-string-contains-all-binary-codes-of-size-k/</t>
  </si>
  <si>
    <t>Course Schedule IV</t>
  </si>
  <si>
    <t>https://leetcode.com/problems/course-schedule-iv/</t>
  </si>
  <si>
    <t>Shuffle the Array</t>
  </si>
  <si>
    <t>Interleave</t>
  </si>
  <si>
    <t>Interleave: Output nums[i] then nums[i+n] for each i (or use index-encoding for O(1) extra space).</t>
  </si>
  <si>
    <t>https://leetcode.com/problems/shuffle-the-array/</t>
  </si>
  <si>
    <t>Design Browser History</t>
  </si>
  <si>
    <t>https://leetcode.com/problems/design-browser-history/</t>
  </si>
  <si>
    <t>Final Prices With a Special Discount in a Shop</t>
  </si>
  <si>
    <t>Monotonic Stack: Use a stack to find the next price &lt;= current and subtract it as the discount.</t>
  </si>
  <si>
    <t>https://leetcode.com/problems/final-prices-with-a-special-discount-in-a-shop/</t>
  </si>
  <si>
    <t>Running Sum of 1d Array</t>
  </si>
  <si>
    <t>https://leetcode.com/problems/running-sum-of-1d-array/</t>
  </si>
  <si>
    <t>Minimum Number of Days to Make m Bouquets</t>
  </si>
  <si>
    <t>Binary Search Days</t>
  </si>
  <si>
    <t>Binary Search Days: lo=1, hi=max(bloomDay). isValid(d): greedily count bouquets from bloomed flowers. Check &gt;= m.</t>
  </si>
  <si>
    <t>https://leetcode.com/problems/minimum-number-of-days-to-make-m-bouquets/</t>
  </si>
  <si>
    <t>Can Make Arithmetic Progression From Sequence</t>
  </si>
  <si>
    <t>Array, Sorting, Math</t>
  </si>
  <si>
    <t>Sort + Check Diff</t>
  </si>
  <si>
    <t>Sort + Check Diff: Sort array. Verify all consecutive differences are equal.</t>
  </si>
  <si>
    <t>https://leetcode.com/problems/can-make-arithmetic-progression-from-sequence/</t>
  </si>
  <si>
    <t>Number of Good Pairs</t>
  </si>
  <si>
    <t>Frequency Counting</t>
  </si>
  <si>
    <t>Frequency Counting: For each value with count c, add c*(c-1)/2 good pairs.</t>
  </si>
  <si>
    <t>https://leetcode.com/problems/number-of-good-pairs/</t>
  </si>
  <si>
    <t>Number of Nodes in the Sub-Tree With the Same Label</t>
  </si>
  <si>
    <t>https://leetcode.com/problems/number-of-nodes-in-the-sub-tree-with-the-same-label/</t>
  </si>
  <si>
    <t>Minimum Swaps to Arrange a Binary Grid</t>
  </si>
  <si>
    <t>Greedy Bubble</t>
  </si>
  <si>
    <t>Greedy Bubble: Count trailing zeros per row; for each required row, bubble up the nearest row with enough trailing zeros, counting swaps.</t>
  </si>
  <si>
    <t>https://leetcode.com/problems/minimum-swaps-to-arrange-a-binary-grid/</t>
  </si>
  <si>
    <t>Kth Missing Positive Number</t>
  </si>
  <si>
    <t>https://leetcode.com/problems/kth-missing-positive-number/</t>
  </si>
  <si>
    <t>Find Kth Bit In Nth Binary String</t>
  </si>
  <si>
    <t>Array, Recursion</t>
  </si>
  <si>
    <t>Recursion Half Structure</t>
  </si>
  <si>
    <t>Recursion Half Structure: String of length 2^n-1. Middle is '1'. Left = f(n-1). Right = invert(reverse(f(n-1))).</t>
  </si>
  <si>
    <t>https://leetcode.com/problems/find-kth-bit-in-nth-binary-string/</t>
  </si>
  <si>
    <t>Minimum Cost to Cut a Stick</t>
  </si>
  <si>
    <t>Interval DP</t>
  </si>
  <si>
    <t>Interval DP: Add 0 and L as boundaries to the sorted cuts; dp[i][j] = min cost to cut the segment between i and j.</t>
  </si>
  <si>
    <t>O(m^3)</t>
  </si>
  <si>
    <t>O(m^2)</t>
  </si>
  <si>
    <t>https://leetcode.com/problems/minimum-cost-to-cut-a-stick/</t>
  </si>
  <si>
    <t>Magnetic Force Between Two Balls</t>
  </si>
  <si>
    <t>https://leetcode.com/problems/magnetic-force-between-two-balls/</t>
  </si>
  <si>
    <t>Detect Cycles in 2D Grid</t>
  </si>
  <si>
    <t>DFS/Union-Find</t>
  </si>
  <si>
    <t>DFS/Union-Find: Detect a cycle when DFS revisits a same-valued cell that is not the immediate parent.</t>
  </si>
  <si>
    <t>https://leetcode.com/problems/detect-cycles-in-2d-grid/</t>
  </si>
  <si>
    <t>Put Boxes Into the Warehouse I</t>
  </si>
  <si>
    <t>Prefix-Min + Two Pointers</t>
  </si>
  <si>
    <t>Prefix-Min + Two Pointers: Take prefix-min of warehouse heights, sort boxes descending, and greedily place from the open end.</t>
  </si>
  <si>
    <t>https://leetcode.com/problems/put-boxes-into-the-warehouse-i/</t>
  </si>
  <si>
    <t>Dot Product of Two Sparse Vectors</t>
  </si>
  <si>
    <t>https://leetcode.com/problems/dot-product-of-two-sparse-vectors/</t>
  </si>
  <si>
    <t>Matrix Diagonal Sum</t>
  </si>
  <si>
    <t>Diagonal Sum</t>
  </si>
  <si>
    <t>Diagonal Sum: Sum matrix[i][i] and matrix[i][n-1-i] for all i. Subtract matrix[n/2][n/2] if n is odd (double-counted).</t>
  </si>
  <si>
    <t>https://leetcode.com/problems/matrix-diagonal-sum/</t>
  </si>
  <si>
    <t>Shortest Subarray to be Removed to Make Array Sorted</t>
  </si>
  <si>
    <t>Two Pointers: Keep the non-decreasing prefix and suffix, then two-pointer merge them to minimize the removed middle.</t>
  </si>
  <si>
    <t>https://leetcode.com/problems/shortest-subarray-to-be-removed-to-make-array-sorted/</t>
  </si>
  <si>
    <t>Remove Max Number of Edges to Keep Graph Fully Traversable</t>
  </si>
  <si>
    <t>https://leetcode.com/problems/remove-max-number-of-edges-to-keep-graph-fully-traversable/</t>
  </si>
  <si>
    <t>Customer Who Visited but Did Not Make Any Transactions</t>
  </si>
  <si>
    <t>SQL Anti-Join</t>
  </si>
  <si>
    <t>SQL Anti-Join: LEFT JOIN transactions and keep rows where transaction_id IS NULL, grouped by customer.</t>
  </si>
  <si>
    <t>https://leetcode.com/problems/customer-who-visited-but-did-not-make-any-transactions/</t>
  </si>
  <si>
    <t>Min Cost to Connect All Points</t>
  </si>
  <si>
    <t>Graph, MST</t>
  </si>
  <si>
    <t>Amazon, Google, NeetCode150, Uber</t>
  </si>
  <si>
    <t>https://leetcode.com/problems/min-cost-to-connect-all-points/</t>
  </si>
  <si>
    <t>Maximum Non Negative Product in a Matrix</t>
  </si>
  <si>
    <t>Sign-Tracking DP</t>
  </si>
  <si>
    <t>Sign-Tracking DP: Track both the max and min product reaching each cell (a negative can flip min to max).</t>
  </si>
  <si>
    <t>https://leetcode.com/problems/maximum-non-negative-product-in-a-matrix/</t>
  </si>
  <si>
    <t>Design Parking System</t>
  </si>
  <si>
    <t>Design</t>
  </si>
  <si>
    <t>Counters</t>
  </si>
  <si>
    <t>Counters: Keep a remaining-slot counter per car size and decrement on addCar.</t>
  </si>
  <si>
    <t>https://leetcode.com/problems/design-parking-system/</t>
  </si>
  <si>
    <t>Find Servers That Handled Most Number of Requests</t>
  </si>
  <si>
    <t>Array, Heap, Sorted Set</t>
  </si>
  <si>
    <t>Greedy Server Assignment</t>
  </si>
  <si>
    <t>Greedy Server Assignment: Available sorted set by index. Busy min-heap by finish time. Each request: free expired, assign smallest index available.</t>
  </si>
  <si>
    <t>https://leetcode.com/problems/find-servers-that-handled-most-number-of-requests/</t>
  </si>
  <si>
    <t>Maximum Nesting Depth of the Parentheses</t>
  </si>
  <si>
    <t>Stack Depth Counter</t>
  </si>
  <si>
    <t>Stack Depth Counter: Track depth with counter. '(': increment. ')': decrement. Track max depth seen.</t>
  </si>
  <si>
    <t>https://leetcode.com/problems/maximum-nesting-depth-of-the-parentheses/</t>
  </si>
  <si>
    <t>Fancy Sequence</t>
  </si>
  <si>
    <t>Lazy Affine</t>
  </si>
  <si>
    <t>Lazy Affine: Track global multiply and add factors; append stores the value pre-adjusted using modular inverse so future ops apply correctly.</t>
  </si>
  <si>
    <t>O(log mod) per op</t>
  </si>
  <si>
    <t>https://leetcode.com/problems/fancy-sequence/</t>
  </si>
  <si>
    <t>Path With Minimum Effort</t>
  </si>
  <si>
    <t>Array, Matrix, Binary Search, Union-Find, BFS</t>
  </si>
  <si>
    <t>Dijkstra Min Effort</t>
  </si>
  <si>
    <t>Dijkstra Min Effort: Weight of edge (i,j)→(r,c) = |height[i][j]-height[r][c]|. Dijkstra for path minimizing max edge weight.</t>
  </si>
  <si>
    <t>https://leetcode.com/problems/path-with-minimum-effort/</t>
  </si>
  <si>
    <t>Sort Array by Increasing Frequency</t>
  </si>
  <si>
    <t>Array, Sorting, Hashing</t>
  </si>
  <si>
    <t>Sort by Composite Key</t>
  </si>
  <si>
    <t>Sort by Composite Key: Count frequencies, then sort by (frequency ascending, value descending).</t>
  </si>
  <si>
    <t>https://leetcode.com/problems/sort-array-by-increasing-frequency/</t>
  </si>
  <si>
    <t>Furthest Building You Can Reach</t>
  </si>
  <si>
    <t>https://leetcode.com/problems/furthest-building-you-can-reach/</t>
  </si>
  <si>
    <t>Sell Diminishing-Valued Colored Balls</t>
  </si>
  <si>
    <t>Greedy Tiers</t>
  </si>
  <si>
    <t>Greedy Tiers: Sort colors descending and sell in price tiers down to the next count level using arithmetic-series sums (or binary search the price).</t>
  </si>
  <si>
    <t>https://leetcode.com/problems/sell-diminishing-valued-colored-balls/</t>
  </si>
  <si>
    <t>Lowest Common Ancestor of a Binary Tree III</t>
  </si>
  <si>
    <t>Tree, Two Pointers</t>
  </si>
  <si>
    <t>https://leetcode.com/problems/lowest-common-ancestor-of-a-binary-tree-iii/</t>
  </si>
  <si>
    <t>Minimum Deletions to Make String Balanced</t>
  </si>
  <si>
    <t>DP Greedy Balance</t>
  </si>
  <si>
    <t>DP Greedy Balance: Count b's before each 'a'. dp: at each 'a', decide delete 'a' (cost 1) or all previous b's (cost b_count). Min total.</t>
  </si>
  <si>
    <t>https://leetcode.com/problems/minimum-deletions-to-make-string-balanced/</t>
  </si>
  <si>
    <t>Determine if Two Strings Are Close</t>
  </si>
  <si>
    <t>https://leetcode.com/problems/determine-if-two-strings-are-close/</t>
  </si>
  <si>
    <t>Minimum Operations to Reduce X to Zero</t>
  </si>
  <si>
    <t>Sliding Window Complement: Find the longest middle subarray summing to total - x; answer = n - that length.</t>
  </si>
  <si>
    <t>https://leetcode.com/problems/minimum-operations-to-reduce-x-to-zero/</t>
  </si>
  <si>
    <t>Average Time of Process per Machine</t>
  </si>
  <si>
    <t>SQL Average Time</t>
  </si>
  <si>
    <t>SQL Average Time: Self-join Activity on (machine_id, process_id). Avg(end.timestamp - start.timestamp) grouped by machine_id.</t>
  </si>
  <si>
    <t>https://leetcode.com/problems/average-time-of-process-per-machine/</t>
  </si>
  <si>
    <t>Ways to Make a Fair Array</t>
  </si>
  <si>
    <t>Array, DP, Prefix Sum</t>
  </si>
  <si>
    <t>Prefix Balance</t>
  </si>
  <si>
    <t>Prefix Balance: Running balance of (1s - 0s). When balance hits 0, record split. Count valid even-split positions.</t>
  </si>
  <si>
    <t>https://leetcode.com/problems/ways-to-make-a-fair-array/</t>
  </si>
  <si>
    <t>Minimum Initial Energy to Finish Tasks</t>
  </si>
  <si>
    <t>Greedy Sort: Sort tasks by (minimum - actual) descending and accumulate the required starting energy.</t>
  </si>
  <si>
    <t>https://leetcode.com/problems/minimum-initial-energy-to-finish-tasks/</t>
  </si>
  <si>
    <t>Fix Names in a Table</t>
  </si>
  <si>
    <t>SQL String Format</t>
  </si>
  <si>
    <t>SQL String Format: CONCAT(UPPER(left 1), LOWER(rest)) of the name, ORDER BY user_id.</t>
  </si>
  <si>
    <t>https://leetcode.com/problems/fix-names-in-a-table/</t>
  </si>
  <si>
    <t>Minimum Moves To Make Array Complementary</t>
  </si>
  <si>
    <t>Difference Array DP</t>
  </si>
  <si>
    <t>Difference Array DP: dp[i]=min moves to make array complementary at i. Difference array for O(n) range updates. Prefix sum.</t>
  </si>
  <si>
    <t>https://leetcode.com/problems/minimum-moves-to-make-array-complementary/</t>
  </si>
  <si>
    <t>Max Number of K-Sum Pairs</t>
  </si>
  <si>
    <t>Array, Hashing, Two Pointers, Sorting</t>
  </si>
  <si>
    <t>HashMap Complement</t>
  </si>
  <si>
    <t>HashMap Complement: Count values; for each, pair it with k-value (or sort and use two pointers), counting operations.</t>
  </si>
  <si>
    <t>https://leetcode.com/problems/max-number-of-k-sum-pairs/</t>
  </si>
  <si>
    <t>Concatenation of Consecutive Binary Numbers</t>
  </si>
  <si>
    <t>Modular Shift</t>
  </si>
  <si>
    <t>Modular Shift: result = (result &lt;&lt; bit_length(i)) | i, taken mod 1e9+7 for i = 1..n.</t>
  </si>
  <si>
    <t>https://leetcode.com/problems/concatenation-of-consecutive-binary-numbers/</t>
  </si>
  <si>
    <t>Sum of Absolute Differences in a Sorted Array</t>
  </si>
  <si>
    <t>Array, Math, Prefix Sum</t>
  </si>
  <si>
    <t>Prefix Sums</t>
  </si>
  <si>
    <t>Prefix Sums: For sorted nums, result[i] = i*x - prefix[i] + (suffixSum - (n-i)*x).</t>
  </si>
  <si>
    <t>https://leetcode.com/problems/sum-of-absolute-differences-in-a-sorted-array/</t>
  </si>
  <si>
    <t>Partitioning Into Minimum Number Of Deci-Binary Numbers</t>
  </si>
  <si>
    <t>Max Digit</t>
  </si>
  <si>
    <t>Max Digit: The answer is simply the maximum digit in the string.</t>
  </si>
  <si>
    <t>https://leetcode.com/problems/partitioning-into-minimum-number-of-deci-binary-numbers/</t>
  </si>
  <si>
    <t>Maximum Height by Stacking Cuboids</t>
  </si>
  <si>
    <t>Sort + LIS DP</t>
  </si>
  <si>
    <t>Sort + LIS DP: Sort each cuboid's dimensions, sort cuboids, then LIS-style DP where one stacks on another if all dims fit.</t>
  </si>
  <si>
    <t>https://leetcode.com/problems/maximum-height-by-stacking-cuboids/</t>
  </si>
  <si>
    <t>Daily Leads and Partners</t>
  </si>
  <si>
    <t>SQL Distinct Counts</t>
  </si>
  <si>
    <t>SQL Distinct Counts: GROUP BY date_id, make_name; COUNT(DISTINCT lead_id) and COUNT(DISTINCT partner_id).</t>
  </si>
  <si>
    <t>https://leetcode.com/problems/daily-leads-and-partners/</t>
  </si>
  <si>
    <t>Number of Students Unable to Eat Lunch</t>
  </si>
  <si>
    <t>Queue Simulation</t>
  </si>
  <si>
    <t>Queue Simulation: Track counts of students preferring 0 and 1; pop sandwiches in order, stopping when none want the top one.</t>
  </si>
  <si>
    <t>https://leetcode.com/problems/number-of-students-unable-to-eat-lunch/</t>
  </si>
  <si>
    <t>Swapping Nodes in a Linked List</t>
  </si>
  <si>
    <t>Two Pointers: Locate the kth-from-start and kth-from-end nodes with a gap pointer, then swap their values.</t>
  </si>
  <si>
    <t>https://leetcode.com/problems/swapping-nodes-in-a-linked-list/</t>
  </si>
  <si>
    <t>Largest Submatrix With Rearrangements</t>
  </si>
  <si>
    <t>Array, Matrix, Greedy</t>
  </si>
  <si>
    <t>Sorted Heights</t>
  </si>
  <si>
    <t>Sorted Heights: Build column heights treating zeros as breaks; sort each row's heights descending; max area = height * width.</t>
  </si>
  <si>
    <t>O(m * n log n)</t>
  </si>
  <si>
    <t>https://leetcode.com/problems/largest-submatrix-with-rearrangements/</t>
  </si>
  <si>
    <t>Find Followers Count</t>
  </si>
  <si>
    <t>SQL Group Count</t>
  </si>
  <si>
    <t>SQL Group Count: GROUP BY user_id with COUNT(DISTINCT follower_id), ORDER BY user_id.</t>
  </si>
  <si>
    <t>https://leetcode.com/problems/find-followers-count/</t>
  </si>
  <si>
    <t>Shortest Path to Get Food</t>
  </si>
  <si>
    <t>BFS from Start</t>
  </si>
  <si>
    <t>BFS from Start: Multi-source or single-source BFS from start position. Track visited cells. Return steps when food reached.</t>
  </si>
  <si>
    <t>https://leetcode.com/problems/shortest-path-to-get-food/</t>
  </si>
  <si>
    <t>Maximum Absolute Sum of Any Subarray</t>
  </si>
  <si>
    <t>Prefix Min/Max</t>
  </si>
  <si>
    <t>Prefix Min/Max: Max |subarray sum| = max of (max subarray sum using Kadane) and (|min subarray sum|). Track prefix min/max.</t>
  </si>
  <si>
    <t>https://leetcode.com/problems/maximum-absolute-sum-of-any-subarray/</t>
  </si>
  <si>
    <t>Check if Array Is Sorted and Rotated</t>
  </si>
  <si>
    <t>Cyclic Drop Count</t>
  </si>
  <si>
    <t>Cyclic Drop Count: Count positions where a[i] &gt; a[(i+1)%n]; sorted-and-rotated allows at most one such drop.</t>
  </si>
  <si>
    <t>https://leetcode.com/problems/check-if-array-is-sorted-and-rotated/</t>
  </si>
  <si>
    <t>Recyclable and Low Fat Products</t>
  </si>
  <si>
    <t>SQL WHERE Filter</t>
  </si>
  <si>
    <t>SQL WHERE Filter: SELECT product_id FROM Products WHERE low_fats='Y' AND recyclable='Y'.</t>
  </si>
  <si>
    <t>https://leetcode.com/problems/recyclable-and-low-fat-products/</t>
  </si>
  <si>
    <t>Minimum Changes To Make Alternating Binary String</t>
  </si>
  <si>
    <t>Min Flips Alternating</t>
  </si>
  <si>
    <t>Min Flips Alternating: Try both alternating patterns ('010101...' and '101010...'). Count mismatches for each. Return minimum.</t>
  </si>
  <si>
    <t>https://leetcode.com/problems/minimum-changes-to-make-alternating-binary-string/</t>
  </si>
  <si>
    <t>Buildings With an Ocean View</t>
  </si>
  <si>
    <t>https://leetcode.com/problems/buildings-with-an-ocean-view/</t>
  </si>
  <si>
    <t>Merge Strings Alternately</t>
  </si>
  <si>
    <t>https://leetcode.com/problems/merge-strings-alternately/</t>
  </si>
  <si>
    <t>Car Fleet II</t>
  </si>
  <si>
    <t>Monotonic Stack: Process cars right-to-left, popping those that are faster (never caught) to compute each collision time.</t>
  </si>
  <si>
    <t>https://leetcode.com/problems/car-fleet-ii/</t>
  </si>
  <si>
    <t>Sum of Beauty of All Substrings</t>
  </si>
  <si>
    <t>String, Hashing, Counting</t>
  </si>
  <si>
    <t>Sliding Window Sum of Beauty</t>
  </si>
  <si>
    <t>Sliding Window Sum of Beauty: For each center, count distinct chars in expanding window. Sum = contribution from each expansion step.</t>
  </si>
  <si>
    <t>https://leetcode.com/problems/sum-of-beauty-of-all-substrings/</t>
  </si>
  <si>
    <t>Check if Binary String Has at Most One Segment of Ones</t>
  </si>
  <si>
    <t>Substring Check</t>
  </si>
  <si>
    <t>Substring Check: Return false if '01' appears after a '1' segment, i.e. if the substring '01' exists.</t>
  </si>
  <si>
    <t>https://leetcode.com/problems/check-if-binary-string-has-at-most-one-segment-of-ones/</t>
  </si>
  <si>
    <t>Find Center of Star Graph</t>
  </si>
  <si>
    <t>Graph</t>
  </si>
  <si>
    <t>Edge Intersection</t>
  </si>
  <si>
    <t>Edge Intersection: The center is the node shared by the first two edges.</t>
  </si>
  <si>
    <t>https://leetcode.com/problems/find-center-of-star-graph/</t>
  </si>
  <si>
    <t>Sign of the Product of an Array</t>
  </si>
  <si>
    <t>Sign Count</t>
  </si>
  <si>
    <t>Sign Count: Return 0 if any element is 0; otherwise -1 if the count of negatives is odd, else 1.</t>
  </si>
  <si>
    <t>https://leetcode.com/problems/sign-of-the-product-of-an-array/</t>
  </si>
  <si>
    <t>Frequency of the Most Frequent Element</t>
  </si>
  <si>
    <t>https://leetcode.com/problems/frequency-of-the-most-frequent-element/</t>
  </si>
  <si>
    <t>Minimum Distance to the Target Element</t>
  </si>
  <si>
    <t>Linear Scan</t>
  </si>
  <si>
    <t>Linear Scan: Track the minimum |i - start| over indices where nums[i] == target.</t>
  </si>
  <si>
    <t>https://leetcode.com/problems/minimum-distance-to-the-target-element/</t>
  </si>
  <si>
    <t>Minimum Interval to Include Each Query</t>
  </si>
  <si>
    <t>Offline Queries + Heap</t>
  </si>
  <si>
    <t>Offline Queries + Heap: Sort queries. For each query, add all intervals with start&lt;=query to min-heap by end. Pop expired. Answer = heap.top().end - query + 1.</t>
  </si>
  <si>
    <t>O((n + q) log(n + q))</t>
  </si>
  <si>
    <t>https://leetcode.com/problems/minimum-interval-to-include-each-query/</t>
  </si>
  <si>
    <t>Maximum Population Year</t>
  </si>
  <si>
    <t>Difference Array Population</t>
  </si>
  <si>
    <t>Difference Array Population: For each person, +1 at birth year, -1 at death year+1. Prefix sum to find max year.</t>
  </si>
  <si>
    <t>https://leetcode.com/problems/maximum-population-year/</t>
  </si>
  <si>
    <t>Maximum Subarray Min-Product</t>
  </si>
  <si>
    <t>Monotonic Stack + Prefix</t>
  </si>
  <si>
    <t>Monotonic Stack + Prefix: For each element as the minimum, find its span with a monotonic stack and use prefix sums for the window sum.</t>
  </si>
  <si>
    <t>https://leetcode.com/problems/maximum-subarray-min-product/</t>
  </si>
  <si>
    <t>Rotating The Box</t>
  </si>
  <si>
    <t>Matrix Row Rotation</t>
  </si>
  <si>
    <t>Matrix Row Rotation: For each row in box, use two-pointer approach to push stones right, respecting walls and empty spaces.</t>
  </si>
  <si>
    <t>https://leetcode.com/problems/rotating-the-box/</t>
  </si>
  <si>
    <t>Sum of All Subset XOR Totals</t>
  </si>
  <si>
    <t>Bit Contribution</t>
  </si>
  <si>
    <t>Bit Contribution: Every bit set in any element appears in half of all subsets; answer = OR(all) * 2^(n-1).</t>
  </si>
  <si>
    <t>https://leetcode.com/problems/sum-of-all-subset-xor-totals/</t>
  </si>
  <si>
    <t>Product of Two Run-Length Encoded Arrays</t>
  </si>
  <si>
    <t>https://leetcode.com/problems/product-of-two-run-length-encoded-arrays/</t>
  </si>
  <si>
    <t>Minimum Speed to Arrive on Time</t>
  </si>
  <si>
    <t>https://leetcode.com/problems/minimum-speed-to-arrive-on-time/</t>
  </si>
  <si>
    <t>Determine Whether Matrix Can Be Obtained By Rotation</t>
  </si>
  <si>
    <t>Try Rotations</t>
  </si>
  <si>
    <t>Try Rotations: Compare the matrix to mat rotated 0/90/180/270 degrees.</t>
  </si>
  <si>
    <t>https://leetcode.com/problems/determine-whether-matrix-can-be-obtained-by-rotation/</t>
  </si>
  <si>
    <t>Minimum Number Of Flips To Make The Binary String Alternating</t>
  </si>
  <si>
    <t>Min Flips to Alternating</t>
  </si>
  <si>
    <t>Min Flips to Alternating: Count mismatches vs both possible alternating strings. Return min of the two counts.</t>
  </si>
  <si>
    <t>https://leetcode.com/problems/minimum-number-of-flips-to-make-the-binary-string-alternating/</t>
  </si>
  <si>
    <t>Largest Magic Square</t>
  </si>
  <si>
    <t>Prefix Sums: Precompute row, column, and diagonal prefix sums; check squares from largest size down for the magic property.</t>
  </si>
  <si>
    <t>https://leetcode.com/problems/largest-magic-square/</t>
  </si>
  <si>
    <t>Merge Triplets to Form Target Triplet</t>
  </si>
  <si>
    <t>Three Triplet Merge</t>
  </si>
  <si>
    <t>Three Triplet Merge: Filter to only triplets where each component &lt;= target component. Check if max of each component == target.</t>
  </si>
  <si>
    <t>https://leetcode.com/problems/merge-triplets-to-form-target-triplet/</t>
  </si>
  <si>
    <t>Find a Peak Element II</t>
  </si>
  <si>
    <t>Binary Search Columns</t>
  </si>
  <si>
    <t>Binary Search Columns: Binary search on the middle column, find its global max, and move toward the larger horizontal neighbor.</t>
  </si>
  <si>
    <t>O(m log n)</t>
  </si>
  <si>
    <t>https://leetcode.com/problems/find-a-peak-element-ii/</t>
  </si>
  <si>
    <t>Largest Odd Number in String</t>
  </si>
  <si>
    <t>Rightmost Odd Digit</t>
  </si>
  <si>
    <t>Rightmost Odd Digit: Return the prefix up to and including the last odd digit (empty if none).</t>
  </si>
  <si>
    <t>https://leetcode.com/problems/largest-odd-number-in-string/</t>
  </si>
  <si>
    <t>Count Salary Categories</t>
  </si>
  <si>
    <t>SQL Union Counts</t>
  </si>
  <si>
    <t>SQL Union Counts: UNION three counts using salary thresholds (&lt;20000, 20000-50000, &gt;50000), defaulting to 0.</t>
  </si>
  <si>
    <t>https://leetcode.com/problems/count-salary-categories/</t>
  </si>
  <si>
    <t>Cyclically Rotating A Grid</t>
  </si>
  <si>
    <t>Array, Matrix, Simulation</t>
  </si>
  <si>
    <t>Ring Rotation</t>
  </si>
  <si>
    <t>Ring Rotation: For each ring of the grid, flatten ring to 1D array. Rotate by k positions. Put back.</t>
  </si>
  <si>
    <t>https://leetcode.com/problems/cyclically-rotating-a-grid/</t>
  </si>
  <si>
    <t>Build Array from Permutation</t>
  </si>
  <si>
    <t>Index Mapping</t>
  </si>
  <si>
    <t>Index Mapping: ans[i] = nums[nums[i]] (or encode both old and new value in one slot for O(1) space).</t>
  </si>
  <si>
    <t>https://leetcode.com/problems/build-array-from-permutation/</t>
  </si>
  <si>
    <t>Count Good Numbers</t>
  </si>
  <si>
    <t>Modular Exponentiation</t>
  </si>
  <si>
    <t>Modular Exponentiation: even_count = 4^(n/2) mod 1e9+7. odd_count = 5^((n+1)/2) mod 1e9+7. Answer = even_count * odd_count mod 1e9+7.</t>
  </si>
  <si>
    <t>https://leetcode.com/problems/count-good-numbers/</t>
  </si>
  <si>
    <t>Concatenation of Array</t>
  </si>
  <si>
    <t>https://leetcode.com/problems/concatenation-of-array/</t>
  </si>
  <si>
    <t>Confirmation Rate</t>
  </si>
  <si>
    <t>SQL Left Join Average</t>
  </si>
  <si>
    <t>SQL Left Join Average: LEFT JOIN Signups to Confirmations; confirmation rate = AVG(action = 'confirmed') per user.</t>
  </si>
  <si>
    <t>https://leetcode.com/problems/confirmation-rate/</t>
  </si>
  <si>
    <t>Number of Visible People in a Queue</t>
  </si>
  <si>
    <t>Monotonic Stack: Scan right-to-left with a decreasing stack; each person sees the people popped plus one taller blocker.</t>
  </si>
  <si>
    <t>https://leetcode.com/problems/number-of-visible-people-in-a-queue/</t>
  </si>
  <si>
    <t>Maximum Number of Weeks for Which You Can Work</t>
  </si>
  <si>
    <t>Greedy Math</t>
  </si>
  <si>
    <t>Greedy Math: If the largest pile exceeds the sum of the rest, you finish 2*rest+1 weeks; otherwise all total weeks.</t>
  </si>
  <si>
    <t>https://leetcode.com/problems/maximum-number-of-weeks-for-which-you-can-work/</t>
  </si>
  <si>
    <t>Find If Path Exists In Graph</t>
  </si>
  <si>
    <t>BFS/DFS Reachability</t>
  </si>
  <si>
    <t>BFS/DFS Reachability: Build adjacency list. BFS/DFS from source. Return whether destination was visited.</t>
  </si>
  <si>
    <t>https://leetcode.com/problems/find-if-path-exists-in-graph/</t>
  </si>
  <si>
    <t>Maximum Matrix Sum</t>
  </si>
  <si>
    <t>Greedy Maximize Sum</t>
  </si>
  <si>
    <t>Greedy Maximize Sum: Count negatives in each row. If odd-count row, flip smallest-magnitude negative to positive if it helps.</t>
  </si>
  <si>
    <t>https://leetcode.com/problems/maximum-matrix-sum/</t>
  </si>
  <si>
    <t>Find Unique Binary String</t>
  </si>
  <si>
    <t>Diagonalization</t>
  </si>
  <si>
    <t>Diagonalization: Build the answer by flipping the i-th bit of the i-th string, guaranteeing it differs from all.</t>
  </si>
  <si>
    <t>https://leetcode.com/problems/find-unique-binary-string/</t>
  </si>
  <si>
    <t>Detect Squares</t>
  </si>
  <si>
    <t>Math, Hashing, Geometry</t>
  </si>
  <si>
    <t>Hashing Squares</t>
  </si>
  <si>
    <t>Hashing Squares: For each pair sharing x or y, check if completing square exists in point set. Divide by 4 for overcounting.</t>
  </si>
  <si>
    <t>https://leetcode.com/problems/detect-squares/</t>
  </si>
  <si>
    <t>Number of Pairs of Strings With Concatenation Equal to Target</t>
  </si>
  <si>
    <t>https://leetcode.com/problems/number-of-pairs-of-strings-with-concatenation-equal-to-target/</t>
  </si>
  <si>
    <t>Minimum Operations to Make a Uni-Value Grid</t>
  </si>
  <si>
    <t>Median Steps</t>
  </si>
  <si>
    <t>Median Steps: All values must share the same remainder mod x (else -1); the median minimizes total operations.</t>
  </si>
  <si>
    <t>O(mn log mn)</t>
  </si>
  <si>
    <t>O(mn)</t>
  </si>
  <si>
    <t>https://leetcode.com/problems/minimum-operations-to-make-a-uni-value-grid/</t>
  </si>
  <si>
    <t>Parallel Courses III</t>
  </si>
  <si>
    <t>Topological DP</t>
  </si>
  <si>
    <t>Topological DP: Topological-sort the prerequisite DAG and compute the longest finishing time (critical path).</t>
  </si>
  <si>
    <t>https://leetcode.com/problems/parallel-courses-iii/</t>
  </si>
  <si>
    <t>Two Best Non-Overlapping Events</t>
  </si>
  <si>
    <t>Array, Greedy, Heap</t>
  </si>
  <si>
    <t>https://leetcode.com/problems/two-best-non-overlapping-events/</t>
  </si>
  <si>
    <t>Minimized Maximum of Products Distributed to Any Store</t>
  </si>
  <si>
    <t>Binary Search on Answer: Binary search the max products per store; feasible when sum of ceil(quantity/x) &lt;= n stores.</t>
  </si>
  <si>
    <t>O(m log max)</t>
  </si>
  <si>
    <t>https://leetcode.com/problems/minimized-maximum-of-products-distributed-to-any-store/</t>
  </si>
  <si>
    <t>Maximum Path Quality of a Graph</t>
  </si>
  <si>
    <t>https://leetcode.com/problems/maximum-path-quality-of-a-graph/</t>
  </si>
  <si>
    <t>Maximum Number of Tasks You Can Assign</t>
  </si>
  <si>
    <t>Binary Search + Greedy</t>
  </si>
  <si>
    <t>Binary Search + Greedy: Binary search how many tasks k; check feasibility by matching the strongest k workers to the easiest k tasks using a multiset and pills.</t>
  </si>
  <si>
    <t>O(n log^2 n)</t>
  </si>
  <si>
    <t>https://leetcode.com/problems/maximum-number-of-tasks-you-can-assign/</t>
  </si>
  <si>
    <t>Two Furthest Houses With Different Colors</t>
  </si>
  <si>
    <t>Endpoint Check</t>
  </si>
  <si>
    <t>Endpoint Check: The farthest different-color pair must involve an endpoint; take max(last index with color != arr[0], (n-1) - first index with color != arr[-1]).</t>
  </si>
  <si>
    <t>https://leetcode.com/problems/two-furthest-houses-with-different-colors/</t>
  </si>
  <si>
    <t>Detonate the Maximum Bombs</t>
  </si>
  <si>
    <t>Reachability Graph</t>
  </si>
  <si>
    <t>Reachability Graph: Build directed edges (bomb i triggers j if j is within i's radius); DFS/BFS from each bomb and take the max reachable count.</t>
  </si>
  <si>
    <t>https://leetcode.com/problems/detonate-the-maximum-bombs/</t>
  </si>
  <si>
    <t>Sum of Subarray Ranges</t>
  </si>
  <si>
    <t>https://leetcode.com/problems/sum-of-subarray-ranges/</t>
  </si>
  <si>
    <t>Maximum Number of Words Found in Sentences</t>
  </si>
  <si>
    <t>Max Words</t>
  </si>
  <si>
    <t>Max Words: Answer = max over sentences of (number of spaces + 1).</t>
  </si>
  <si>
    <t>O(total)</t>
  </si>
  <si>
    <t>https://leetcode.com/problems/maximum-number-of-words-found-in-sentences/</t>
  </si>
  <si>
    <t>Maximum Running Time Of N Computers</t>
  </si>
  <si>
    <t>Binary Search Total Time</t>
  </si>
  <si>
    <t>Binary Search Total Time: lo=0, hi=sum/n. isValid(t): each computer contributes min(battery,t). Sum &gt;= n*t.</t>
  </si>
  <si>
    <t>https://leetcode.com/problems/maximum-running-time-of-n-computers/</t>
  </si>
  <si>
    <t>Rearrange Array Elements by Sign</t>
  </si>
  <si>
    <t>Two Index Pointers</t>
  </si>
  <si>
    <t>Two Index Pointers: Place positives at even indices and negatives at odd indices into a result array.</t>
  </si>
  <si>
    <t>https://leetcode.com/problems/rearrange-array-elements-by-sign/</t>
  </si>
  <si>
    <t>Find All Lonely Numbers in the Array</t>
  </si>
  <si>
    <t>https://leetcode.com/problems/find-all-lonely-numbers-in-the-array/</t>
  </si>
  <si>
    <t>Keep Multiplying Found Values by Two</t>
  </si>
  <si>
    <t>Array, Hashing, Sorting, Simulation</t>
  </si>
  <si>
    <t>HashSet Multiply</t>
  </si>
  <si>
    <t>HashSet Multiply: Add all nums to a set. For each num, check if num/2 exists and num%2==0. Update value.</t>
  </si>
  <si>
    <t>https://leetcode.com/problems/keep-multiplying-found-values-by-two/</t>
  </si>
  <si>
    <t>Maximum Candies Allocated to K Children</t>
  </si>
  <si>
    <t>Binary Search on Answer: Binary search the candies per child; feasible when sum of (pile // x) &gt;= k.</t>
  </si>
  <si>
    <t>O(n log max)</t>
  </si>
  <si>
    <t>https://leetcode.com/problems/maximum-candies-allocated-to-k-children/</t>
  </si>
  <si>
    <t>Add Two Integers</t>
  </si>
  <si>
    <t>Math: Return a + b.</t>
  </si>
  <si>
    <t>https://leetcode.com/problems/add-two-integers/</t>
  </si>
  <si>
    <t>Find Resultant Array After Removing Anagrams</t>
  </si>
  <si>
    <t>Adjacent Signatures</t>
  </si>
  <si>
    <t>Adjacent Signatures: Walk words keeping a result; drop a word if its sorted-letter signature equals the previous kept word.</t>
  </si>
  <si>
    <t>O(n * L log L)</t>
  </si>
  <si>
    <t>https://leetcode.com/problems/find-resultant-array-after-removing-anagrams/</t>
  </si>
  <si>
    <t>Apply Discount to Prices</t>
  </si>
  <si>
    <t>Token Scan</t>
  </si>
  <si>
    <t>Token Scan: Split on spaces; for tokens that are prices ($ followed by digits), apply the discount and reformat to two decimals.</t>
  </si>
  <si>
    <t>https://leetcode.com/problems/apply-discount-to-prices/</t>
  </si>
  <si>
    <t>Minimum Sum of Squared Difference</t>
  </si>
  <si>
    <t>Greedy/Heap or Binary Search</t>
  </si>
  <si>
    <t>Greedy/Heap or Binary Search: Reduce the largest squared differences first, distributing k total reduction operations (binary search the cap).</t>
  </si>
  <si>
    <t>https://leetcode.com/problems/minimum-sum-of-squared-difference/</t>
  </si>
  <si>
    <t>Minimum Deletions to Make Array Divisible</t>
  </si>
  <si>
    <t>GCD</t>
  </si>
  <si>
    <t>GCD: Compute the gcd of all divisors; the answer is the count of elements that do not divide that gcd (-1 if none divide it).</t>
  </si>
  <si>
    <t>O(n log V)</t>
  </si>
  <si>
    <t>https://leetcode.com/problems/minimum-deletions-to-make-array-divisible/</t>
  </si>
  <si>
    <t>Best Poker Hand</t>
  </si>
  <si>
    <t>Array, Hashing, Counting</t>
  </si>
  <si>
    <t>Frequency Best Hand</t>
  </si>
  <si>
    <t>Frequency Best Hand: Count frequencies. Return: Flush Five(5 same), Flush House(3+2), Full House(3+2 diff), Pair(2+), High Card.</t>
  </si>
  <si>
    <t>https://leetcode.com/problems/best-poker-hand/</t>
  </si>
  <si>
    <t>First Letter to Appear Twice</t>
  </si>
  <si>
    <t>https://leetcode.com/problems/first-letter-to-appear-twice/</t>
  </si>
  <si>
    <t>Make Array Zero by Subtracting Equal Amounts</t>
  </si>
  <si>
    <t>Distinct Count</t>
  </si>
  <si>
    <t>Distinct Count: Each operation removes one distinct positive value; answer = number of distinct non-zero values.</t>
  </si>
  <si>
    <t>https://leetcode.com/problems/make-array-zero-by-subtracting-equal-amounts/</t>
  </si>
  <si>
    <t>Find Closest Node to Given Two Nodes</t>
  </si>
  <si>
    <t>Two Distance Walks</t>
  </si>
  <si>
    <t>Two Distance Walks: In this functional graph, compute distances from node1 and node2; return the node minimizing the larger of the two distances.</t>
  </si>
  <si>
    <t>https://leetcode.com/problems/find-closest-node-to-given-two-nodes/</t>
  </si>
  <si>
    <t>Largest Palindromic Number</t>
  </si>
  <si>
    <t>Greedy Build</t>
  </si>
  <si>
    <t>Greedy Build: Use digit counts to build the largest half (pairs), pick the best center digit, and avoid leading zeros.</t>
  </si>
  <si>
    <t>https://leetcode.com/problems/largest-palindromic-number/</t>
  </si>
  <si>
    <t>Amount of Time for Binary Tree to Be Infected</t>
  </si>
  <si>
    <t>Graph BFS: Convert the tree to an adjacency graph and BFS from the start node; the answer is the maximum distance.</t>
  </si>
  <si>
    <t>https://leetcode.com/problems/amount-of-time-for-binary-tree-to-be-infected/</t>
  </si>
  <si>
    <t>Strictly Palindromic Number</t>
  </si>
  <si>
    <t>Math: For any n &gt;= 4, base (n-2) representation is '12', never a palindrome, so the answer is always false.</t>
  </si>
  <si>
    <t>https://leetcode.com/problems/strictly-palindromic-number/</t>
  </si>
  <si>
    <t>Maximum Rows Covered by Columns</t>
  </si>
  <si>
    <t>O(2^n * m)</t>
  </si>
  <si>
    <t>https://leetcode.com/problems/maximum-rows-covered-by-columns/</t>
  </si>
  <si>
    <t>Longest Nice Subarray</t>
  </si>
  <si>
    <t>Sliding Window OR</t>
  </si>
  <si>
    <t>Sliding Window OR: Expand a window while the running OR of elements equals their sum (no shared bits); shrink on conflict.</t>
  </si>
  <si>
    <t>https://leetcode.com/problems/longest-nice-subarray/</t>
  </si>
  <si>
    <t>Meeting Rooms III</t>
  </si>
  <si>
    <t>Array, Heap, Intervals</t>
  </si>
  <si>
    <t>https://leetcode.com/problems/meeting-rooms-iii/</t>
  </si>
  <si>
    <t>Smallest Even Multiple</t>
  </si>
  <si>
    <t>LCM</t>
  </si>
  <si>
    <t>LCM: Return n if n is even, otherwise 2*n.</t>
  </si>
  <si>
    <t>https://leetcode.com/problems/smallest-even-multiple/</t>
  </si>
  <si>
    <t>Number of Pairs Satisfying Inequality</t>
  </si>
  <si>
    <t>Merge Sort / BIT</t>
  </si>
  <si>
    <t>Merge Sort / BIT: Let b[i] = nums1[i] - nums2[i]; count index pairs i&lt;j with b[i]-b[j] &lt;= diff using merge sort or a BIT.</t>
  </si>
  <si>
    <t>https://leetcode.com/problems/number-of-pairs-satisfying-inequality/</t>
  </si>
  <si>
    <t>Minimum Cost to Make Array Equal</t>
  </si>
  <si>
    <t>Array, Math, Binary Search</t>
  </si>
  <si>
    <t>Weighted Median</t>
  </si>
  <si>
    <t>Weighted Median: Sort by value and find the weighted median of positions; making all equal to it minimizes total cost.</t>
  </si>
  <si>
    <t>https://leetcode.com/problems/minimum-cost-to-make-array-equal/</t>
  </si>
  <si>
    <t>Maximum Sum of Distinct Subarrays With Length K</t>
  </si>
  <si>
    <t>Array, Sliding Window, Hashing</t>
  </si>
  <si>
    <t>Sliding Window: Maintain a size-k window with a frequency map; when all k values are distinct, track the window sum's maximum.</t>
  </si>
  <si>
    <t>https://leetcode.com/problems/maximum-sum-of-distinct-subarrays-with-length-k/</t>
  </si>
  <si>
    <t>Count Ways To Build Good Strings</t>
  </si>
  <si>
    <t>https://leetcode.com/problems/count-ways-to-build-good-strings/</t>
  </si>
  <si>
    <t>Minimum Penalty for a Shop</t>
  </si>
  <si>
    <t>Prefix Penalty</t>
  </si>
  <si>
    <t>Prefix Penalty: Precompute prefix counts of Y/N; evaluate the closing penalty at each hour and take the minimum.</t>
  </si>
  <si>
    <t>https://leetcode.com/problems/minimum-penalty-for-a-shop/</t>
  </si>
  <si>
    <t>Count Subarrays With Median K</t>
  </si>
  <si>
    <t>Prefix Balance Hashmap</t>
  </si>
  <si>
    <t>Prefix Balance Hashmap: Locate k; track balance of (&gt;k) minus (&lt;k); count subarrays containing k with balance 0 or 1 using a prefix-count map.</t>
  </si>
  <si>
    <t>https://leetcode.com/problems/count-subarrays-with-median-k/</t>
  </si>
  <si>
    <t>Design Memory Allocator</t>
  </si>
  <si>
    <t>https://leetcode.com/problems/design-memory-allocator/</t>
  </si>
  <si>
    <t>Take K of Each Character From Left and Right</t>
  </si>
  <si>
    <t>Reverse Sliding Window</t>
  </si>
  <si>
    <t>Reverse Sliding Window: Find the longest middle window that can be removed while leaving at least k of each character; answer = n - that length.</t>
  </si>
  <si>
    <t>https://leetcode.com/problems/take-k-of-each-character-from-left-and-right/</t>
  </si>
  <si>
    <t>Rearranging Fruits</t>
  </si>
  <si>
    <t>Greedy Swaps</t>
  </si>
  <si>
    <t>Greedy Swaps: Difference the two baskets' counts; for each surplus item swap with its cheaper counterpart, using the global minimum as a two-step intermediary when cheaper.</t>
  </si>
  <si>
    <t>https://leetcode.com/problems/rearranging-fruits/</t>
  </si>
  <si>
    <t>Kth Largest Sum in a Binary Tree</t>
  </si>
  <si>
    <t>Level Sums</t>
  </si>
  <si>
    <t>Level Sums: BFS to get each level's sum, sort the sums descending, and return the kth (or -1).</t>
  </si>
  <si>
    <t>https://leetcode.com/problems/kth-largest-sum-in-a-binary-tree/</t>
  </si>
  <si>
    <t>Distribute Money to Maximum Children</t>
  </si>
  <si>
    <t>Math, Greedy</t>
  </si>
  <si>
    <t>Greedy Coins</t>
  </si>
  <si>
    <t>Greedy Coins: Give floor(budget/50) children 2 coins ($1). Remaining give 1 coin each. Maximize count.</t>
  </si>
  <si>
    <t>https://leetcode.com/problems/distribute-money-to-maximum-children/</t>
  </si>
  <si>
    <t>Find Score of an Array After Marking All Elements</t>
  </si>
  <si>
    <t>Min-Heap Greedy</t>
  </si>
  <si>
    <t>Min-Heap Greedy: Push (value, index) into a min-heap; repeatedly take the smallest unmarked element, add its value, and mark its neighbors.</t>
  </si>
  <si>
    <t>https://leetcode.com/problems/find-score-of-an-array-after-marking-all-elements/</t>
  </si>
  <si>
    <t>Sum of Distances</t>
  </si>
  <si>
    <t>Grouped Prefix Sums</t>
  </si>
  <si>
    <t>Grouped Prefix Sums: Group indices by value; within each group, prefix sums of positions give every element's distance sum.</t>
  </si>
  <si>
    <t>https://leetcode.com/problems/sum-of-distances/</t>
  </si>
  <si>
    <t>Array Prototype Last</t>
  </si>
  <si>
    <t>JavaScript</t>
  </si>
  <si>
    <t>Array Prototype</t>
  </si>
  <si>
    <t>Array Prototype: Add last() method returning this[this.length-1] or -1 if empty.</t>
  </si>
  <si>
    <t>https://leetcode.com/problems/array-prototype-last/</t>
  </si>
  <si>
    <t>Counter</t>
  </si>
  <si>
    <t>Closure</t>
  </si>
  <si>
    <t>Closure: Return a function that, on each call, returns n and then increments the captured counter.</t>
  </si>
  <si>
    <t>https://leetcode.com/problems/counter/</t>
  </si>
  <si>
    <t>Sliding Subarray Beauty</t>
  </si>
  <si>
    <t>Bounded Counting Window</t>
  </si>
  <si>
    <t>Bounded Counting Window: Slide a size-k window keeping a count array over values [-50,50]; read off the x-th smallest negative as the beauty.</t>
  </si>
  <si>
    <t>O(n * 50)</t>
  </si>
  <si>
    <t>https://leetcode.com/problems/sliding-subarray-beauty/</t>
  </si>
  <si>
    <t>First Completely Painted Row or Column</t>
  </si>
  <si>
    <t>Position Map</t>
  </si>
  <si>
    <t>Position Map: Map each value to its grid cell; mark cells in arr order, incrementing row/column counters, and return when one fills.</t>
  </si>
  <si>
    <t>https://leetcode.com/problems/first-completely-painted-row-or-column/</t>
  </si>
  <si>
    <t>Create Hello World Function</t>
  </si>
  <si>
    <t>Hello World Closure</t>
  </si>
  <si>
    <t>Hello World Closure: Return function that returns 'Hello World'. Or counter function incrementing n.</t>
  </si>
  <si>
    <t>https://leetcode.com/problems/create-hello-world-function/</t>
  </si>
  <si>
    <t>Number of Distinct Colors Among the Balls</t>
  </si>
  <si>
    <t>Adjacent Same Color</t>
  </si>
  <si>
    <t>Adjacent Same Color: For each element with a neighbor of same color that's different from element's new color, count as change.</t>
  </si>
  <si>
    <t>https://leetcode.com/problems/number-of-distinct-colors-among-the-balls/</t>
  </si>
  <si>
    <t>Return Length of Arguments Passed</t>
  </si>
  <si>
    <t>Rest Parameters</t>
  </si>
  <si>
    <t>Rest Parameters: Return args.length using a variadic/rest parameter.</t>
  </si>
  <si>
    <t>https://leetcode.com/problems/return-length-of-arguments-passed/</t>
  </si>
  <si>
    <t>To Be Or Not To Be</t>
  </si>
  <si>
    <t>toBe/notToBe</t>
  </si>
  <si>
    <t>toBe/notToBe: Return object with expect(val).toBe(x) throwing if not equal, and notToBe(x) throwing if equal.</t>
  </si>
  <si>
    <t>https://leetcode.com/problems/to-be-or-not-to-be/</t>
  </si>
  <si>
    <t>Robot Collisions</t>
  </si>
  <si>
    <t>Stack Simulation</t>
  </si>
  <si>
    <t>Stack Simulation: Sort robots by position; a stack of right-movers collides with each left-mover, resolving survivors by health.</t>
  </si>
  <si>
    <t>https://leetcode.com/problems/robot-collisions/</t>
  </si>
  <si>
    <t>Maximum Number of Jumps to Reach the Last Index</t>
  </si>
  <si>
    <t>DP: dp[i] = max jumps to reach i, taking max over reachable j within the target-difference constraint; -1 if unreachable.</t>
  </si>
  <si>
    <t>https://leetcode.com/problems/maximum-number-of-jumps-to-reach-the-last-index/</t>
  </si>
  <si>
    <t>Split Strings by Separator</t>
  </si>
  <si>
    <t>https://leetcode.com/problems/split-strings-by-separator/</t>
  </si>
  <si>
    <t>Count Stepping Numbers in Range</t>
  </si>
  <si>
    <t>Digit DP</t>
  </si>
  <si>
    <t>Digit DP: Count stepping numbers up to high minus up to low-1, tracking the last digit and tight flag.</t>
  </si>
  <si>
    <t>O(d * 10)</t>
  </si>
  <si>
    <t>https://leetcode.com/problems/count-stepping-numbers-in-range/</t>
  </si>
  <si>
    <t>Check if Strings Can be Made Equal With Operations II</t>
  </si>
  <si>
    <t>Parity Multisets</t>
  </si>
  <si>
    <t>Parity Multisets: Equal iff the multiset of characters at even indices matches and the multiset at odd indices matches.</t>
  </si>
  <si>
    <t>https://leetcode.com/problems/check-if-strings-can-be-made-equal-with-operations-ii/</t>
  </si>
  <si>
    <t>Minimum Edge Reversals So Every Node Is Reachable</t>
  </si>
  <si>
    <t>Reroot DP</t>
  </si>
  <si>
    <t>Reroot DP: Root at 0 counting edges that must be reversed, then reroot to every node updating the count by +/-1 per edge.</t>
  </si>
  <si>
    <t>https://leetcode.com/problems/minimum-edge-reversals-so-every-node-is-reachable/</t>
  </si>
  <si>
    <t>Happy Students</t>
  </si>
  <si>
    <t>Sort + Threshold</t>
  </si>
  <si>
    <t>Sort + Threshold: Sort; a cut size k is valid when nums[k-1] &lt; k &lt; nums[k]; count all valid k including 0 and n.</t>
  </si>
  <si>
    <t>https://leetcode.com/problems/happy-students/</t>
  </si>
  <si>
    <t>Display the First Three Rows</t>
  </si>
  <si>
    <t>DataFrame Head</t>
  </si>
  <si>
    <t>DataFrame Head: Return df.head(3).</t>
  </si>
  <si>
    <t>https://leetcode.com/problems/display-the-first-three-rows/</t>
  </si>
  <si>
    <t>Construct Product Matrix</t>
  </si>
  <si>
    <t>Prefix/Suffix Products</t>
  </si>
  <si>
    <t>Prefix/Suffix Products: Multiply prefix and suffix products (mod 12345) to get each cell's product of all others.</t>
  </si>
  <si>
    <t>https://leetcode.com/problems/construct-product-matrix/</t>
  </si>
  <si>
    <t>Minimum Number of Groups to Create a Valid Assignment</t>
  </si>
  <si>
    <t>Frequency Feasibility</t>
  </si>
  <si>
    <t>Frequency Feasibility: Count value frequencies; try group size g from the smallest frequency downward and check every frequency can split into groups of g or g+1.</t>
  </si>
  <si>
    <t>https://leetcode.com/problems/minimum-number-of-groups-to-create-a-valid-assignment/</t>
  </si>
  <si>
    <t>Maximize Area of Square Hole in Grid</t>
  </si>
  <si>
    <t>Longest Bar Run</t>
  </si>
  <si>
    <t>Longest Bar Run: Find the longest run of consecutive removable horizontal and vertical bars; the hole area = (min run + 1)^2.</t>
  </si>
  <si>
    <t>https://leetcode.com/problems/maximize-area-of-square-hole-in-grid/</t>
  </si>
  <si>
    <t>Matrix Similarity After Cyclic Shifts</t>
  </si>
  <si>
    <t>Periodicity Check</t>
  </si>
  <si>
    <t>Periodicity Check: A k-shift leaves the matrix unchanged iff every row is periodic with period gcd(k%n, n).</t>
  </si>
  <si>
    <t>https://leetcode.com/problems/matrix-similarity-after-cyclic-shifts/</t>
  </si>
  <si>
    <t>Find Missing and Repeated Values</t>
  </si>
  <si>
    <t>Counting</t>
  </si>
  <si>
    <t>Counting: Use a seen-array (or sum and sum-of-squares equations) over 1..n^2 to find the duplicated and missing values.</t>
  </si>
  <si>
    <t>https://leetcode.com/problems/find-missing-and-repeated-values/</t>
  </si>
  <si>
    <t>Count the Number of Incremovable Subarrays I</t>
  </si>
  <si>
    <t>https://leetcode.com/problems/count-the-number-of-incremovable-subarrays-i/</t>
  </si>
  <si>
    <t>Count the Number of Incremovable Subarrays II</t>
  </si>
  <si>
    <t>https://leetcode.com/problems/count-the-number-of-incremovable-subarrays-ii/</t>
  </si>
  <si>
    <t>Minimum Cost to Convert String I</t>
  </si>
  <si>
    <t>Floyd-Warshall</t>
  </si>
  <si>
    <t>Floyd-Warshall: Compute all-pairs cheapest letter conversions over the 26 letters, then sum the cost per character.</t>
  </si>
  <si>
    <t>O(26^3 + n)</t>
  </si>
  <si>
    <t>O(26^2)</t>
  </si>
  <si>
    <t>https://leetcode.com/problems/minimum-cost-to-convert-string-i/</t>
  </si>
  <si>
    <t>Divide an Array Into Subarrays With Minimum Cost I</t>
  </si>
  <si>
    <t>Greedy</t>
  </si>
  <si>
    <t>Greedy: The first element is fixed; add the two smallest among the remaining elements.</t>
  </si>
  <si>
    <t>https://leetcode.com/problems/divide-an-array-into-subarrays-with-minimum-cost-i/</t>
  </si>
  <si>
    <t>Divide an Array Into Subarrays With Minimum Cost II</t>
  </si>
  <si>
    <t>Sliding Window + Sorted Multiset</t>
  </si>
  <si>
    <t>Sliding Window + Sorted Multiset: Binary search the cost or maintain a window with an ordered multiset to pick k minimal subarray starts under the distance constraint.</t>
  </si>
  <si>
    <t>https://leetcode.com/problems/divide-an-array-into-subarrays-with-minimum-cost-ii/</t>
  </si>
  <si>
    <t>Maximum Good Subarray Sum</t>
  </si>
  <si>
    <t>Prefix + Hashmap</t>
  </si>
  <si>
    <t>Prefix + Hashmap: Track prefix sums and the minimum prefix seen for each value; for each index check value+k and value-k.</t>
  </si>
  <si>
    <t>https://leetcode.com/problems/maximum-good-subarray-sum/</t>
  </si>
  <si>
    <t>Find the Grid of Region Average</t>
  </si>
  <si>
    <t>2D Region Average</t>
  </si>
  <si>
    <t>2D Region Average: For each pixel in interior, average all pixels within given distance. Use prefix sum 2D for O(1) region queries.</t>
  </si>
  <si>
    <t>https://leetcode.com/problems/find-the-grid-of-region-average/</t>
  </si>
  <si>
    <t>Maximum Number of Operations With the Same Score II</t>
  </si>
  <si>
    <t>Interval DP Merge</t>
  </si>
  <si>
    <t>Interval DP Merge: Try merging consecutive subarrays. dp[i][j]=min ops to sort A[i..j]. Merge valid when result &lt;= next element.</t>
  </si>
  <si>
    <t>https://leetcode.com/problems/maximum-number-of-operations-with-the-same-score-ii/</t>
  </si>
  <si>
    <t>Apple Redistribution into Boxes</t>
  </si>
  <si>
    <t>Bin Packing Greedy</t>
  </si>
  <si>
    <t>Bin Packing Greedy: Sort apples and apple boxes. For each group of required apples, pick smallest sufficient box count.</t>
  </si>
  <si>
    <t>https://leetcode.com/problems/apple-redistribution-into-boxes/</t>
  </si>
  <si>
    <t>Maximize Happiness of Selected Children</t>
  </si>
  <si>
    <t>Greedy Sort: Sort happiness descending; pick the top k, subtracting i for the i-th pick and clamping at 0.</t>
  </si>
  <si>
    <t>https://leetcode.com/problems/maximize-happiness-of-selected-children/</t>
  </si>
  <si>
    <t>Find All Possible Stable Binary Arrays I</t>
  </si>
  <si>
    <t>DP with Run Limit</t>
  </si>
  <si>
    <t>DP with Run Limit: dp[zeros][ones][last bit] counts arrays respecting the max run length; transition by appending a 0 or 1.</t>
  </si>
  <si>
    <t>O(zeros*ones*limit)</t>
  </si>
  <si>
    <t>O(zeros*ones)</t>
  </si>
  <si>
    <t>https://leetcode.com/problems/find-all-possible-stable-binary-arrays-i/</t>
  </si>
  <si>
    <t>Find All Possible Stable Binary Arrays II</t>
  </si>
  <si>
    <t>Optimized DP</t>
  </si>
  <si>
    <t>Optimized DP: Same run-limited DP as I, but accelerated with prefix sums over the previous state.</t>
  </si>
  <si>
    <t>https://leetcode.com/problems/find-all-possible-stable-binary-arrays-ii/</t>
  </si>
  <si>
    <t>String Compression III</t>
  </si>
  <si>
    <t>https://leetcode.com/problems/string-compression-iii/</t>
  </si>
  <si>
    <t>Find the Maximum Length of Valid Subsequence I</t>
  </si>
  <si>
    <t>Parity DP</t>
  </si>
  <si>
    <t>Parity DP: A valid subsequence keeps consecutive-pair sums of constant parity; greedily track the two parity cases and take the longest.</t>
  </si>
  <si>
    <t>https://leetcode.com/problems/find-the-maximum-length-of-valid-subsequence-i/</t>
  </si>
  <si>
    <t>Count Submatrices With Equal Frequency of X and Y</t>
  </si>
  <si>
    <t>2D Prefix Counts</t>
  </si>
  <si>
    <t>2D Prefix Counts: Build prefix counts of X and Y; count submatrices whose X count equals Y count and is positive.</t>
  </si>
  <si>
    <t>https://leetcode.com/problems/count-submatrices-with-equal-frequency-of-x-and-y/</t>
  </si>
  <si>
    <t>Maximum Score From Grid Operations</t>
  </si>
  <si>
    <t>Column DP</t>
  </si>
  <si>
    <t>Column DP: DP across columns carrying the shaded prefix length, with transitions scoring newly covered cells.</t>
  </si>
  <si>
    <t>https://leetcode.com/problems/maximum-score-from-grid-operations/</t>
  </si>
  <si>
    <t>Minimum Number of Seconds to Make Mountain Height Zero</t>
  </si>
  <si>
    <t>Binary Search on Time</t>
  </si>
  <si>
    <t>Binary Search on Time: Binary search total seconds; a worker with rate r clears height h in r*(1+2+..+h) time, so check the combined reachable height.</t>
  </si>
  <si>
    <t>O(n log)</t>
  </si>
  <si>
    <t>https://leetcode.com/problems/minimum-number-of-seconds-to-make-mountain-height-zero/</t>
  </si>
  <si>
    <t>Construct the Minimum Bitwise Array I</t>
  </si>
  <si>
    <t>Bit Construction</t>
  </si>
  <si>
    <t>Bit Construction: For each value, the minimum x with x | (x+1) == value is value with its lowest run-of-ones boundary flipped (-1 if value is even-incompatible).</t>
  </si>
  <si>
    <t>https://leetcode.com/problems/construct-the-minimum-bitwise-array-i/</t>
  </si>
  <si>
    <t>Construct the Minimum Bitwise Array II</t>
  </si>
  <si>
    <t>Bit Construction: As in part I, set the answer by flipping the lowest 0-bit that follows a 1 in each value.</t>
  </si>
  <si>
    <t>https://leetcode.com/problems/construct-the-minimum-bitwise-array-ii/</t>
  </si>
  <si>
    <t>Identify the Largest Outlier in an Array</t>
  </si>
  <si>
    <t>Sum + Counts</t>
  </si>
  <si>
    <t>Sum + Counts: Total sum minus an outlier equals twice the special-element sum; test each candidate using value counts.</t>
  </si>
  <si>
    <t>https://leetcode.com/problems/identify-the-largest-outlier-in-an-array/</t>
  </si>
  <si>
    <t>Transformed Array</t>
  </si>
  <si>
    <t>Modular Index</t>
  </si>
  <si>
    <t>Modular Index: result[i] = nums[((i + nums[i]) % n + n) % n].</t>
  </si>
  <si>
    <t>https://leetcode.com/problems/transformed-array/</t>
  </si>
  <si>
    <t>Maximum Subarray Sum With Length Divisible by K</t>
  </si>
  <si>
    <t>Array, Sliding Window, Math</t>
  </si>
  <si>
    <t>Prefix Sum mod K</t>
  </si>
  <si>
    <t>Prefix Sum mod K: Track the minimum prefix sum for each index residue mod k; best = prefix[j] - min prefix at same residue before j.</t>
  </si>
  <si>
    <t>https://leetcode.com/problems/maximum-subarray-sum-with-length-divisible-by-k/</t>
  </si>
  <si>
    <t>Design Task Manager</t>
  </si>
  <si>
    <t>Design, Heap</t>
  </si>
  <si>
    <t>Heap + Maps</t>
  </si>
  <si>
    <t>Heap + Maps: Keep a max-structure keyed by (priority, taskId) plus owner/priority maps; use lazy deletion for edits and removals.</t>
  </si>
  <si>
    <t>O(log n) per op</t>
  </si>
  <si>
    <t>https://leetcode.com/problems/design-task-manager/</t>
  </si>
  <si>
    <t>Maximum Amount of Money Robot Can Earn</t>
  </si>
  <si>
    <t>Grid DP with States</t>
  </si>
  <si>
    <t>Grid DP with States: DP over cells carrying how many negative cells have been neutralized (0,1,2), maximizing collected money.</t>
  </si>
  <si>
    <t>https://leetcode.com/problems/maximum-amount-of-money-robot-can-earn/</t>
  </si>
  <si>
    <t>Count Partitions with Even Sum Difference</t>
  </si>
  <si>
    <t>Prefix Parity</t>
  </si>
  <si>
    <t>Prefix Parity: For each split point the difference parity depends only on the total sum's parity; count valid splits accordingly.</t>
  </si>
  <si>
    <t>https://leetcode.com/problems/count-partitions-with-even-sum-difference/</t>
  </si>
  <si>
    <t>Maximum Frequency After Subarray Operation</t>
  </si>
  <si>
    <t>Array, Hashing, Sliding Window</t>
  </si>
  <si>
    <t>Per-Value Window</t>
  </si>
  <si>
    <t>Per-Value Window: For each target letter, run a max-subarray (Kadane-style) on +1 for that letter / -1 for the chosen source letter to find the best gain.</t>
  </si>
  <si>
    <t>https://leetcode.com/problems/maximum-frequency-after-subarray-operation/</t>
  </si>
  <si>
    <t>Separate Squares I</t>
  </si>
  <si>
    <t>Binary Search Geometry</t>
  </si>
  <si>
    <t>Binary Search Geometry: Binary search the horizontal line y so the square area above equals the area below.</t>
  </si>
  <si>
    <t>https://leetcode.com/problems/separate-squares-i/</t>
  </si>
  <si>
    <t>Separate Squares II</t>
  </si>
  <si>
    <t>Sweep + Segment Tree</t>
  </si>
  <si>
    <t>Sweep + Segment Tree: Sweep the line while maintaining union area with a segment tree, binary searching the balancing height.</t>
  </si>
  <si>
    <t>https://leetcode.com/problems/separate-squares-ii/</t>
  </si>
  <si>
    <t>Maximum Sum With at Most K Elements</t>
  </si>
  <si>
    <t>Per-Row Top + Heap</t>
  </si>
  <si>
    <t>Per-Row Top + Heap: Take the top 'limit' values of each row, then select the global top k by value.</t>
  </si>
  <si>
    <t>O(m * n log)</t>
  </si>
  <si>
    <t>https://leetcode.com/problems/maximum-sum-with-at-most-k-elements/</t>
  </si>
  <si>
    <t>Unique 3-Digit Even Numbers</t>
  </si>
  <si>
    <t>Set of Numbers</t>
  </si>
  <si>
    <t>Set of Numbers: Enumerate even 3-digit numbers formable from the digits (no leading zero) and count distinct ones.</t>
  </si>
  <si>
    <t>https://leetcode.com/problems/unique-3-digit-even-numbers/</t>
  </si>
  <si>
    <t>Closest Equal Element Queries</t>
  </si>
  <si>
    <t>Value Index Map + Binary Search</t>
  </si>
  <si>
    <t>Value Index Map + Binary Search: Map each value to its sorted (circular) indices; for each query binary search the nearest equal-value index.</t>
  </si>
  <si>
    <t>https://leetcode.com/problems/closest-equal-element-queries/</t>
  </si>
  <si>
    <t>Minimum Pair Removal to Sort Array I</t>
  </si>
  <si>
    <t>Simulation</t>
  </si>
  <si>
    <t>Simulation: Repeatedly merge the adjacent pair with the smallest sum until the array is non-decreasing, counting operations.</t>
  </si>
  <si>
    <t>https://leetcode.com/problems/minimum-pair-removal-to-sort-array-i/</t>
  </si>
  <si>
    <t>Minimum Pair Removal to Sort Array II</t>
  </si>
  <si>
    <t>Heap + Linked List</t>
  </si>
  <si>
    <t>Heap + Linked List: Maintain adjacent-sum candidates in a heap over a doubly linked list with lazy deletion to merge efficiently.</t>
  </si>
  <si>
    <t>https://leetcode.com/problems/minimum-pair-removal-to-sort-array-ii/</t>
  </si>
  <si>
    <t>Minimum Absolute Difference in Sliding Submatrix</t>
  </si>
  <si>
    <t>Sliding Submatrix</t>
  </si>
  <si>
    <t>Sliding Submatrix: For each k x k window, compute the minimum absolute difference among contained values.</t>
  </si>
  <si>
    <t>O(m * n * k^2)</t>
  </si>
  <si>
    <t>O(k^2)</t>
  </si>
  <si>
    <t>https://leetcode.com/problems/minimum-absolute-difference-in-sliding-submatrix/</t>
  </si>
  <si>
    <t>Maximize Spanning Tree Stability with Upgrades</t>
  </si>
  <si>
    <t>Binary Search + MST</t>
  </si>
  <si>
    <t>Binary Search + MST: Binary search the minimum stability; check feasibility with a Union-Find/MST that applies the allowed edge upgrades.</t>
  </si>
  <si>
    <t>O(E log E)</t>
  </si>
  <si>
    <t>https://leetcode.com/problems/maximize-spanning-tree-stability-with-upgrades/</t>
  </si>
  <si>
    <t>Minimum Jumps to Reach End via Prime Teleportation</t>
  </si>
  <si>
    <t>BFS over Prime Groups</t>
  </si>
  <si>
    <t>BFS over Prime Groups: Sieve smallest prime factors; link each index to others sharing a prime factor and BFS for minimum jumps.</t>
  </si>
  <si>
    <t>https://leetcode.com/problems/minimum-jumps-to-reach-end-via-prime-teleportation/</t>
  </si>
  <si>
    <t>Minimum Removals To Balance Array</t>
  </si>
  <si>
    <t>Math/Scan</t>
  </si>
  <si>
    <t>Math/Scan: Sort or scan array, apply pattern-specific formula based on problem structure.</t>
  </si>
  <si>
    <t>https://leetcode.com/problems/minimum-removals-to-balance-array/</t>
  </si>
  <si>
    <t>Trionic Array I</t>
  </si>
  <si>
    <t>Three-Phase Scan</t>
  </si>
  <si>
    <t>Three-Phase Scan: Check there exist i&lt;j with strictly increasing [0..i], strictly decreasing [i..j], then strictly increasing [j..end].</t>
  </si>
  <si>
    <t>https://leetcode.com/problems/trionic-array-i/</t>
  </si>
  <si>
    <t>Minimum Cost Path with Edge Reversals</t>
  </si>
  <si>
    <t>0-1 BFS / Dijkstra</t>
  </si>
  <si>
    <t>0-1 BFS / Dijkstra: Add each original edge with weight w and a reverse edge with weight 2w, then run Dijkstra from the source.</t>
  </si>
  <si>
    <t>https://leetcode.com/problems/minimum-cost-path-with-edge-reversals/</t>
  </si>
  <si>
    <t>Minimum Cost Path with Teleportations</t>
  </si>
  <si>
    <t>Layered Dijkstra</t>
  </si>
  <si>
    <t>Layered Dijkstra: Run Dijkstra over grid moves plus value-based teleport edges, tracking remaining teleports as state.</t>
  </si>
  <si>
    <t>O(mn log)</t>
  </si>
  <si>
    <t>https://leetcode.com/problems/minimum-cost-path-with-teleportations/</t>
  </si>
  <si>
    <t>Best Time to Buy and Sell Stock using Strategy</t>
  </si>
  <si>
    <t>Prefix + Window</t>
  </si>
  <si>
    <t>Prefix + Window: Use prefix sums of price*strategy and slide the modifiable window to evaluate the best strategy change.</t>
  </si>
  <si>
    <t>https://leetcode.com/problems/best-time-to-buy-and-sell-stock-using-strategy/</t>
  </si>
  <si>
    <t>XOR After Range Multiplication Queries II</t>
  </si>
  <si>
    <t>Sqrt Decomposition</t>
  </si>
  <si>
    <t>Sqrt Decomposition: Apply large-stride range-multiply queries directly and batch small strides, recomputing the XOR.</t>
  </si>
  <si>
    <t>O((q+n) sqrt n)</t>
  </si>
  <si>
    <t>https://leetcode.com/problems/xor-after-range-multiplication-queries-ii/</t>
  </si>
  <si>
    <t>Jump Game IX</t>
  </si>
  <si>
    <t>Greedy Segmentation</t>
  </si>
  <si>
    <t>Greedy Segmentation: Use running prefix max/min reachability to segment the array and decide reachable jumps.</t>
  </si>
  <si>
    <t>https://leetcode.com/problems/jump-game-ix/</t>
  </si>
  <si>
    <t>Maximum Walls Destroyed by Robots</t>
  </si>
  <si>
    <t>Interval DP/Greedy</t>
  </si>
  <si>
    <t>Interval DP/Greedy: Sort robots and choose a left/right firing direction for each to maximize destroyed walls (interval DP).</t>
  </si>
  <si>
    <t>https://leetcode.com/problems/maximum-walls-destroyed-by-robots/</t>
  </si>
  <si>
    <t>Minimum Operations to Equalize Binary String</t>
  </si>
  <si>
    <t>Greedy Parity</t>
  </si>
  <si>
    <t>Greedy Parity: Reason on counts of mismatched bits and the flip block size k; greedily flip while respecting parity feasibility.</t>
  </si>
  <si>
    <t>https://leetcode.com/problems/minimum-operations-to-equalize-binary-string/</t>
  </si>
  <si>
    <t>Longest Balanced Substring I</t>
  </si>
  <si>
    <t>Prefix Balance: Map +1/-1 prefix balance to its first index; the longest span with equal endpoints is the longest balanced substring.</t>
  </si>
  <si>
    <t>https://leetcode.com/problems/longest-balanced-substring-i/</t>
  </si>
  <si>
    <t>Longest Balanced Substring II</t>
  </si>
  <si>
    <t>Prefix Balance: Same first-occurrence prefix-balance technique applied at the larger constraints.</t>
  </si>
  <si>
    <t>https://leetcode.com/problems/longest-balanced-substring-ii/</t>
  </si>
  <si>
    <t>Longest Balanced Subarray I</t>
  </si>
  <si>
    <t>Prefix Sum Hashmap</t>
  </si>
  <si>
    <t>Prefix Sum Hashmap: Map prefix balance to its earliest index; the longest balanced subarray is the widest equal-balance span.</t>
  </si>
  <si>
    <t>https://leetcode.com/problems/longest-balanced-subarray-i/</t>
  </si>
  <si>
    <t>Lexicographically Smallest Permutation Greater Than Target</t>
  </si>
  <si>
    <t>Next Permutation: Apply next-permutation logic under the given constraints to get the smallest permutation exceeding the target.</t>
  </si>
  <si>
    <t>https://leetcode.com/problems/lexicographically-smallest-permutation-greater-than-target/</t>
  </si>
  <si>
    <t>Longest Balanced Subarray II</t>
  </si>
  <si>
    <t>Prefix Balance + Monotonic</t>
  </si>
  <si>
    <t>Prefix Balance + Monotonic: Track prefix balances with a monotonic structure to find the longest balanced subarray.</t>
  </si>
  <si>
    <t>https://leetcode.com/problems/longest-balanced-subarray-ii/</t>
  </si>
  <si>
    <t>Minimum Time to Complete All Deliveries</t>
  </si>
  <si>
    <t>Greedy Math: Pair deliveries to capacity and compute the minimum completion time from the resulting schedule.</t>
  </si>
  <si>
    <t>https://leetcode.com/problems/minimum-time-to-complete-all-deliveries/</t>
  </si>
  <si>
    <t>Minimum Distance Between Three Equal Elements I</t>
  </si>
  <si>
    <t>Grouped Indices</t>
  </si>
  <si>
    <t>Grouped Indices: Group positions by value; the answer is the minimum span across any three consecutive same-value indices.</t>
  </si>
  <si>
    <t>https://leetcode.com/problems/minimum-distance-between-three-equal-elements-i/</t>
  </si>
  <si>
    <t>Lexicographically Smallest Negated Permutation that Sums to Target</t>
  </si>
  <si>
    <t>Greedy Sign Assignment</t>
  </si>
  <si>
    <t>Greedy Sign Assignment: Greedily assign signs/negations from the most significant choice while keeping the sum reachable.</t>
  </si>
  <si>
    <t>https://leetcode.com/problems/lexicographically-smallest-negated-permutation-that-sums-to-target/</t>
  </si>
  <si>
    <t>Minimum Absolute Distance Between Mirror Pairs</t>
  </si>
  <si>
    <t>Hash Positions</t>
  </si>
  <si>
    <t>Hash Positions: Hash element positions and, for each, find its nearest mirror counterpart to minimize the distance.</t>
  </si>
  <si>
    <t>https://leetcode.com/problems/minimum-absolute-distance-between-mirror-pairs/</t>
  </si>
  <si>
    <t>Minimum Swaps to Avoid Forbidden Values</t>
  </si>
  <si>
    <t>Greedy + Binary Search</t>
  </si>
  <si>
    <t>Greedy + Binary Search: Assign values avoiding forbidden positions, using binary search to count the minimum swaps.</t>
  </si>
  <si>
    <t>https://leetcode.com/problems/minimum-swaps-to-avoid-forbidden-values/</t>
  </si>
  <si>
    <t>Minimum Subarray Length With Distinct Sum At Least K</t>
  </si>
  <si>
    <t>Sliding Window: Expand/shrink a window tracking the sum of its distinct values until it reaches at least k, minimizing length.</t>
  </si>
  <si>
    <t>https://leetcode.com/problems/minimum-subarray-length-with-distinct-sum-at-least-k/</t>
  </si>
  <si>
    <t>Find Maximum Value in a Constrained Sequence</t>
  </si>
  <si>
    <t>Constraint DP</t>
  </si>
  <si>
    <t>Constraint DP: Propagate the maximum reachable value forward subject to the adjacency constraint.</t>
  </si>
  <si>
    <t>https://leetcode.com/problems/find-maximum-value-in-a-constrained-sequence/</t>
  </si>
  <si>
    <t>Maximum Bitwise AND After Increment Operations</t>
  </si>
  <si>
    <t>Greedy Bits</t>
  </si>
  <si>
    <t>Greedy Bits: Decide each bit from the most significant down, checking whether the budget of increments can keep it set across all elements.</t>
  </si>
  <si>
    <t>https://leetcode.com/problems/maximum-bitwise-and-after-increment-operations/</t>
  </si>
  <si>
    <t>Final Element After Subarray Deletions</t>
  </si>
  <si>
    <t>Array, Stack, Greedy</t>
  </si>
  <si>
    <t>Monotonic Stack: Greedily simulate the allowed adjacent deletions with a stack to find the surviving final element.</t>
  </si>
  <si>
    <t>https://leetcode.com/problems/final-element-after-subarray-deletions/</t>
  </si>
  <si>
    <t>Minimum Cost to Split into Ones</t>
  </si>
  <si>
    <t>Greedy/DP Decomposition</t>
  </si>
  <si>
    <t>Greedy/DP Decomposition: Split the target into ones using the cheapest power-based operations.</t>
  </si>
  <si>
    <t>https://leetcode.com/problems/minimum-cost-to-split-into-ones/</t>
  </si>
  <si>
    <t>Minimum Operations to Sort a String</t>
  </si>
  <si>
    <t>Cycle Counting</t>
  </si>
  <si>
    <t>Cycle Counting: Compute the minimum swaps to sort by counting per-character displacement cycles.</t>
  </si>
  <si>
    <t>https://leetcode.com/problems/minimum-operations-to-sort-a-string/</t>
  </si>
  <si>
    <t>Longest Arithmetic Sequence After Changing At Most One Element</t>
  </si>
  <si>
    <t>Difference DP</t>
  </si>
  <si>
    <t>Difference DP: dp[i][diff] for arithmetic runs, allowing one element to be changed, taking the best length.</t>
  </si>
  <si>
    <t>https://leetcode.com/problems/longest-arithmetic-sequence-after-changing-at-most-one-element/</t>
  </si>
  <si>
    <t>Minimum Operations to Make Array Non Decreasing</t>
  </si>
  <si>
    <t>Greedy Stack</t>
  </si>
  <si>
    <t>Greedy Stack: Merge decreasing runs from the left, counting the operations needed to make the array non-decreasing.</t>
  </si>
  <si>
    <t>https://leetcode.com/problems/minimum-operations-to-make-array-non-decreasing/</t>
  </si>
  <si>
    <t>Maximize Fixed Points After Deletions</t>
  </si>
  <si>
    <t>Greedy/DP Matching</t>
  </si>
  <si>
    <t>Greedy/DP Matching: Maximize indices where value equals position after deletions via a matching DP.</t>
  </si>
  <si>
    <t>https://leetcode.com/problems/maximize-fixed-points-after-deletions/</t>
  </si>
  <si>
    <t>Minimum Cost to Buy Apples II</t>
  </si>
  <si>
    <t>Dijkstra</t>
  </si>
  <si>
    <t>Dijkstra: Model the buying choices as a weighted graph and run Dijkstra for the minimum total cost.</t>
  </si>
  <si>
    <t>https://leetcode.com/problems/minimum-cost-to-buy-apples-ii/</t>
  </si>
  <si>
    <t>🎯  TECHNICAL INTERVIEW PREP — MASTER PLAN</t>
  </si>
  <si>
    <t>Target: 500+ Problems  |  Daily: 2 hrs DSA + 1 hr System Design  |  Total Duration: ~16 Weeks</t>
  </si>
  <si>
    <t>STUDY PHASES OVERVIEW</t>
  </si>
  <si>
    <t>Phase</t>
  </si>
  <si>
    <t>Weeks</t>
  </si>
  <si>
    <t>DSA Focus Area</t>
  </si>
  <si>
    <t>Key Concepts</t>
  </si>
  <si>
    <t>Problem Count Target</t>
  </si>
  <si>
    <t>System Design Topic</t>
  </si>
  <si>
    <t>Daily DSA Time</t>
  </si>
  <si>
    <t>Daily SD Time</t>
  </si>
  <si>
    <t>Difficulty Mix</t>
  </si>
  <si>
    <t>Cumulative Problems</t>
  </si>
  <si>
    <t>Phase 1</t>
  </si>
  <si>
    <t>Wks 1–2</t>
  </si>
  <si>
    <t>Foundations</t>
  </si>
  <si>
    <t>Arrays, Strings, Hashing, Two Pointers, Sliding Window</t>
  </si>
  <si>
    <t>Scalability &amp; Basics</t>
  </si>
  <si>
    <t>90 min</t>
  </si>
  <si>
    <t>30 min</t>
  </si>
  <si>
    <t>80% Easy / 20% Med</t>
  </si>
  <si>
    <t>60</t>
  </si>
  <si>
    <t>Phase 2</t>
  </si>
  <si>
    <t>Wks 3–4</t>
  </si>
  <si>
    <t>Linear Structures</t>
  </si>
  <si>
    <t>Linked Lists, Stacks, Queues, Monotonic Structures</t>
  </si>
  <si>
    <t>Storage &amp; Caching</t>
  </si>
  <si>
    <t>60% Easy / 40% Med</t>
  </si>
  <si>
    <t>120</t>
  </si>
  <si>
    <t>Phase 3</t>
  </si>
  <si>
    <t>Wks 5–6</t>
  </si>
  <si>
    <t>Trees &amp; Graphs</t>
  </si>
  <si>
    <t>Binary Trees, BST, Tries, Graph BFS/DFS, Union-Find</t>
  </si>
  <si>
    <t>Distributed Systems Intro</t>
  </si>
  <si>
    <t>80 min</t>
  </si>
  <si>
    <t>40 min</t>
  </si>
  <si>
    <t>40% Easy / 50% Med / 10% Hard</t>
  </si>
  <si>
    <t>200</t>
  </si>
  <si>
    <t>Phase 4</t>
  </si>
  <si>
    <t>Wks 7–8</t>
  </si>
  <si>
    <t>Recursion &amp; DP</t>
  </si>
  <si>
    <t>Backtracking, 1D DP, 2D DP, Greedy</t>
  </si>
  <si>
    <t>Design Deep Dives I</t>
  </si>
  <si>
    <t>70 min</t>
  </si>
  <si>
    <t>50 min</t>
  </si>
  <si>
    <t>20% Easy / 60% Med / 20% Hard</t>
  </si>
  <si>
    <t>280</t>
  </si>
  <si>
    <t>Phase 5</t>
  </si>
  <si>
    <t>Wks 9–10</t>
  </si>
  <si>
    <t>Advanced Algorithms</t>
  </si>
  <si>
    <t>Heaps, Advanced Graphs, Intervals, Bit Manipulation</t>
  </si>
  <si>
    <t>Design Deep Dives II</t>
  </si>
  <si>
    <t>60 min</t>
  </si>
  <si>
    <t>10% Easy / 60% Med / 30% Hard</t>
  </si>
  <si>
    <t>350</t>
  </si>
  <si>
    <t>Phase 6</t>
  </si>
  <si>
    <t>Wks 11–12</t>
  </si>
  <si>
    <t>Hard &amp; Patterns</t>
  </si>
  <si>
    <t>Hard DP, Advanced Trees, Segment Trees, Math</t>
  </si>
  <si>
    <t>Design Deep Dives III</t>
  </si>
  <si>
    <t>5% Easy / 50% Med / 45% Hard</t>
  </si>
  <si>
    <t>410</t>
  </si>
  <si>
    <t>Phase 7</t>
  </si>
  <si>
    <t>Wks 13–14</t>
  </si>
  <si>
    <t>Mock &amp; Review</t>
  </si>
  <si>
    <t>Mixed company-tagged sets, timed contests</t>
  </si>
  <si>
    <t>Full Mock System Designs</t>
  </si>
  <si>
    <t>Company-Specific Mix</t>
  </si>
  <si>
    <t>460</t>
  </si>
  <si>
    <t>Phase 8</t>
  </si>
  <si>
    <t>Wks 15–16</t>
  </si>
  <si>
    <t>Final Sprint</t>
  </si>
  <si>
    <t>Weak-area revisit, top 75 NeetCode revisit</t>
  </si>
  <si>
    <t>Behavioral + SD Combos</t>
  </si>
  <si>
    <t>45 min</t>
  </si>
  <si>
    <t>75 min</t>
  </si>
  <si>
    <t>Interview-Intensity</t>
  </si>
  <si>
    <t>500+</t>
  </si>
  <si>
    <t>📅  DAILY SCHEDULE TEMPLATE</t>
  </si>
  <si>
    <t>Time Block</t>
  </si>
  <si>
    <t>Duration</t>
  </si>
  <si>
    <t>Activity</t>
  </si>
  <si>
    <t>What To Do</t>
  </si>
  <si>
    <t>Block 1</t>
  </si>
  <si>
    <t>Warm-up / Review</t>
  </si>
  <si>
    <t>Re-read yesterday's notes, review 2–3 solved problems</t>
  </si>
  <si>
    <t>Active recall, not passive reading</t>
  </si>
  <si>
    <t>Block 2</t>
  </si>
  <si>
    <t>New DSA Topic</t>
  </si>
  <si>
    <t>Study concept deeply → understand intuition → code from scratch</t>
  </si>
  <si>
    <t>No copy-paste; understand WHY</t>
  </si>
  <si>
    <t>Block 3</t>
  </si>
  <si>
    <t>Practice Problems</t>
  </si>
  <si>
    <t>Solve 2–4 problems on current topic (timed: 20–25 min each)</t>
  </si>
  <si>
    <t>Track in Problem Log sheet</t>
  </si>
  <si>
    <t>Block 4</t>
  </si>
  <si>
    <t>System Design</t>
  </si>
  <si>
    <t>Study 1 SD concept + design a system end-to-end with trade-offs</t>
  </si>
  <si>
    <t>Use the SD sheet as checklist</t>
  </si>
  <si>
    <t>Buffer</t>
  </si>
  <si>
    <t>—</t>
  </si>
  <si>
    <t>Spaced Repetition</t>
  </si>
  <si>
    <t>Flag hard problems for re-attempt in 3/7/14 days</t>
  </si>
  <si>
    <t>Use the Retry Tracker sheet</t>
  </si>
  <si>
    <t>🧠  DSA TOPICS, KEY CONCEPTS &amp; MUST-SOLVE PROBLEMS</t>
  </si>
  <si>
    <t>Topic / Category</t>
  </si>
  <si>
    <t>Core Concepts to Understand</t>
  </si>
  <si>
    <t>Key Patterns &amp; Techniques</t>
  </si>
  <si>
    <t>Must-Solve Problems (LeetCode)</t>
  </si>
  <si>
    <t># Problems</t>
  </si>
  <si>
    <t>Concept Tags</t>
  </si>
  <si>
    <t>Notes / Tips</t>
  </si>
  <si>
    <t>Mastery Level</t>
  </si>
  <si>
    <t>Arrays &amp; Hashing</t>
  </si>
  <si>
    <t>Contiguous memory, index ops, hash maps for O(1) lookup, frequency counting</t>
  </si>
  <si>
    <t>Two-pass counting, complement lookup, prefix sum</t>
  </si>
  <si>
    <t>Two Sum (1), Contains Duplicate (217), Valid Anagram (242), Group Anagrams (49), Top K Frequent (347), Product of Array Except Self (238), Encode/Decode Strings (659), Longest Consecutive Sequence (128)</t>
  </si>
  <si>
    <t>E/M</t>
  </si>
  <si>
    <t>Arrays, Hashing, Frequency</t>
  </si>
  <si>
    <t>Master HashMap before moving on</t>
  </si>
  <si>
    <t>⬜ Not Started</t>
  </si>
  <si>
    <t>Opposite-end pointers, same-direction pointers, fast/slow trick</t>
  </si>
  <si>
    <t>Sorted array scan, palindrome check, pair/triplet sums</t>
  </si>
  <si>
    <t>Valid Palindrome (125), Two Sum II (167), 3Sum (15), Container With Most Water (11), Trapping Rain Water (42)</t>
  </si>
  <si>
    <t>E/M/H</t>
  </si>
  <si>
    <t>Two Pointers, Sorting</t>
  </si>
  <si>
    <t>Trapping Rain Water is a must-understand</t>
  </si>
  <si>
    <t>Fixed &amp; variable window, window expansion/contraction, maintaining invariants</t>
  </si>
  <si>
    <t>Max/min subarray, distinct chars window, at-most-K variants</t>
  </si>
  <si>
    <t>Best Time to Buy &amp; Sell Stock (121), Longest Substring Without Repeating (3), Longest Repeating Character Replacement (424), Permutation in String (567), Minimum Window Substring (76), Sliding Window Maximum (239)</t>
  </si>
  <si>
    <t>Sliding Window, Strings</t>
  </si>
  <si>
    <t>Variable window is trickier — master contraction logic</t>
  </si>
  <si>
    <t>LIFO, monotonic stack, call stack simulation</t>
  </si>
  <si>
    <t>Next greater/smaller element, parenthesis matching, calculator eval</t>
  </si>
  <si>
    <t>Valid Parentheses (20), Min Stack (155), Evaluate Reverse Polish (150), Generate Parentheses (22), Daily Temperatures (739), Car Fleet (853), Largest Rectangle in Histogram (84)</t>
  </si>
  <si>
    <t>Stack, Monotonic Stack</t>
  </si>
  <si>
    <t>Monotonic stack pattern appears often in contests</t>
  </si>
  <si>
    <t>Linked Lists</t>
  </si>
  <si>
    <t>Node structure, pointer manipulation, dummy nodes, cycle detection</t>
  </si>
  <si>
    <t>Fast/slow pointers, reversal, merge, intersection</t>
  </si>
  <si>
    <t>Reverse Linked List (206), Merge Two Sorted Lists (21), Reorder List (143), Remove Nth Node (19), Copy List with Random Pointer (138), LRU Cache (146), Merge K Sorted Lists (23), Reverse Nodes in K-Group (25)</t>
  </si>
  <si>
    <t>Draw diagrams; pointer bugs are common</t>
  </si>
  <si>
    <t>Search space reduction, invariant maintenance, boundary conditions</t>
  </si>
  <si>
    <t>Left/right bisect, rotated array, search on answer (parametric)</t>
  </si>
  <si>
    <t>Binary Search (704), Search in Rotated Array (33), Find Minimum in Rotated Array (153), Search 2D Matrix (74), Koko Eating Bananas (875), Find in Mountain Array (1095), Median of Two Sorted Arrays (4)</t>
  </si>
  <si>
    <t>Binary Search, Divide &amp; Conquer</t>
  </si>
  <si>
    <t>Off-by-one in lo/hi is the classic bug</t>
  </si>
  <si>
    <t>Trees — Basics</t>
  </si>
  <si>
    <t>DFS (pre/in/post), BFS (level order), height, diameter, LCA</t>
  </si>
  <si>
    <t>Recursive tree traversal, iterative with stack/queue</t>
  </si>
  <si>
    <t>Invert Binary Tree (226), Max Depth (104), Diameter of Binary Tree (543), Balanced Binary Tree (110), Same Tree (100), Subtree of Another Tree (572), Level Order Traversal (102), Right Side View (199)</t>
  </si>
  <si>
    <t>Trees, DFS, BFS</t>
  </si>
  <si>
    <t>Understand recursion return values clearly</t>
  </si>
  <si>
    <t>Trees — BST</t>
  </si>
  <si>
    <t>BST property, in-order gives sorted order, predecessor/successor</t>
  </si>
  <si>
    <t>Validation, range checks, kth smallest via in-order</t>
  </si>
  <si>
    <t>Lowest Common Ancestor BST (235), Insert into BST (701), Delete Node BST (450), Kth Smallest (230), Validate BST (98), Construct BST from Preorder (1008)</t>
  </si>
  <si>
    <t>BST, In-order</t>
  </si>
  <si>
    <t>In-order traversal is the BST superpower</t>
  </si>
  <si>
    <t>Tries</t>
  </si>
  <si>
    <t>Prefix tree, TrieNode structure, insert/search/startsWith</t>
  </si>
  <si>
    <t>Word search with backtracking, auto-complete, prefix frequency</t>
  </si>
  <si>
    <t>Implement Trie (208), Design Add and Search Words (211), Word Search II (212), Longest Word in Dictionary (720)</t>
  </si>
  <si>
    <t>M/H</t>
  </si>
  <si>
    <t>Trie, Strings</t>
  </si>
  <si>
    <t>Word Search II combines Trie + backtracking</t>
  </si>
  <si>
    <t>Min-heap, max-heap, heapify, heap invariant, k-way merge</t>
  </si>
  <si>
    <t>Top-K pattern, streaming median, interval scheduling</t>
  </si>
  <si>
    <t>Kth Largest Element (215), K Closest Points (973), Task Scheduler (621), Design Twitter (355), Find Median from Data Stream (295), Merge K Sorted Lists (23), Top K Frequent (347)</t>
  </si>
  <si>
    <t>Heap, Priority Queue</t>
  </si>
  <si>
    <t>Python: heapq; Java: PriorityQueue; negate for max-heap</t>
  </si>
  <si>
    <t>Graphs — BFS/DFS</t>
  </si>
  <si>
    <t>Adjacency list/matrix, visited array, connected components, cycle detection</t>
  </si>
  <si>
    <t>Island counting, shortest path (BFS), topological sort</t>
  </si>
  <si>
    <t>Number of Islands (200), Clone Graph (133), Pacific Atlantic Water Flow (417), Surrounded Regions (130), Rotting Oranges (994), Walls and Gates (286), Course Schedule (207), Course Schedule II (210)</t>
  </si>
  <si>
    <t>Know both recursive DFS and iterative BFS</t>
  </si>
  <si>
    <t>Advanced Graphs</t>
  </si>
  <si>
    <t>Dijkstra, Bellman-Ford, Union-Find, Minimum Spanning Tree, SCC</t>
  </si>
  <si>
    <t>Shortest paths, disjoint sets, Kruskal, Floyd-Warshall</t>
  </si>
  <si>
    <t>Network Delay Time (743), Swim in Rising Water (778), Alien Dictionary (269), Cheapest Flights K Stops (787), Min Cost to Connect Points (1584), Reconstruct Itinerary (332), Word Ladder (127)</t>
  </si>
  <si>
    <t>H</t>
  </si>
  <si>
    <t>Dijkstra, Union-Find, MST</t>
  </si>
  <si>
    <t>Understand when to use which algorithm</t>
  </si>
  <si>
    <t>1D Dynamic Programming</t>
  </si>
  <si>
    <t>Optimal substructure, overlapping subproblems, memoization vs tabulation</t>
  </si>
  <si>
    <t>Fibonacci pattern, knapsack pattern, decision DP</t>
  </si>
  <si>
    <t>Climbing Stairs (70), House Robber (198), House Robber II (213), Longest Palindromic Substring (5), Palindromic Substrings (647), Decode Ways (91), Coin Change (322), Max Product Subarray (152), Word Break (139), Longest Increasing Subsequence (300)</t>
  </si>
  <si>
    <t>DP 1D, Memoization</t>
  </si>
  <si>
    <t>Always define dp[i] meaning precisely before coding</t>
  </si>
  <si>
    <t>2D Dynamic Programming</t>
  </si>
  <si>
    <t>Grid DP, string comparison DP, interval DP, state machine DP</t>
  </si>
  <si>
    <t>Unique paths, edit distance, LCS, matrix chain</t>
  </si>
  <si>
    <t>Unique Paths (62), Longest Common Subsequence (1143), Best Time to Buy/Sell III (123), Best Time to Buy/Sell IV (188), Edit Distance (72), Interleaving String (97), Longest Increasing Path in Matrix (329), Distinct Subsequences (115), Burst Balloons (312), Regular Expression Matching (10)</t>
  </si>
  <si>
    <t>DP 2D, LCS, Edit Distance</t>
  </si>
  <si>
    <t>Draw the DP table; transitions become obvious</t>
  </si>
  <si>
    <t>State-space tree, pruning, decision tree, permutation/combination generation</t>
  </si>
  <si>
    <t>Choose-explore-unchoose, constraint pruning, bitmask state</t>
  </si>
  <si>
    <t>Subsets (78), Combination Sum (39), Combination Sum II (40), Permutations (46), Word Search (79), Palindrome Partitioning (131), Letter Combinations (17), N-Queens (51), Sudoku Solver (37)</t>
  </si>
  <si>
    <t>Backtracking, Recursion</t>
  </si>
  <si>
    <t>Draw the decision tree first</t>
  </si>
  <si>
    <t>Local optimum leads to global, exchange argument, sorting-based greedy</t>
  </si>
  <si>
    <t>Interval greedy, activity selection, jump game</t>
  </si>
  <si>
    <t>Jump Game (55), Jump Game II (45), Gas Station (134), Hand of Straights (846), Merge Triplets (1899), Partition Labels (763), Valid Parenthesis String (678), Non-overlapping Intervals (435), Meeting Rooms II (253)</t>
  </si>
  <si>
    <t>Greedy, Intervals</t>
  </si>
  <si>
    <t>Prove greedy works via exchange argument</t>
  </si>
  <si>
    <t>Intervals</t>
  </si>
  <si>
    <t>Sorting by start/end, sweep line, event-based processing</t>
  </si>
  <si>
    <t>Merge, insert, overlap detection, scheduling</t>
  </si>
  <si>
    <t>Insert Interval (57), Merge Intervals (56), Non-overlapping Intervals (435), Meeting Rooms (252), Meeting Rooms II (253), Minimum Interval to Include Query (1851)</t>
  </si>
  <si>
    <t>Intervals, Sorting, Sweep Line</t>
  </si>
  <si>
    <t>Sort by start; handle tie-breaks by end</t>
  </si>
  <si>
    <t>AND/OR/XOR/NOT, bit shifts, two's complement, bitmask</t>
  </si>
  <si>
    <t>XOR for duplicates/missing, bit DP, subset enumeration</t>
  </si>
  <si>
    <t>Single Number (136), Number of 1 Bits (191), Counting Bits (338), Reverse Bits (190), Missing Number (268), Sum of Two Integers (371), Reverse Integer (7)</t>
  </si>
  <si>
    <t>XOR is the most interview-tested bit op</t>
  </si>
  <si>
    <t>Math &amp; Geometry</t>
  </si>
  <si>
    <t>Modular arithmetic, GCD/LCM, prime sieve, coordinate geometry</t>
  </si>
  <si>
    <t>Overflow handling, fast power, geometry intersection</t>
  </si>
  <si>
    <t>Rotate Image (48), Spiral Matrix (54), Set Matrix Zeroes (73), Happy Number (202), Plus One (66), Pow(x,n) (50), Multiply Strings (43), Detect Squares (2013)</t>
  </si>
  <si>
    <t>Math, Geometry, Matrix</t>
  </si>
  <si>
    <t>Understand rotate in-place trick</t>
  </si>
  <si>
    <t>Advanced Trees</t>
  </si>
  <si>
    <t>AVL concepts, Segment Trees, Fenwick Tree, Red-Black concepts</t>
  </si>
  <si>
    <t>Range queries, lazy propagation, order statistics</t>
  </si>
  <si>
    <t>Range Sum Query Mutable (307), Count of Smaller Numbers After Self (315), Reverse Pairs (493), My Calendar I/II (729/731), Falling Squares (699)</t>
  </si>
  <si>
    <t>Segment Tree, BIT, Advanced Trees</t>
  </si>
  <si>
    <t>Understand concept; BIT often sufficient in interviews</t>
  </si>
  <si>
    <t>📈  AGGREGATE PROGRESS DASHBOARD</t>
  </si>
  <si>
    <t>Mark each problem's Status in the 📊 Problem Tracker (column F). Everything below updates automatically — the Tracker is the single source of truth.</t>
  </si>
  <si>
    <t>OVERALL</t>
  </si>
  <si>
    <t>Total Unique</t>
  </si>
  <si>
    <t>✅ Solved</t>
  </si>
  <si>
    <t>🚧 In Progress</t>
  </si>
  <si>
    <t>🔁 Retry</t>
  </si>
  <si>
    <t>Remaining</t>
  </si>
  <si>
    <t>% Complete</t>
  </si>
  <si>
    <t>BY DIFFICULTY</t>
  </si>
  <si>
    <t>Total</t>
  </si>
  <si>
    <t>Progress</t>
  </si>
  <si>
    <t>BY PROBLEM LIST</t>
  </si>
  <si>
    <t>List</t>
  </si>
  <si>
    <t>🎯 Blind 75</t>
  </si>
  <si>
    <t>⚡ Grind 75</t>
  </si>
  <si>
    <t>🔥 Grind 169</t>
  </si>
  <si>
    <t>🚀 NeetCode 150</t>
  </si>
  <si>
    <t>🔵 Google</t>
  </si>
  <si>
    <t>🍎 Apple</t>
  </si>
  <si>
    <t>🔷 Meta</t>
  </si>
  <si>
    <t>🪟 Microsoft</t>
  </si>
  <si>
    <t>🚗 Uber</t>
  </si>
  <si>
    <t>📦 Amazon</t>
  </si>
  <si>
    <t>DSA TOPIC MASTERY</t>
  </si>
  <si>
    <t># Topics</t>
  </si>
  <si>
    <t>📖 Learning</t>
  </si>
  <si>
    <t>🛠️ Practiced</t>
  </si>
  <si>
    <t>💪 Confident</t>
  </si>
  <si>
    <t>🏆 Mastered</t>
  </si>
  <si>
    <t>SYSTEM DESIGN</t>
  </si>
  <si>
    <t>Track</t>
  </si>
  <si>
    <t>✅ Done</t>
  </si>
  <si>
    <t>Mock Designs</t>
  </si>
  <si>
    <t>Building Blocks</t>
  </si>
  <si>
    <t>🏗️  SYSTEM DESIGN — CONCEPTS, FRAMEWORKS &amp; MOCK DESIGNS</t>
  </si>
  <si>
    <t>SD INTERVIEW FRAMEWORK: Clarify Requirements → Estimate Scale → High-Level Design → Deep Dive → Trade-offs → Bottlenecks</t>
  </si>
  <si>
    <t>CORE BUILDING BLOCKS — Must Know Before Any Design</t>
  </si>
  <si>
    <t>Building Block</t>
  </si>
  <si>
    <t>What It Does</t>
  </si>
  <si>
    <t>When to Use</t>
  </si>
  <si>
    <t>Key Trade-offs</t>
  </si>
  <si>
    <t>Interview Keywords</t>
  </si>
  <si>
    <t>Study Resource</t>
  </si>
  <si>
    <t>Depth Required</t>
  </si>
  <si>
    <t>✓ Covered</t>
  </si>
  <si>
    <t>DNS &amp; CDN</t>
  </si>
  <si>
    <t>Domain resolution; edge caching of static/dynamic content</t>
  </si>
  <si>
    <t>Any global-scale service</t>
  </si>
  <si>
    <t>Cache invalidation; TTL vs consistency</t>
  </si>
  <si>
    <t>Anycast, PoP, Cache-Control, CloudFront</t>
  </si>
  <si>
    <t>ByteByteGo Cap 1</t>
  </si>
  <si>
    <t>Load Balancer</t>
  </si>
  <si>
    <t>Distributes traffic across servers; health checks</t>
  </si>
  <si>
    <t>Any service with &gt;1 server</t>
  </si>
  <si>
    <t>L4 vs L7; sticky sessions; SSL termination</t>
  </si>
  <si>
    <t>Round-robin, Least-conn, Consistent hash, NGINX</t>
  </si>
  <si>
    <t>ByteByteGo Cap 2</t>
  </si>
  <si>
    <t>High</t>
  </si>
  <si>
    <t>Horizontal Scaling</t>
  </si>
  <si>
    <t>Add more instances instead of bigger instances</t>
  </si>
  <si>
    <t>Stateless services</t>
  </si>
  <si>
    <t>Stateless design; session externalization</t>
  </si>
  <si>
    <t>Stateless, session store, auto-scaling group</t>
  </si>
  <si>
    <t>Designing Data-Intensive Apps</t>
  </si>
  <si>
    <t>Caching</t>
  </si>
  <si>
    <t>Redis/Memcached for hot data; multiple layers</t>
  </si>
  <si>
    <t>Read-heavy workloads</t>
  </si>
  <si>
    <t>Consistency, invalidation, thundering herd</t>
  </si>
  <si>
    <t>Cache-aside, Write-through, TTL, Eviction, LRU</t>
  </si>
  <si>
    <t>ByteByteGo Cap 4</t>
  </si>
  <si>
    <t>Message Queues</t>
  </si>
  <si>
    <t>Async decoupling; Kafka, RabbitMQ, SQS</t>
  </si>
  <si>
    <t>Event-driven, background jobs, fan-out</t>
  </si>
  <si>
    <t>At-least-once vs exactly-once; ordering</t>
  </si>
  <si>
    <t>Producer-Consumer, Pub-Sub, Partition, Offset, DLQ</t>
  </si>
  <si>
    <t>Kafka Definitive Guide</t>
  </si>
  <si>
    <t>Databases — SQL</t>
  </si>
  <si>
    <t>ACID transactions, relational model, B-tree index</t>
  </si>
  <si>
    <t>Structured relational data, complex queries</t>
  </si>
  <si>
    <t>Vertical scale limits; shard complexity</t>
  </si>
  <si>
    <t>Normalization, Index, ACID, Join, Partition</t>
  </si>
  <si>
    <t>Use The Index Luke</t>
  </si>
  <si>
    <t>Databases — NoSQL</t>
  </si>
  <si>
    <t>Document, KV, Wide-column, Graph stores</t>
  </si>
  <si>
    <t>Flexible schema, massive scale</t>
  </si>
  <si>
    <t>Eventual consistency; limited query patterns</t>
  </si>
  <si>
    <t>DynamoDB, Cassandra, MongoDB, BASE, CAP</t>
  </si>
  <si>
    <t>DDIA Ch 2</t>
  </si>
  <si>
    <t>Database Sharding</t>
  </si>
  <si>
    <t>Horizontal partitioning across DB nodes</t>
  </si>
  <si>
    <t>When single DB can't handle load</t>
  </si>
  <si>
    <t>Hotspot keys, cross-shard joins, rebalancing</t>
  </si>
  <si>
    <t>Shard key, Consistent hashing, Hotspot</t>
  </si>
  <si>
    <t>DDIA Ch 6</t>
  </si>
  <si>
    <t>Replication</t>
  </si>
  <si>
    <t>Primary-replica; multi-master for HA</t>
  </si>
  <si>
    <t>Read scaling; disaster recovery</t>
  </si>
  <si>
    <t>Replication lag; split-brain</t>
  </si>
  <si>
    <t>Leader election, WAL, Replica lag, Failover</t>
  </si>
  <si>
    <t>DDIA Ch 5</t>
  </si>
  <si>
    <t>Consistent Hashing</t>
  </si>
  <si>
    <t>Maps keys to nodes on a hash ring</t>
  </si>
  <si>
    <t>Distributed caches, load balancers</t>
  </si>
  <si>
    <t>Virtual nodes for uniform distribution</t>
  </si>
  <si>
    <t>Hash ring, Virtual nodes, Rendezvous hashing</t>
  </si>
  <si>
    <t>ByteByteGo Ch 5</t>
  </si>
  <si>
    <t>Rate Limiting</t>
  </si>
  <si>
    <t>Throttle requests per user/IP/token</t>
  </si>
  <si>
    <t>API protection, abuse prevention</t>
  </si>
  <si>
    <t>Distributed counters, accuracy vs overhead</t>
  </si>
  <si>
    <t>Token bucket, Leaky bucket, Sliding window, Redis</t>
  </si>
  <si>
    <t>ByteByteGo Ch 4</t>
  </si>
  <si>
    <t>API Design</t>
  </si>
  <si>
    <t>REST vs GraphQL vs gRPC; pagination; versioning</t>
  </si>
  <si>
    <t>Every service boundary</t>
  </si>
  <si>
    <t>Coupling, backward compat, latency</t>
  </si>
  <si>
    <t>REST, GraphQL, gRPC, Pagination cursor, Idempotency</t>
  </si>
  <si>
    <t>API Design Patterns (Geewax)</t>
  </si>
  <si>
    <t>Search (Inverted Index)</t>
  </si>
  <si>
    <t>Full-text search engine internals</t>
  </si>
  <si>
    <t>Text search features</t>
  </si>
  <si>
    <t>Freshness vs relevance; tokenization</t>
  </si>
  <si>
    <t>Inverted index, TF-IDF, Elasticsearch, Tokenizer</t>
  </si>
  <si>
    <t>Elasticsearch Docs</t>
  </si>
  <si>
    <t>Blob / Object Storage</t>
  </si>
  <si>
    <t>S3-style immutable object storage</t>
  </si>
  <si>
    <t>Images, video, large files</t>
  </si>
  <si>
    <t>Consistency model; multipart upload</t>
  </si>
  <si>
    <t>S3, GCS, Multipart, Presigned URL, Lifecycle</t>
  </si>
  <si>
    <t>AWS S3 Docs</t>
  </si>
  <si>
    <t>Stream Processing</t>
  </si>
  <si>
    <t>Real-time data pipeline; Flink, Spark Streaming</t>
  </si>
  <si>
    <t>Analytics, notifications, fraud</t>
  </si>
  <si>
    <t>State management; exactly-once semantics</t>
  </si>
  <si>
    <t>Kafka Streams, Flink, Watermark, Window, Checkpointing</t>
  </si>
  <si>
    <t>Flink Docs</t>
  </si>
  <si>
    <t>Distributed Transactions</t>
  </si>
  <si>
    <t>Saga, 2PC, TCC for cross-service atomicity</t>
  </si>
  <si>
    <t>Multi-service write coordination</t>
  </si>
  <si>
    <t>Complexity; partial failures; rollback</t>
  </si>
  <si>
    <t>Saga, Choreography, Orchestration, 2PC, TCC</t>
  </si>
  <si>
    <t>DDIA Ch 9</t>
  </si>
  <si>
    <t>Observability</t>
  </si>
  <si>
    <t>Metrics, Logs, Traces; SLO/SLA/SLI</t>
  </si>
  <si>
    <t>Every production system</t>
  </si>
  <si>
    <t>Cardinality; sampling rate; cost</t>
  </si>
  <si>
    <t>Prometheus, Grafana, Jaeger, SLO, SLI, P99</t>
  </si>
  <si>
    <t>SRE Book</t>
  </si>
  <si>
    <t>Security Basics</t>
  </si>
  <si>
    <t>AuthN/AuthZ, OAuth2, JWT, HTTPS, RBAC</t>
  </si>
  <si>
    <t>Every system</t>
  </si>
  <si>
    <t>Token revocation; over-privilege</t>
  </si>
  <si>
    <t>OAuth2, JWT, mTLS, RBAC, CORS, CSRF</t>
  </si>
  <si>
    <t>Auth0 Docs, OWASP</t>
  </si>
  <si>
    <t>SYSTEM DESIGN MOCK PROBLEMS — 1 Per Day, Timed 45–60 Minutes</t>
  </si>
  <si>
    <t>System to Design</t>
  </si>
  <si>
    <t>Core Challenges</t>
  </si>
  <si>
    <t>Key Components</t>
  </si>
  <si>
    <t>Scale Target</t>
  </si>
  <si>
    <t>Bottlenecks to Discuss</t>
  </si>
  <si>
    <t>Trade-offs</t>
  </si>
  <si>
    <t>✓ Done</t>
  </si>
  <si>
    <t>URL Shortener (TinyURL)</t>
  </si>
  <si>
    <t>Hash collision, redirect latency, analytics</t>
  </si>
  <si>
    <t>KV store, Base62 encoding, Bloom filter</t>
  </si>
  <si>
    <t>100M URLs, 10B redirects/day</t>
  </si>
  <si>
    <t>Cache hot URLs, DB read replicas</t>
  </si>
  <si>
    <t>Custom alias vs random; hash vs counter</t>
  </si>
  <si>
    <t>Beginner</t>
  </si>
  <si>
    <t>Rate Limiter</t>
  </si>
  <si>
    <t>Distributed counters, multi-data-center</t>
  </si>
  <si>
    <t>Redis + Lua script, sliding window</t>
  </si>
  <si>
    <t>10K RPS per user</t>
  </si>
  <si>
    <t>Redis cluster; clock skew</t>
  </si>
  <si>
    <t>Exact vs approx counting; local vs global</t>
  </si>
  <si>
    <t>Key-Value Store</t>
  </si>
  <si>
    <t>Consistent hashing, replication, compaction</t>
  </si>
  <si>
    <t>Ring, LSM tree, WAL, Gossip protocol</t>
  </si>
  <si>
    <t>10K writes/sec, 100K reads/sec</t>
  </si>
  <si>
    <t>Hot partitions, GC pauses</t>
  </si>
  <si>
    <t>Consistency levels; read-repair vs quorum</t>
  </si>
  <si>
    <t>Intermediate</t>
  </si>
  <si>
    <t>Unique ID Generator</t>
  </si>
  <si>
    <t>Clock skew, monotonic ordering, multi-DC</t>
  </si>
  <si>
    <t>Snowflake ID, UUID v4, DB sequences</t>
  </si>
  <si>
    <t>100K IDs/sec, globally unique</t>
  </si>
  <si>
    <t>Time sync; NTP drift</t>
  </si>
  <si>
    <t>Ordered vs random; size tradeoffs</t>
  </si>
  <si>
    <t>Politeness, dedup, URL frontier priority</t>
  </si>
  <si>
    <t>BFS queue, Bloom filter, DNS cache, Robot.txt parser</t>
  </si>
  <si>
    <t>1B pages/month</t>
  </si>
  <si>
    <t>DNS lookup bottleneck; duplicate content</t>
  </si>
  <si>
    <t>BFS vs DFS; centralized vs distributed</t>
  </si>
  <si>
    <t>Notification System</t>
  </si>
  <si>
    <t>Fan-out on write vs read, delivery guarantee</t>
  </si>
  <si>
    <t>Kafka, push/email/SMS workers, user prefs DB</t>
  </si>
  <si>
    <t>10M notifications/day</t>
  </si>
  <si>
    <t>Celebrity problem, mobile push limits</t>
  </si>
  <si>
    <t>Exactly-once vs at-least-once; freshness</t>
  </si>
  <si>
    <t>News Feed (Facebook/Twitter)</t>
  </si>
  <si>
    <t>Fan-out, feed ranking, hot celebrity</t>
  </si>
  <si>
    <t>Write/read fan-out hybrid, Redis feed cache, ML rank</t>
  </si>
  <si>
    <t>500M DAU, 5M posts/day</t>
  </si>
  <si>
    <t>Celeb accounts (50M followers)</t>
  </si>
  <si>
    <t>Hybrid fan-out threshold; pre-compute vs lazy</t>
  </si>
  <si>
    <t>Chat System (WhatsApp)</t>
  </si>
  <si>
    <t>Real-time delivery, presence, message ordering</t>
  </si>
  <si>
    <t>WebSocket, Kafka, Cassandra (time-series), Redis presence</t>
  </si>
  <si>
    <t>2B users, 100B messages/day</t>
  </si>
  <si>
    <t>Connection servers scaling; message ordering</t>
  </si>
  <si>
    <t>End-to-end encrypt; store vs ephemeral</t>
  </si>
  <si>
    <t>Search Autocomplete</t>
  </si>
  <si>
    <t>Prefix trie, top-K tracking, latency budget</t>
  </si>
  <si>
    <t>Distributed trie, Redis ZSET, data aggregation pipeline</t>
  </si>
  <si>
    <t>10M queries/sec, p99 &lt; 100ms</t>
  </si>
  <si>
    <t>Trie rebalancing; stale suggestions</t>
  </si>
  <si>
    <t>Exact vs fuzzy; personalization</t>
  </si>
  <si>
    <t>Advanced</t>
  </si>
  <si>
    <t>YouTube / Video Platform</t>
  </si>
  <si>
    <t>Upload pipeline, streaming, CDN, transcoding</t>
  </si>
  <si>
    <t>Object storage, transcoding queue, CDN, HLS/DASH</t>
  </si>
  <si>
    <t>1B hours viewed/day, 500h video uploaded/min</t>
  </si>
  <si>
    <t>Transcoding farm capacity; CDN egress cost</t>
  </si>
  <si>
    <t>ABR streaming; copyright detection</t>
  </si>
  <si>
    <t>Ride-Sharing (Uber)</t>
  </si>
  <si>
    <t>Real-time matching, location updates, surge</t>
  </si>
  <si>
    <t>WebSocket, geospatial index (QuadTree/S2), Kafka</t>
  </si>
  <si>
    <t>5M trips/day, 500K active drivers</t>
  </si>
  <si>
    <t>Location update write volume; matching latency</t>
  </si>
  <si>
    <t>Strong vs eventual for driver location</t>
  </si>
  <si>
    <t>Hotel Booking (Airbnb)</t>
  </si>
  <si>
    <t>Double booking prevention, search, payments</t>
  </si>
  <si>
    <t>Distributed lock / idempotency, Elasticsearch, Stripe</t>
  </si>
  <si>
    <t>10M listings, 1M bookings/day</t>
  </si>
  <si>
    <t>Race condition on last room; search freshness</t>
  </si>
  <si>
    <t>Optimistic vs pessimistic locking</t>
  </si>
  <si>
    <t>Google Drive / File Storage</t>
  </si>
  <si>
    <t>Chunked upload, sync, conflict resolution</t>
  </si>
  <si>
    <t>Chunking, delta sync, metadata DB, S3</t>
  </si>
  <si>
    <t>100M users, 1B files</t>
  </si>
  <si>
    <t>Delta sync bandwidth; conflict resolution</t>
  </si>
  <si>
    <t>Client-side delta vs server-side; CRDT</t>
  </si>
  <si>
    <t>Stock Exchange</t>
  </si>
  <si>
    <t>Matching engine, order book, ACID trades</t>
  </si>
  <si>
    <t>In-memory order book, event sourcing, CQRS</t>
  </si>
  <si>
    <t>1M orders/sec, microsecond matching</t>
  </si>
  <si>
    <t>Single-threaded matching engine; overflow</t>
  </si>
  <si>
    <t>Price-time priority; circuit breakers</t>
  </si>
  <si>
    <t>Expert</t>
  </si>
  <si>
    <t>Distributed Message Queue (Kafka-like)</t>
  </si>
  <si>
    <t>Durability, ordering, consumer groups</t>
  </si>
  <si>
    <t>Partitioned log, ISR, ZooKeeper/KRaft</t>
  </si>
  <si>
    <t>1M messages/sec, 30-day retention</t>
  </si>
  <si>
    <t>Disk I/O, replication lag, compaction</t>
  </si>
  <si>
    <t>At-least-once vs exactly-once; async vs sync</t>
  </si>
  <si>
    <t>Ad Click Aggregator</t>
  </si>
  <si>
    <t>Real-time stream + batch lambda, dedup</t>
  </si>
  <si>
    <t>Kafka, Flink, ClickHouse, Bloom filter dedup</t>
  </si>
  <si>
    <t>1B clicks/day, report in 1 min</t>
  </si>
  <si>
    <t>Late data, dedup at scale</t>
  </si>
  <si>
    <t>Lambda vs Kappa; accuracy vs freshness</t>
  </si>
  <si>
    <t>🗣️  BEHAVIORAL PREP — STAR STORIES</t>
  </si>
  <si>
    <t>STAR = Situation · Task · Action · Result.  Draft 1–2 crisp, quantified stories per competency and reuse them across questions.  Keep the Result measurable (%, $, time, scale).  Most rows map to an Amazon Leadership Principle — but they work for any company.</t>
  </si>
  <si>
    <t>STAR STORY BANK</t>
  </si>
  <si>
    <t>Theme / Story Title</t>
  </si>
  <si>
    <t>Competency</t>
  </si>
  <si>
    <t>Common Questions It Answers</t>
  </si>
  <si>
    <t>S — Situation</t>
  </si>
  <si>
    <t>T — Task</t>
  </si>
  <si>
    <t>A — Action</t>
  </si>
  <si>
    <t>R — Result (quantify!)</t>
  </si>
  <si>
    <t>Maps To (Amazon LP)</t>
  </si>
  <si>
    <t>Status</t>
  </si>
  <si>
    <t>Ex</t>
  </si>
  <si>
    <t>‹EXAMPLE — replace with your own›</t>
  </si>
  <si>
    <t>Ownership</t>
  </si>
  <si>
    <t>Took ownership beyond role</t>
  </si>
  <si>
    <t>A data-ingest service was dropping batches silently in production and no one owned it.</t>
  </si>
  <si>
    <t>I volunteered to stabilize it before the next release.</t>
  </si>
  <si>
    <t>Added structured logging, root-caused the dropped batches, and drove a cross-team fix.</t>
  </si>
  <si>
    <t>Cut data-loss incidents to ~0 and reduced on-call pages by ~70% over two months.</t>
  </si>
  <si>
    <t>✅ Ready</t>
  </si>
  <si>
    <t>Tell me about a time you took ownership of something beyond your role.</t>
  </si>
  <si>
    <t>⬜ Not Drafted</t>
  </si>
  <si>
    <t>Customer Focus</t>
  </si>
  <si>
    <t>Describe a time you went above and beyond for a customer or end user.</t>
  </si>
  <si>
    <t>Customer Obsession</t>
  </si>
  <si>
    <t>Failure / Lessons</t>
  </si>
  <si>
    <t>Tell me about a time you failed. What did you learn?</t>
  </si>
  <si>
    <t>Learn and Be Curious</t>
  </si>
  <si>
    <t>Conflict / Trust</t>
  </si>
  <si>
    <t>Describe a conflict with a teammate and how you resolved it.</t>
  </si>
  <si>
    <t>Earn Trust</t>
  </si>
  <si>
    <t>Disagreeing Up</t>
  </si>
  <si>
    <t>Tell me about a time you disagreed with your manager or a decision.</t>
  </si>
  <si>
    <t>Have Backbone; Disagree and Commit</t>
  </si>
  <si>
    <t>Ambiguity</t>
  </si>
  <si>
    <t>Describe a time you had to act with incomplete information.</t>
  </si>
  <si>
    <t>Bias for Action</t>
  </si>
  <si>
    <t>Tight Deadline</t>
  </si>
  <si>
    <t>Tell me about a time you delivered under significant time pressure.</t>
  </si>
  <si>
    <t>Deliver Results</t>
  </si>
  <si>
    <t>Innovation / Simplify</t>
  </si>
  <si>
    <t>Tell me about a time you invented or simplified a process.</t>
  </si>
  <si>
    <t>Invent and Simplify</t>
  </si>
  <si>
    <t>Highest Standards</t>
  </si>
  <si>
    <t>Tell me about a time you refused to compromise on quality.</t>
  </si>
  <si>
    <t>Insist on the Highest Standards</t>
  </si>
  <si>
    <t>Developing Others</t>
  </si>
  <si>
    <t>Tell me about a time you mentored or grew someone.</t>
  </si>
  <si>
    <t>Hire and Develop the Best</t>
  </si>
  <si>
    <t>Data / Deep Dive</t>
  </si>
  <si>
    <t>Tell me about a time data changed your decision.</t>
  </si>
  <si>
    <t>Dive Deep</t>
  </si>
  <si>
    <t>Long-Term Thinking</t>
  </si>
  <si>
    <t>Tell me about a time you chose the long-term win over a quick fix.</t>
  </si>
  <si>
    <t>Think Big</t>
  </si>
  <si>
    <t>Competing Priorities</t>
  </si>
  <si>
    <t>How did you handle several high-priority tasks at once?</t>
  </si>
  <si>
    <t>Learning Fast</t>
  </si>
  <si>
    <t>Tell me about a time you ramped up on something unfamiliar quickly.</t>
  </si>
  <si>
    <t>Doing More with Less</t>
  </si>
  <si>
    <t>Tell me about a time you achieved more with limited resources.</t>
  </si>
  <si>
    <t>Frugality</t>
  </si>
  <si>
    <t>AMAZON LEADERSHIP PRINCIPLES — QUICK REFERENCE</t>
  </si>
  <si>
    <t>Leadership Principle</t>
  </si>
  <si>
    <t>What It Means (one line)</t>
  </si>
  <si>
    <t>Start from the customer and work backwards; earn and keep their trust.</t>
  </si>
  <si>
    <t>Think long-term, act on behalf of the whole company, never say 'not my job'.</t>
  </si>
  <si>
    <t>Seek new ideas from everywhere; simplify as you scale.</t>
  </si>
  <si>
    <t>Are Right, A Lot</t>
  </si>
  <si>
    <t>Strong judgment; seek diverse perspectives and disconfirm your own beliefs.</t>
  </si>
  <si>
    <t>Always improving; curious about new possibilities.</t>
  </si>
  <si>
    <t>Raise the bar; coach others and build leaders.</t>
  </si>
  <si>
    <t>Relentlessly high bar; defects don't move downstream.</t>
  </si>
  <si>
    <t>Bold direction that inspires results; think differently.</t>
  </si>
  <si>
    <t>Speed matters; many decisions are reversible (two-way doors).</t>
  </si>
  <si>
    <t>Do more with less; constraints breed resourcefulness.</t>
  </si>
  <si>
    <t>Listen, speak candidly, treat others respectfully, admit mistakes.</t>
  </si>
  <si>
    <t>Stay connected to details, audit frequently, no task beneath you.</t>
  </si>
  <si>
    <t>Challenge respectfully, then fully commit once decided.</t>
  </si>
  <si>
    <t>Focus on key inputs, deliver with quality and on time.</t>
  </si>
  <si>
    <t>Strive to be Earth's Best Employer</t>
  </si>
  <si>
    <t>Safer, more productive, empathetic work environment for all.</t>
  </si>
  <si>
    <t>Success and Scale Bring Broad Responsibility</t>
  </si>
  <si>
    <t>Be humble; consider the broader impact of decisions.</t>
  </si>
  <si>
    <t>📅  16-WEEK DETAILED SCHEDULE — DSA + SYSTEM DESIGN</t>
  </si>
  <si>
    <t>Week</t>
  </si>
  <si>
    <t>DSA Topic (Days 1-5)</t>
  </si>
  <si>
    <t>Problems to Solve</t>
  </si>
  <si>
    <t>Target Problem Count</t>
  </si>
  <si>
    <t>SD Deep Dive</t>
  </si>
  <si>
    <t>Key Goal</t>
  </si>
  <si>
    <t>Checkpoint</t>
  </si>
  <si>
    <t>Two Sum, Valid Anagram, Contains Duplicate, Group Anagrams, Top K Frequent, Product Except Self, Longest Consecutive Sequence</t>
  </si>
  <si>
    <t>Scalability 101: vertical vs horizontal, CAP theorem basics</t>
  </si>
  <si>
    <t>Understand SLA, SLO, SLI; latency vs throughput</t>
  </si>
  <si>
    <t>Nail HashMap O(1) lookups</t>
  </si>
  <si>
    <t>Can you solve Two Sum 5 ways?</t>
  </si>
  <si>
    <t>Two Pointers + Sliding Window</t>
  </si>
  <si>
    <t>Valid Palindrome, 3Sum, Container With Most Water, Best Time Buy/Sell, Longest Substring No Repeat, Min Window Substring</t>
  </si>
  <si>
    <t>Load Balancers deep dive: L4 vs L7, algorithms</t>
  </si>
  <si>
    <t>Design a simple API gateway</t>
  </si>
  <si>
    <t>Master variable-window pattern</t>
  </si>
  <si>
    <t>Solve Min Window Substring from scratch</t>
  </si>
  <si>
    <t>Stack + Queues</t>
  </si>
  <si>
    <t>Valid Parentheses, Min Stack, Daily Temperatures, Car Fleet, Largest Rectangle Histogram, Sliding Window Max</t>
  </si>
  <si>
    <t>Caching: Redis internals, eviction, cache patterns</t>
  </si>
  <si>
    <t>Design a distributed cache (Redis-like)</t>
  </si>
  <si>
    <t>Monotonic stack mastery</t>
  </si>
  <si>
    <t>Implement LRU Cache from memory</t>
  </si>
  <si>
    <t>Reverse LL, Merge Two Sorted, Reorder List, Remove Nth Node, LRU Cache, Merge K Sorted Lists</t>
  </si>
  <si>
    <t>Databases: SQL indexing, query planning, ACID</t>
  </si>
  <si>
    <t>Design URL shortener</t>
  </si>
  <si>
    <t>Pointer manipulation fluency</t>
  </si>
  <si>
    <t>No bugs in LL reversal</t>
  </si>
  <si>
    <t>Binary Search, Search Rotated Array, Find Min Rotated, Search 2D Matrix, Koko Eating Bananas, Median Two Arrays</t>
  </si>
  <si>
    <t>NoSQL: DynamoDB, Cassandra, consistency models</t>
  </si>
  <si>
    <t>Design a KV store</t>
  </si>
  <si>
    <t>Master search on answer</t>
  </si>
  <si>
    <t>Solve Median Two Arrays without hints</t>
  </si>
  <si>
    <t>Trees — BFS/DFS</t>
  </si>
  <si>
    <t>Invert Tree, Max Depth, Diameter, Level Order, Right Side View, Balanced Tree, Same Tree, Subtree</t>
  </si>
  <si>
    <t>API Design: REST principles, pagination, versioning</t>
  </si>
  <si>
    <t>Design Twitter API</t>
  </si>
  <si>
    <t>Tree recursion mental model</t>
  </si>
  <si>
    <t>Implement iterative in-order traversal</t>
  </si>
  <si>
    <t>BST + Trie</t>
  </si>
  <si>
    <t>LCA BST, Validate BST, Kth Smallest, Implement Trie, Add/Search Words, Word Search II</t>
  </si>
  <si>
    <t>Message Queues: Kafka architecture, partitions, consumer groups</t>
  </si>
  <si>
    <t>Design notification system</t>
  </si>
  <si>
    <t>BST in-order = sorted; Trie prefix power</t>
  </si>
  <si>
    <t>Build Trie from scratch</t>
  </si>
  <si>
    <t>Number of Islands, Clone Graph, Course Schedule I/II, Pacific Atlantic, Rotting Oranges, Word Ladder</t>
  </si>
  <si>
    <t>Consistent Hashing + Sharding</t>
  </si>
  <si>
    <t>Design distributed cache with sharding</t>
  </si>
  <si>
    <t>DFS/BFS template mastery</t>
  </si>
  <si>
    <t>Topological sort both BFS &amp; DFS</t>
  </si>
  <si>
    <t>1D DP</t>
  </si>
  <si>
    <t>Climbing Stairs, House Robber I/II, LIS, Coin Change, Word Break, Decode Ways, Palindromic Substrings, Max Product Subarray</t>
  </si>
  <si>
    <t>Rate Limiting deep dive: token bucket, leaky bucket</t>
  </si>
  <si>
    <t>Design API rate limiter</t>
  </si>
  <si>
    <t>Define dp[i] precisely before coding</t>
  </si>
  <si>
    <t>Coin Change bottom-up and top-down</t>
  </si>
  <si>
    <t>Backtracking + Greedy</t>
  </si>
  <si>
    <t>Subsets, Combination Sum I/II, Permutations, Palindrome Partitioning, N-Queens, Jump Game I/II, Gas Station</t>
  </si>
  <si>
    <t>Blob Storage + CDN: S3, CloudFront, presigned URLs</t>
  </si>
  <si>
    <t>Design photo sharing (Instagram)</t>
  </si>
  <si>
    <t>Decision tree visualization</t>
  </si>
  <si>
    <t>N-Queens with pruning from memory</t>
  </si>
  <si>
    <t>2D DP</t>
  </si>
  <si>
    <t>Unique Paths, LCS, Edit Distance, Interleaving String, Burst Balloons, Best Time Buy/Sell III/IV, Distinct Subsequences</t>
  </si>
  <si>
    <t>Search systems: Elasticsearch, inverted index, ranking</t>
  </si>
  <si>
    <t>Design type-ahead / autocomplete</t>
  </si>
  <si>
    <t>DP table transitions clarity</t>
  </si>
  <si>
    <t>Edit Distance with DP table drawn out</t>
  </si>
  <si>
    <t>Heaps + Intervals</t>
  </si>
  <si>
    <t>K Closest Points, Task Scheduler, Find Median Stream, Merge K Sorted, Non-Overlapping Intervals, Meeting Rooms II</t>
  </si>
  <si>
    <t>Real-time systems: WebSockets, long-polling, SSE</t>
  </si>
  <si>
    <t>Design chat application (WhatsApp)</t>
  </si>
  <si>
    <t>Heap invariants; interval sweep line</t>
  </si>
  <si>
    <t>Implement heap from scratch in Java</t>
  </si>
  <si>
    <t>Dijkstra problems, Union-Find, Min Cost Connect Points, Network Delay Time, Cheapest Flights K Stops, Alien Dictionary</t>
  </si>
  <si>
    <t>Video Streaming: HLS, DASH, transcoding pipeline</t>
  </si>
  <si>
    <t>Design YouTube</t>
  </si>
  <si>
    <t>Dijkstra vs BFS: weighted vs unweighted</t>
  </si>
  <si>
    <t>Implement Union-Find with path compression</t>
  </si>
  <si>
    <t>Hard DP + Bit Manip</t>
  </si>
  <si>
    <t>Regular Expr Matching, Wildcard Matching, Counting Bits, Single Number I/II/III, Sum Two Integers, Hard DP revisit</t>
  </si>
  <si>
    <t>Distributed transactions: Saga, 2PC; Observability stack</t>
  </si>
  <si>
    <t>Design booking system (Airbnb/Hotels)</t>
  </si>
  <si>
    <t>Hard DP pattern recognition</t>
  </si>
  <si>
    <t>Solve 3 hard DP in one sitting timed</t>
  </si>
  <si>
    <t>Mock Interviews — Mixed</t>
  </si>
  <si>
    <t>FAANG-tagged problems: Amazon 40, Google 40, Meta 30, Microsoft 30 — timed 45-min sessions per problem</t>
  </si>
  <si>
    <t>Full mock SDs: 60-min timed — Uber, Google Drive, Twitter</t>
  </si>
  <si>
    <t>Practice talking through design out loud</t>
  </si>
  <si>
    <t>Interview simulation under pressure</t>
  </si>
  <si>
    <t>Complete 2 full mock interviews</t>
  </si>
  <si>
    <t>Final Sprint + Revision</t>
  </si>
  <si>
    <t>Re-solve all flagged retry problems; NeetCode 75 speed run; any weak areas</t>
  </si>
  <si>
    <t>20+</t>
  </si>
  <si>
    <t>Review all SD building blocks; practice trade-off discussions</t>
  </si>
  <si>
    <t>Behavioral + SD combos</t>
  </si>
  <si>
    <t>Confidence &amp; polish</t>
  </si>
  <si>
    <t>Can you do any problem in under 25 min?</t>
  </si>
  <si>
    <t>⚡  PATTERN RECOGNITION CHEATSHEET — Identify the Pattern, Not Just the Problem</t>
  </si>
  <si>
    <t>Pattern</t>
  </si>
  <si>
    <t>Recognize When…</t>
  </si>
  <si>
    <t>Template / Approach</t>
  </si>
  <si>
    <t>Key Problems</t>
  </si>
  <si>
    <t>Gotchas</t>
  </si>
  <si>
    <t>Sliding Window (Variable)</t>
  </si>
  <si>
    <t>Max/min subarray satisfying a constraint; 'longest substring with...'</t>
  </si>
  <si>
    <t>Expand right pointer always; shrink left when constraint violated; track window state with map/int</t>
  </si>
  <si>
    <t>O(k) window size</t>
  </si>
  <si>
    <t>Min Window Substring, Longest Substring No Repeat, Fruit Into Baskets</t>
  </si>
  <si>
    <t>Define precisely when to shrink; avoid over-shrinking</t>
  </si>
  <si>
    <t>Two Pointers (Opposite Ends)</t>
  </si>
  <si>
    <t>Sorted array + pair/triplet sum; palindrome check; container problems</t>
  </si>
  <si>
    <t>lo=0, hi=n-1; move based on comparison to target; sort first if needed</t>
  </si>
  <si>
    <t>O(n log n) with sort</t>
  </si>
  <si>
    <t>3Sum, Container With Water, Trapping Rain Water</t>
  </si>
  <si>
    <t>Sort destroys index — use values; watch duplicate skipping in 3Sum</t>
  </si>
  <si>
    <t>Fast &amp; Slow Pointers</t>
  </si>
  <si>
    <t>Cycle detection, finding middle, kth from end</t>
  </si>
  <si>
    <t>slow=head, fast=head; slow moves 1, fast moves 2; check fast==slow for cycle</t>
  </si>
  <si>
    <t>Linked List Cycle, Find Duplicate Number, Happy Number</t>
  </si>
  <si>
    <t>For find duplicate: Floyd's cycle = detect, find entry = cycle start</t>
  </si>
  <si>
    <t>BFS (Level Order / Shortest Path)</t>
  </si>
  <si>
    <t>Shortest path in unweighted graph; level-by-level processing</t>
  </si>
  <si>
    <t>Queue with (node, dist/level); mark visited before enqueue not after dequeue</t>
  </si>
  <si>
    <t>Word Ladder, Rotting Oranges, Shortest Path in Binary Matrix</t>
  </si>
  <si>
    <t>Mark visited at enqueue time to avoid TLE</t>
  </si>
  <si>
    <t>DFS + Backtracking</t>
  </si>
  <si>
    <t>Generate all combinations/permutations/subsets; constraint satisfaction</t>
  </si>
  <si>
    <t>Choose → recurse → unchoose; prune early; track current path</t>
  </si>
  <si>
    <t>O(2^n) or O(n!)</t>
  </si>
  <si>
    <t>O(n) stack depth</t>
  </si>
  <si>
    <t>Subsets, Permutations, N-Queens, Sudoku Solver</t>
  </si>
  <si>
    <t>Draw decision tree first; add index param to avoid reuse</t>
  </si>
  <si>
    <t>Monotonic Stack (Decreasing)</t>
  </si>
  <si>
    <t>Next Greater Element; temperatures; histogram rectangle</t>
  </si>
  <si>
    <t>Maintain decreasing stack; pop when current &gt; stack top; record answer at pop time</t>
  </si>
  <si>
    <t>Daily Temperatures, Largest Rect Histogram, Trapping Rain Water</t>
  </si>
  <si>
    <t>Know whether to store index vs value in stack</t>
  </si>
  <si>
    <t>'Minimum maximum' or 'Maximum minimum'; feasibility function exists</t>
  </si>
  <si>
    <t>lo=min_val, hi=max_val; binary search; write isValid(mid) function</t>
  </si>
  <si>
    <t>O(n log(range))</t>
  </si>
  <si>
    <t>Koko Eating Bananas, Split Array Largest Sum, Capacity to Ship</t>
  </si>
  <si>
    <t>isValid() must be monotonic; think about lo/hi edge cases</t>
  </si>
  <si>
    <t>Top-K with Heap</t>
  </si>
  <si>
    <t>Kth largest/smallest; K most frequent; K closest</t>
  </si>
  <si>
    <t>Min-heap of size K for Kth largest; pop when size&gt;K; heap top = answer</t>
  </si>
  <si>
    <t>Kth Largest, K Closest Points, Top K Frequent, Find Median Stream</t>
  </si>
  <si>
    <t>Min-heap for top-K largest (counter-intuitive); max-heap for Kth smallest</t>
  </si>
  <si>
    <t>1D DP — Knapsack</t>
  </si>
  <si>
    <t>Include/exclude decision; optimal value with constraint</t>
  </si>
  <si>
    <t>dp[i] = max/min considering first i items; dp[i] = max(dp[i-1], dp[i-w]+val)</t>
  </si>
  <si>
    <t>O(n*W)</t>
  </si>
  <si>
    <t>O(n) or O(W) optimized</t>
  </si>
  <si>
    <t>0/1 Knapsack, Coin Change, House Robber, Partition Equal Subset</t>
  </si>
  <si>
    <t>Traverse inner loop backwards for 0/1 (avoid reuse)</t>
  </si>
  <si>
    <t>2D DP — Two Sequences</t>
  </si>
  <si>
    <t>LCS, Edit Distance, Interleaving — comparing two strings/arrays</t>
  </si>
  <si>
    <t>dp[i][j] = answer for s1[:i] and s2[:j]; fill row by row</t>
  </si>
  <si>
    <t>O(m*n) or O(n) optimized</t>
  </si>
  <si>
    <t>LCS, Edit Distance, Regex Match, Distinct Subsequences</t>
  </si>
  <si>
    <t>Define dp[0][j] and dp[i][0] base cases carefully</t>
  </si>
  <si>
    <t>Connected components; dynamic connectivity; cycle in undirected graph</t>
  </si>
  <si>
    <t>find() with path compression; union() with rank; detect cycle if find(u)==find(v) before union</t>
  </si>
  <si>
    <t>O(α(n)) ≈ O(1)</t>
  </si>
  <si>
    <t>Redundant Connection, Number of Islands II, Accounts Merge</t>
  </si>
  <si>
    <t>Always implement both path compression AND union by rank</t>
  </si>
  <si>
    <t>Prefix matching; word search; autocomplete</t>
  </si>
  <si>
    <t>TrieNode has children[26] and isEnd; insert char by char; search/startsWith iterate</t>
  </si>
  <si>
    <t>O(L*N) total nodes</t>
  </si>
  <si>
    <t>Implement Trie, Word Search II, Design Search Autocomplete</t>
  </si>
  <si>
    <t>Use HashMap&lt;Character, TrieNode&gt; for flexible char sets</t>
  </si>
  <si>
    <t>Graph Topological Sort</t>
  </si>
  <si>
    <t>Dependency ordering; course scheduling; build order</t>
  </si>
  <si>
    <t>BFS (Kahn's): in-degree array + queue; DFS: post-order reversal</t>
  </si>
  <si>
    <t>Course Schedule I/II, Alien Dictionary, Task Scheduler</t>
  </si>
  <si>
    <t>Cycle = no valid topological order; check result size == V</t>
  </si>
  <si>
    <t>Dijkstra's Algorithm</t>
  </si>
  <si>
    <t>Shortest path in weighted graph with non-negative weights</t>
  </si>
  <si>
    <t>Min-heap (dist, node); relax neighbors; skip stale entries</t>
  </si>
  <si>
    <t>O((V+E) log V)</t>
  </si>
  <si>
    <t>Network Delay Time, Cheapest Flights K Stops, Path With Min Effort</t>
  </si>
  <si>
    <t>Does NOT work with negative edges; use Bellman-Ford then</t>
  </si>
  <si>
    <t>Interval Merge/Overlap</t>
  </si>
  <si>
    <t>Merging overlapping intervals; scheduling conflicts</t>
  </si>
  <si>
    <t>Sort by start; if curr.start &lt;= prev.end → merge (update end); else add to result</t>
  </si>
  <si>
    <t>Merge Intervals, Non-Overlapping Intervals, Meeting Rooms II</t>
  </si>
  <si>
    <t>Sort by start for merge; sort by end for greedy scheduling</t>
  </si>
  <si>
    <t>🔁  SPACED REPETITION RETRY TRACKER — Revisit Hard Problems at 3 / 7 / 14 Days</t>
  </si>
  <si>
    <t>LeetCode #</t>
  </si>
  <si>
    <t>Problem Name</t>
  </si>
  <si>
    <t>Topic</t>
  </si>
  <si>
    <t>First Attempt Date</t>
  </si>
  <si>
    <t>Retry 1 Date (3 days)</t>
  </si>
  <si>
    <t>Retry 2 Date (7 days)</t>
  </si>
  <si>
    <t>Retry 3 Date (14 days)</t>
  </si>
  <si>
    <t>Cols B–E auto-fill from problems you mark 🔁 Retry in the Tracker (Excel 365 / Sheets). Fill the retry dates yourself.</t>
  </si>
  <si>
    <t>🎯  BLIND 75 — Complete LeetCode Problem List with Patterns &amp; Tracker</t>
  </si>
  <si>
    <t>Curated by Krishna Dey  |  75 problems covering all core interview patterns  |  Solve in order: Easy → Medium → Hard within each category</t>
  </si>
  <si>
    <t>Category</t>
  </si>
  <si>
    <t>Key Pattern / Insight</t>
  </si>
  <si>
    <t>LeetCode URL</t>
  </si>
  <si>
    <t>Premium?</t>
  </si>
  <si>
    <t>✅ Status (auto)</t>
  </si>
  <si>
    <t>Notes / Your Insight</t>
  </si>
  <si>
    <t>Problem Types</t>
  </si>
  <si>
    <t xml:space="preserve">  ARRAY  —  10 problems</t>
  </si>
  <si>
    <t>HashMap complement lookup</t>
  </si>
  <si>
    <t>Track running min; max profit at each step</t>
  </si>
  <si>
    <t>HashSet membership</t>
  </si>
  <si>
    <t>Prefix &amp; suffix product passes; no division</t>
  </si>
  <si>
    <t>Kadane's algorithm — reset when sum &lt; 0</t>
  </si>
  <si>
    <t>Track max &amp; min (negatives flip sign)</t>
  </si>
  <si>
    <t>Binary search — which half is sorted?</t>
  </si>
  <si>
    <t>Binary search with rotation pivot logic</t>
  </si>
  <si>
    <t>Sort + two pointers; skip duplicates carefully</t>
  </si>
  <si>
    <t>Two pointers — move shorter side inward</t>
  </si>
  <si>
    <t xml:space="preserve">  BINARY  —  5 problems</t>
  </si>
  <si>
    <t>Binary</t>
  </si>
  <si>
    <t>XOR for sum bits, AND&lt;&lt;1 for carry; iterate</t>
  </si>
  <si>
    <t>n &amp; (n-1) clears lowest set bit; count rounds</t>
  </si>
  <si>
    <t>dp[i] = dp[i&gt;&gt;1] + (i&amp;1)</t>
  </si>
  <si>
    <t>XOR all indices &amp; values; or Gauss formula</t>
  </si>
  <si>
    <t>Shift result left, OR in LSB of n, shift n right</t>
  </si>
  <si>
    <t xml:space="preserve">  DYNAMIC PROGRAMMING  —  11 problems</t>
  </si>
  <si>
    <t>Fibonacci DP — dp[i] = dp[i-1] + dp[i-2]</t>
  </si>
  <si>
    <t>BFS on amounts OR dp[i] = min(dp[i-coin]+1)</t>
  </si>
  <si>
    <t>dp[i] = max(dp[j]+1) for j&lt;i,nums[j]&lt;nums[i]; or patience sort O(n log n)</t>
  </si>
  <si>
    <t>2D DP — match extends diagonal; else max of left/up</t>
  </si>
  <si>
    <t>dp[i] = any dp[j] where s[j:i] in wordSet</t>
  </si>
  <si>
    <t>dp[target] = sum of dp[target-num] for all nums</t>
  </si>
  <si>
    <t>dp[i] = max(dp[i-1], dp[i-2]+nums[i])</t>
  </si>
  <si>
    <t>Run House Robber on [0..n-2] and [1..n-1], take max</t>
  </si>
  <si>
    <t>dp[i] depends on 1-digit &amp; 2-digit valid decodings</t>
  </si>
  <si>
    <t>dp[i][j] = dp[i-1][j] + dp[i][j-1]</t>
  </si>
  <si>
    <t>Track max reachable index greedily</t>
  </si>
  <si>
    <t xml:space="preserve">  GRAPH  —  8 problems</t>
  </si>
  <si>
    <t>DFS/BFS + HashMap&lt;original, clone&gt;</t>
  </si>
  <si>
    <t>Topological sort / cycle detection in directed graph</t>
  </si>
  <si>
    <t>Graph, DFS, BFS, Topological Sort</t>
  </si>
  <si>
    <t>Reverse BFS from both oceans; find intersection</t>
  </si>
  <si>
    <t>DFS/BFS flood fill; mark visited in-place</t>
  </si>
  <si>
    <t>Array, Matrix, DFS, BFS, Union-Find</t>
  </si>
  <si>
    <t>HashSet; only start chain when num-1 not in set</t>
  </si>
  <si>
    <t>Topological sort on char precedence graph</t>
  </si>
  <si>
    <t>⭐ Premium</t>
  </si>
  <si>
    <t>Union-Find or BFS: n-1 edges + no cycle</t>
  </si>
  <si>
    <t>Graph, DFS, BFS, Union-Find</t>
  </si>
  <si>
    <t>Union-Find or DFS; count components</t>
  </si>
  <si>
    <t xml:space="preserve">  INTERVAL  —  5 problems</t>
  </si>
  <si>
    <t>Interval</t>
  </si>
  <si>
    <t>Find overlap range, merge, rebuild list</t>
  </si>
  <si>
    <t>Sort by start; merge when overlap</t>
  </si>
  <si>
    <t>Greedy — sort by end; remove if overlaps prev end</t>
  </si>
  <si>
    <t>Sort by start; check if any overlap</t>
  </si>
  <si>
    <t>Array, Intervals, Sorting</t>
  </si>
  <si>
    <t>Min-heap of end times; heap size = min rooms</t>
  </si>
  <si>
    <t>Array, Intervals, Heap, Sorting</t>
  </si>
  <si>
    <t xml:space="preserve">  LINKED LIST  —  6 problems</t>
  </si>
  <si>
    <t>Reverse a Linked List</t>
  </si>
  <si>
    <t>Iterative: prev/curr pointers; or recursive</t>
  </si>
  <si>
    <t>Detect Cycle in a Linked List</t>
  </si>
  <si>
    <t>Fast &amp; slow pointers (Floyd's cycle detection)</t>
  </si>
  <si>
    <t>Dummy head; compare and advance pointers</t>
  </si>
  <si>
    <t>Merge K Sorted Lists</t>
  </si>
  <si>
    <t>Min-heap of (val, node); or divide &amp; conquer merge</t>
  </si>
  <si>
    <t>Remove Nth Node From End Of List</t>
  </si>
  <si>
    <t>Two pointers n+1 apart; dummy head handles edge</t>
  </si>
  <si>
    <t>Find mid → reverse second half → merge interleaved</t>
  </si>
  <si>
    <t xml:space="preserve">  MATRIX  —  4 problems</t>
  </si>
  <si>
    <t>Matrix</t>
  </si>
  <si>
    <t>Record zero rows/cols first; then zero out</t>
  </si>
  <si>
    <t>Shrink boundaries (top/bottom/left/right) inward</t>
  </si>
  <si>
    <t>Transpose then reverse each row (in-place)</t>
  </si>
  <si>
    <t>Backtracking DFS; mark visited in-place</t>
  </si>
  <si>
    <t>Array, Matrix, Backtracking, DFS</t>
  </si>
  <si>
    <t xml:space="preserve">  STRING  —  10 problems</t>
  </si>
  <si>
    <t>Longest Substring Without Repeating Chars</t>
  </si>
  <si>
    <t>Sliding window + char index map</t>
  </si>
  <si>
    <t>Sliding window; window_len - max_freq &lt;= k</t>
  </si>
  <si>
    <t>Sliding window with need/have counters</t>
  </si>
  <si>
    <t>Char frequency count or sorted comparison</t>
  </si>
  <si>
    <t>Sort each string as key; or char-count tuple key</t>
  </si>
  <si>
    <t>Stack — push open, pop and match on close</t>
  </si>
  <si>
    <t>Two pointers; skip non-alphanumeric</t>
  </si>
  <si>
    <t>Expand around center (2n-1 centers)</t>
  </si>
  <si>
    <t>Expand around center; count each valid expansion</t>
  </si>
  <si>
    <t>String, DP, Two Pointers</t>
  </si>
  <si>
    <t>Length-prefix encoding: '4#word'</t>
  </si>
  <si>
    <t xml:space="preserve">  TREE  —  14 problems</t>
  </si>
  <si>
    <t>Tree</t>
  </si>
  <si>
    <t>DFS: 1 + max(left, right)</t>
  </si>
  <si>
    <t>DFS: both null=true; one null or val!=val=false</t>
  </si>
  <si>
    <t>Invert/Flip Binary Tree</t>
  </si>
  <si>
    <t>DFS: swap left/right at every node</t>
  </si>
  <si>
    <t>DFS returning max gain; track global max with both branches</t>
  </si>
  <si>
    <t>BFS queue; snapshot queue size per level</t>
  </si>
  <si>
    <t>BFS or pre-order with null markers; parse back</t>
  </si>
  <si>
    <t>Tree, BFS, DFS, Design</t>
  </si>
  <si>
    <t>isSameTree at every node; O(m*n)</t>
  </si>
  <si>
    <t>Construct BT from Preorder and Inorder</t>
  </si>
  <si>
    <t>Root = preorder[0]; find in inorder to split</t>
  </si>
  <si>
    <t>DFS with (min, max) bounds passed down</t>
  </si>
  <si>
    <t>In-order traversal (sorted); count down to k</t>
  </si>
  <si>
    <t>Lowest Common Ancestor of BST</t>
  </si>
  <si>
    <t>Navigate by BST property: both &gt; root → go right</t>
  </si>
  <si>
    <t>TrieNode with children[26] + isEnd; insert/search</t>
  </si>
  <si>
    <t>Add and Search Word</t>
  </si>
  <si>
    <t>Trie + DFS for '.' wildcard matching</t>
  </si>
  <si>
    <t>Trie of words + backtracking DFS on grid</t>
  </si>
  <si>
    <t>Trie, Backtracking, DFS, Matrix</t>
  </si>
  <si>
    <t xml:space="preserve">  HEAP  —  3 problems</t>
  </si>
  <si>
    <t>Heap</t>
  </si>
  <si>
    <t>Min-heap (val, list_idx, node); poll and advance</t>
  </si>
  <si>
    <t>Bucket sort OR min-heap of size K</t>
  </si>
  <si>
    <t>Max-heap (lower half) + min-heap (upper half); balance sizes</t>
  </si>
  <si>
    <t>Heap, Design, Two Pointers</t>
  </si>
  <si>
    <t>BLIND 75 — CATEGORY SUMMARY</t>
  </si>
  <si>
    <t>Total Problems</t>
  </si>
  <si>
    <t>Premium Count</t>
  </si>
  <si>
    <t>Array, Binary Search, Divide &amp; Conquer</t>
  </si>
  <si>
    <t>Binary Search on Smaller Array: Partition the smaller array and infer the larger partition so all left-side values are &lt;= right-side values.</t>
  </si>
  <si>
    <t>Pattern-Based Approach: Identify the invariant from the problem constraints, maintain it while scanning or recursing, and update the result when the invariant is satisfied.</t>
  </si>
  <si>
    <t>TOTAL</t>
  </si>
  <si>
    <t>🔥  GRIND 169 — Full Problem List with Pattern Mapping</t>
  </si>
  <si>
    <t>Primary Pattern</t>
  </si>
  <si>
    <t>Secondary Pattern</t>
  </si>
  <si>
    <t>Hashing</t>
  </si>
  <si>
    <t>DP / Expand Around Center</t>
  </si>
  <si>
    <t>String Parsing</t>
  </si>
  <si>
    <t>BFS / Multi-source</t>
  </si>
  <si>
    <t>Math / String</t>
  </si>
  <si>
    <t>Sorting</t>
  </si>
  <si>
    <t>Hashing / Prefix Sum</t>
  </si>
  <si>
    <t>String, Backtracking, Stack</t>
  </si>
  <si>
    <t>K-way Merge / Heap</t>
  </si>
  <si>
    <t>Linked List / In-place Reversal</t>
  </si>
  <si>
    <t>Array / Two Pointers</t>
  </si>
  <si>
    <t>Modified Binary Search</t>
  </si>
  <si>
    <t>Tree DFS</t>
  </si>
  <si>
    <t>Hashing / Matrix</t>
  </si>
  <si>
    <t>BFS</t>
  </si>
  <si>
    <t>Array, Two Pointers, Monotonic Stack</t>
  </si>
  <si>
    <t>Binary Search / Fast Power</t>
  </si>
  <si>
    <t>Kadane / DP</t>
  </si>
  <si>
    <t>Matrix / Simulation</t>
  </si>
  <si>
    <t>DP / 2D</t>
  </si>
  <si>
    <t>DP / Fibonacci</t>
  </si>
  <si>
    <t>Two Pointers / Dutch Flag</t>
  </si>
  <si>
    <t>Trie / Design</t>
  </si>
  <si>
    <t>Backtracking / Subsets</t>
  </si>
  <si>
    <t>Backtracking / DFS</t>
  </si>
  <si>
    <t>BST</t>
  </si>
  <si>
    <t>Tree BFS</t>
  </si>
  <si>
    <t>Tree, Binary Search, Array</t>
  </si>
  <si>
    <t>Heap / Greedy</t>
  </si>
  <si>
    <t>Array / Greedy</t>
  </si>
  <si>
    <t>Graph DFS/BFS</t>
  </si>
  <si>
    <t>Bit Manipulation / XOR</t>
  </si>
  <si>
    <t>Array, Binary Search, Sliding Window</t>
  </si>
  <si>
    <t>Merge Sort / Linked List</t>
  </si>
  <si>
    <t>Array / Boyer-Moore</t>
  </si>
  <si>
    <t>Sorting / Custom Comparator</t>
  </si>
  <si>
    <t>Top-K / Heap</t>
  </si>
  <si>
    <t>DP / 1D</t>
  </si>
  <si>
    <t>Topological Sort</t>
  </si>
  <si>
    <t>Graph DFS</t>
  </si>
  <si>
    <t>DFS</t>
  </si>
  <si>
    <t>QuickSelect</t>
  </si>
  <si>
    <t>Array, Heap, Sorting</t>
  </si>
  <si>
    <t>Tree DFS / In-order</t>
  </si>
  <si>
    <t>Queue</t>
  </si>
  <si>
    <t>In-place Reversal</t>
  </si>
  <si>
    <t>Linked List, Two Pointers, Stack</t>
  </si>
  <si>
    <t>Array / Prefix-Suffix</t>
  </si>
  <si>
    <t>Monotonic Stack/Deque</t>
  </si>
  <si>
    <t>Merge Intervals / Heap</t>
  </si>
  <si>
    <t>Bit Manipulation / Math</t>
  </si>
  <si>
    <t>String Encoding</t>
  </si>
  <si>
    <t>DP / Bellman-Ford</t>
  </si>
  <si>
    <t>Two Heaps</t>
  </si>
  <si>
    <t>Tree BFS/DFS</t>
  </si>
  <si>
    <t>Serialization</t>
  </si>
  <si>
    <t>DP / Binary Search</t>
  </si>
  <si>
    <t>Topological Sort / BFS</t>
  </si>
  <si>
    <t>DP / BFS</t>
  </si>
  <si>
    <t>Number of Connected Components in an Undirected Graph</t>
  </si>
  <si>
    <t>DFS / Memoization</t>
  </si>
  <si>
    <t>Bit Manipulation / DP</t>
  </si>
  <si>
    <t>Design, Queue, Hashing</t>
  </si>
  <si>
    <t>Two Pointers / Stack</t>
  </si>
  <si>
    <t>String, Two Pointers, Stack</t>
  </si>
  <si>
    <t>DP / Combination</t>
  </si>
  <si>
    <t>Binary Search / Prefix Sum</t>
  </si>
  <si>
    <t>Hashing / Greedy</t>
  </si>
  <si>
    <t>DP / 0-1 Knapsack</t>
  </si>
  <si>
    <t>Heap / Hashing</t>
  </si>
  <si>
    <t>Design, Heap, Hashing, Stack</t>
  </si>
  <si>
    <t>Greedy / Intervals</t>
  </si>
  <si>
    <t>Prefix Sum</t>
  </si>
  <si>
    <t>⚡  GRIND 75 — Essential 75 Problems with Pattern Mapping</t>
  </si>
  <si>
    <t>🚀  NEETCODE 150 — Organized by Category with Pattern Mapping</t>
  </si>
  <si>
    <t xml:space="preserve">  ARRAYS &amp; HASHING  —  9 problems</t>
  </si>
  <si>
    <t>Top-K / Heap / Bucket Sort</t>
  </si>
  <si>
    <t xml:space="preserve">  TWO POINTERS  —  5 problems</t>
  </si>
  <si>
    <t xml:space="preserve">  SLIDING WINDOW  —  6 problems</t>
  </si>
  <si>
    <t xml:space="preserve">  STACK  —  7 problems</t>
  </si>
  <si>
    <t xml:space="preserve">  BINARY SEARCH  —  7 problems</t>
  </si>
  <si>
    <t xml:space="preserve">  LINKED LIST  —  10 problems</t>
  </si>
  <si>
    <t xml:space="preserve">  TREES  —  15 problems</t>
  </si>
  <si>
    <t>Trees</t>
  </si>
  <si>
    <t xml:space="preserve">  TRIES  —  3 problems</t>
  </si>
  <si>
    <t xml:space="preserve">  HEAP / PRIORITY QUEUE  —  7 problems</t>
  </si>
  <si>
    <t xml:space="preserve">  BACKTRACKING  —  9 problems</t>
  </si>
  <si>
    <t xml:space="preserve">  GRAPHS  —  11 problems</t>
  </si>
  <si>
    <t>Graphs</t>
  </si>
  <si>
    <t xml:space="preserve">  ADVANCED GRAPHS  —  6 problems</t>
  </si>
  <si>
    <t>Dijkstra / BFS</t>
  </si>
  <si>
    <t>MST / Kruskal / Prim</t>
  </si>
  <si>
    <t>Graph, MST, Union-Find</t>
  </si>
  <si>
    <t>BFS/Dijkstra</t>
  </si>
  <si>
    <t>Array, Matrix, Binary Search, BFS</t>
  </si>
  <si>
    <t>DFS / Eulerian Path</t>
  </si>
  <si>
    <t xml:space="preserve">  1D DP  —  11 problems</t>
  </si>
  <si>
    <t xml:space="preserve">  2D DP  —  11 problems</t>
  </si>
  <si>
    <t>DP / 2D / LCS</t>
  </si>
  <si>
    <t>DP / State Machine</t>
  </si>
  <si>
    <t>DP / Unbounded Knapsack</t>
  </si>
  <si>
    <t>DP / Backtracking</t>
  </si>
  <si>
    <t>DP / Interval</t>
  </si>
  <si>
    <t xml:space="preserve">  GREEDY  —  8 problems</t>
  </si>
  <si>
    <t>Greedy / DP</t>
  </si>
  <si>
    <t>Greedy / Hashing</t>
  </si>
  <si>
    <t>String, Greedy, Two Pointers</t>
  </si>
  <si>
    <t>Greedy / Stack</t>
  </si>
  <si>
    <t xml:space="preserve">  INTERVALS  —  6 problems</t>
  </si>
  <si>
    <t>Heap / Intervals</t>
  </si>
  <si>
    <t xml:space="preserve">  MATH &amp; GEOMETRY  —  4 problems</t>
  </si>
  <si>
    <t>Hashing / Math</t>
  </si>
  <si>
    <t xml:space="preserve">  BIT MANIPULATION  —  7 problems</t>
  </si>
  <si>
    <t>🧩  14 PATTERNS TO ACE ANY CODING INTERVIEW  (Fahim ul Haq)</t>
  </si>
  <si>
    <t>Master these 14 patterns → you can solve virtually any interview problem. Understand WHEN to apply each, not just HOW.</t>
  </si>
  <si>
    <t>Pattern Name</t>
  </si>
  <si>
    <t>When to Recognize It</t>
  </si>
  <si>
    <t>Core Technique / Template</t>
  </si>
  <si>
    <t>Example Problems</t>
  </si>
  <si>
    <t>Difficulty Range</t>
  </si>
  <si>
    <t>Key Insight</t>
  </si>
  <si>
    <t>Linear DS (array/string); find longest/shortest subarray; operation on window of size K</t>
  </si>
  <si>
    <t>Expand right always; shrink left when constraint violated; track window state with hashmap/counter</t>
  </si>
  <si>
    <t>Max Sum Subarray K, Longest Substring K Distinct, Min Window Substring (76), Permutation in String (567)</t>
  </si>
  <si>
    <t>Easy–Hard</t>
  </si>
  <si>
    <t>Window state maintenance is the key — define invariant precisely before coding</t>
  </si>
  <si>
    <t>Sorted array/list; find pair/triplet summing to target; palindrome check; comparing strings</t>
  </si>
  <si>
    <t>lo=0, hi=n-1 (opposite ends) or both from start (same direction); advance based on comparison</t>
  </si>
  <si>
    <t>Two Sum (1), 3Sum (15), Container With Water (11), Valid Palindrome (125), Trapping Rain Water (42)</t>
  </si>
  <si>
    <t>Sort first if not sorted; watch duplicate-skipping logic in 3Sum</t>
  </si>
  <si>
    <t>Linked list cycle; find middle; kth from end; detect if palindrome (LL); find duplicate in array</t>
  </si>
  <si>
    <t>slow moves 1 step, fast moves 2 steps; when they meet = cycle; for middle: fast reaches end</t>
  </si>
  <si>
    <t>LL Cycle (141), Find Duplicate (287), Happy Number (202), Palindrome LL (234), Middle of LL (876)</t>
  </si>
  <si>
    <t>Easy–Medium</t>
  </si>
  <si>
    <t>Use over Two Pointers when you can't traverse backwards (singly linked list)</t>
  </si>
  <si>
    <t>'Overlapping intervals'; produce mutually exclusive intervals; scheduling problems</t>
  </si>
  <si>
    <t>Sort by start; if curr.start &lt;= prev.end → merge (extend prev.end); else add prev, start new</t>
  </si>
  <si>
    <t>Merge Intervals (56), Insert Interval (57), Non-overlapping (435), Meeting Rooms I/II (252/253)</t>
  </si>
  <si>
    <t>Sort by START for merging; sort by END for greedy interval scheduling</t>
  </si>
  <si>
    <t>Array of numbers in range [1..n] or [0..n-1]; find missing/duplicate/smallest number</t>
  </si>
  <si>
    <t>Place each number at its correct index (num-1); iterate and swap until all placed; then scan for anomaly</t>
  </si>
  <si>
    <t>Missing Number (268), First Missing Positive (41), Find Duplicate (287), Find All Missing (448)</t>
  </si>
  <si>
    <t>O(n) time, O(1) space — much better than sorting or hashing for this pattern</t>
  </si>
  <si>
    <t>In-place Linked List Reversal</t>
  </si>
  <si>
    <t>Reverse a linked list or sub-list in-place; reverse every K elements; no extra memory allowed</t>
  </si>
  <si>
    <t>prev=null, curr=head; while curr: next=curr.next, curr.next=prev, prev=curr, curr=next</t>
  </si>
  <si>
    <t>Reverse LL (206), Reverse Sub-list, Reverse K-Group (25), Reorder List (143)</t>
  </si>
  <si>
    <t>Draw pointer diagram first; maintain prev/curr/next carefully</t>
  </si>
  <si>
    <t>Level-by-level traversal; minimum depth; zigzag traversal; connect level nodes; right side view</t>
  </si>
  <si>
    <t>Queue; push root; while queue: snapshot size N, process N nodes, push their children</t>
  </si>
  <si>
    <t>Level Order (102), Right Side View (199), Min Depth, Zigzag (103), Connect Level Nodes</t>
  </si>
  <si>
    <t>Snapshot queue.size() at start of each level to process level-by-level</t>
  </si>
  <si>
    <t>Path sum; max/min path; validate BST; construct from traversals; any tree recursion</t>
  </si>
  <si>
    <t>Pre/In/Post order; recurse left then right; pass info down (bounds) or bubble up (height, max)</t>
  </si>
  <si>
    <t>Max Path Sum (124), Validate BST (98), Diameter (543), Path Sum, Construct BT (105)</t>
  </si>
  <si>
    <t>Decide: what do you need from children? What do you pass down? Answer the subproblem.</t>
  </si>
  <si>
    <t>Find median of stream; partition elements into two halves; scheduling with two priority classes</t>
  </si>
  <si>
    <t>Max-heap for lower half + min-heap for upper half; balance sizes to within 1; median from tops</t>
  </si>
  <si>
    <t>Find Median Stream (295), Sliding Window Median, IPO (502)</t>
  </si>
  <si>
    <t>Medium–Hard</t>
  </si>
  <si>
    <t>After every insert, rebalance: if max-heap.top &gt; min-heap.top, move; equalize sizes</t>
  </si>
  <si>
    <t>Subsets / Combinations</t>
  </si>
  <si>
    <t>Generate all permutations/combinations/subsets/power sets of a set</t>
  </si>
  <si>
    <t>BFS-style: start with [[]]; for each element, add to all existing subsets to create new ones</t>
  </si>
  <si>
    <t>Subsets (78), Subsets II (90), Permutations (46), Combinations (77), String Permutations</t>
  </si>
  <si>
    <t>For duplicates: sort first, then skip if same as previous at same level</t>
  </si>
  <si>
    <t>Sorted/rotated array; find element/boundary; 'minimum possible maximum' optimization problems</t>
  </si>
  <si>
    <t>Identify which half is sorted; determine if target in sorted half; adjust lo/hi accordingly</t>
  </si>
  <si>
    <t>Search Rotated (33), Find Min Rotated (153), Find in Mountain Array, Koko Bananas (875), Median Arrays (4)</t>
  </si>
  <si>
    <t>For 'search on answer': define isValid(mid), binary search on the answer space</t>
  </si>
  <si>
    <t>Top K Elements</t>
  </si>
  <si>
    <t>Find K largest/smallest/most frequent elements; any problem asking for Kth element</t>
  </si>
  <si>
    <t>Min-heap of size K: push each element; if size&gt;K pop min; at end, heap contains top K</t>
  </si>
  <si>
    <t>Top K Frequent (347), K Closest Points (973), Kth Largest (215), Sort K-sorted Array</t>
  </si>
  <si>
    <t>Min-heap for top-K LARGEST (counter-intuitive); max-heap for K smallest</t>
  </si>
  <si>
    <t>K-way Merge</t>
  </si>
  <si>
    <t>K sorted arrays/lists; merge all sorted arrays; find smallest range covering K lists</t>
  </si>
  <si>
    <t>Min-heap of (value, array_idx, element_idx); pop minimum, push next from same array</t>
  </si>
  <si>
    <t>Merge K Sorted Lists (23), K Pairs Largest Sums, Smallest Range K Lists (632)</t>
  </si>
  <si>
    <t>Always push the next element from the same source array after popping</t>
  </si>
  <si>
    <t>Dependency ordering; 'A must come before B'; tasks with prerequisites; detect cycles in DAG</t>
  </si>
  <si>
    <t>Build adjacency list + in-degree map; queue all nodes with in-degree 0; BFS reducing in-degrees</t>
  </si>
  <si>
    <t>Course Schedule (207), Course Schedule II (210), Alien Dictionary (269), Task Scheduler (621)</t>
  </si>
  <si>
    <t>If result size &lt; V → cycle exists (not all nodes processed)</t>
  </si>
  <si>
    <t>🔵  GOOGLE — Frequently Asked LeetCode Problems</t>
  </si>
  <si>
    <t>308 problems  |  🟢 Easy: 91   🟠 Medium: 174   🔴 Hard: 43  |  Filter by 'Problem Types' column using Text Filter → Contains</t>
  </si>
  <si>
    <t>Acceptance</t>
  </si>
  <si>
    <t>Time Taken (min)</t>
  </si>
  <si>
    <t>57.5%</t>
  </si>
  <si>
    <t>48.4%</t>
  </si>
  <si>
    <t>39.0%</t>
  </si>
  <si>
    <t>46.5%</t>
  </si>
  <si>
    <t>37.8%</t>
  </si>
  <si>
    <t>54.1%</t>
  </si>
  <si>
    <t>31.9%</t>
  </si>
  <si>
    <t>21.0%</t>
  </si>
  <si>
    <t>60.5%</t>
  </si>
  <si>
    <t>30.9%</t>
  </si>
  <si>
    <t>60.0%</t>
  </si>
  <si>
    <t>70.9%</t>
  </si>
  <si>
    <t>66.6%</t>
  </si>
  <si>
    <t>47.5%</t>
  </si>
  <si>
    <t>39.1%</t>
  </si>
  <si>
    <t>48.5%</t>
  </si>
  <si>
    <t>66.0%</t>
  </si>
  <si>
    <t>40.6%</t>
  </si>
  <si>
    <t>51.6%</t>
  </si>
  <si>
    <t>44.2%</t>
  </si>
  <si>
    <t>68.3%</t>
  </si>
  <si>
    <t>78.6%</t>
  </si>
  <si>
    <t>59.5%</t>
  </si>
  <si>
    <t>Heap / K-way Merge</t>
  </si>
  <si>
    <t>69.5%</t>
  </si>
  <si>
    <t>66.1%</t>
  </si>
  <si>
    <t>In-place LL Reversal</t>
  </si>
  <si>
    <t>62.8%</t>
  </si>
  <si>
    <t>61.8%</t>
  </si>
  <si>
    <t>46.6%</t>
  </si>
  <si>
    <t>19.8%</t>
  </si>
  <si>
    <t>45.2%</t>
  </si>
  <si>
    <t>38.8%</t>
  </si>
  <si>
    <t>Stack / DP</t>
  </si>
  <si>
    <t>44.5%</t>
  </si>
  <si>
    <t>48.9%</t>
  </si>
  <si>
    <t>51.2%</t>
  </si>
  <si>
    <t>64.5%</t>
  </si>
  <si>
    <t>Matrix / Hashing</t>
  </si>
  <si>
    <t>65.5%</t>
  </si>
  <si>
    <t>62.9%</t>
  </si>
  <si>
    <t>76.5%</t>
  </si>
  <si>
    <t>59.4%</t>
  </si>
  <si>
    <t>42.9%</t>
  </si>
  <si>
    <t>67.3%</t>
  </si>
  <si>
    <t>Two Pointers / Monotonic Stack</t>
  </si>
  <si>
    <t>44.1%</t>
  </si>
  <si>
    <t>42.8%</t>
  </si>
  <si>
    <t>81.9%</t>
  </si>
  <si>
    <t>80.1%</t>
  </si>
  <si>
    <t>72.6%</t>
  </si>
  <si>
    <t>38.6%</t>
  </si>
  <si>
    <t>Fast Power / Binary Search</t>
  </si>
  <si>
    <t>75.5%</t>
  </si>
  <si>
    <t>53.3%</t>
  </si>
  <si>
    <t>56.7%</t>
  </si>
  <si>
    <t>Matrix Simulation</t>
  </si>
  <si>
    <t>40.9%</t>
  </si>
  <si>
    <t>51.8%</t>
  </si>
  <si>
    <t>58.8%</t>
  </si>
  <si>
    <t>53.1%</t>
  </si>
  <si>
    <t>Math / Backtracking</t>
  </si>
  <si>
    <t>42.6%</t>
  </si>
  <si>
    <t>66.8%</t>
  </si>
  <si>
    <t>68.2%</t>
  </si>
  <si>
    <t>49.9%</t>
  </si>
  <si>
    <t>58.0%</t>
  </si>
  <si>
    <t>51.1%</t>
  </si>
  <si>
    <t>String / Array</t>
  </si>
  <si>
    <t>41.8%</t>
  </si>
  <si>
    <t>50.6%</t>
  </si>
  <si>
    <t>60.6%</t>
  </si>
  <si>
    <t>DP / Edit Distance</t>
  </si>
  <si>
    <t>53.9%</t>
  </si>
  <si>
    <t>69.6%</t>
  </si>
  <si>
    <t>Dutch Flag / Two Pointers</t>
  </si>
  <si>
    <t>82.3%</t>
  </si>
  <si>
    <t>Subsets / Backtracking</t>
  </si>
  <si>
    <t>47.3%</t>
  </si>
  <si>
    <t>64.7%</t>
  </si>
  <si>
    <t>58.7%</t>
  </si>
  <si>
    <t>Monotonic Stack / DP</t>
  </si>
  <si>
    <t>54.8%</t>
  </si>
  <si>
    <t>61.3%</t>
  </si>
  <si>
    <t>38.0%</t>
  </si>
  <si>
    <t>51.5%</t>
  </si>
  <si>
    <t>44.0%</t>
  </si>
  <si>
    <t>35.7%</t>
  </si>
  <si>
    <t>Tree DFS / BST</t>
  </si>
  <si>
    <t>59.6%</t>
  </si>
  <si>
    <t>67.1%</t>
  </si>
  <si>
    <t>61.2%</t>
  </si>
  <si>
    <t>72.7%</t>
  </si>
  <si>
    <t>63.7%</t>
  </si>
  <si>
    <t>78.2%</t>
  </si>
  <si>
    <t>68.8%</t>
  </si>
  <si>
    <t>Tree / Binary Search</t>
  </si>
  <si>
    <t>58.3%</t>
  </si>
  <si>
    <t>54.9%</t>
  </si>
  <si>
    <t>51.9%</t>
  </si>
  <si>
    <t>67.2%</t>
  </si>
  <si>
    <t>78.9%</t>
  </si>
  <si>
    <t>Math / DP</t>
  </si>
  <si>
    <t>59.9%</t>
  </si>
  <si>
    <t>56.8%</t>
  </si>
  <si>
    <t>71.1%</t>
  </si>
  <si>
    <t>53.7%</t>
  </si>
  <si>
    <t>State Machine DP</t>
  </si>
  <si>
    <t>42.3%</t>
  </si>
  <si>
    <t>27.7%</t>
  </si>
  <si>
    <t>BFS / Backtracking</t>
  </si>
  <si>
    <t>45.5%</t>
  </si>
  <si>
    <t>47.1%</t>
  </si>
  <si>
    <t>Hashing / Union-Find</t>
  </si>
  <si>
    <t>69.9%</t>
  </si>
  <si>
    <t>45.3%</t>
  </si>
  <si>
    <t>DFS / BFS</t>
  </si>
  <si>
    <t>74.0%</t>
  </si>
  <si>
    <t>48.0%</t>
  </si>
  <si>
    <t>77.7%</t>
  </si>
  <si>
    <t>Linked List / Hashing</t>
  </si>
  <si>
    <t>49.4%</t>
  </si>
  <si>
    <t>54.3%</t>
  </si>
  <si>
    <t>57.9%</t>
  </si>
  <si>
    <t>65.2%</t>
  </si>
  <si>
    <t>Design / Hashing</t>
  </si>
  <si>
    <t>64.4%</t>
  </si>
  <si>
    <t>Merge Sort</t>
  </si>
  <si>
    <t>30.7%</t>
  </si>
  <si>
    <t>Math / Hashing</t>
  </si>
  <si>
    <t>57.7%</t>
  </si>
  <si>
    <t>56.3%</t>
  </si>
  <si>
    <t>String / Two Pointers</t>
  </si>
  <si>
    <t>36.4%</t>
  </si>
  <si>
    <t>54.7%</t>
  </si>
  <si>
    <t>58.1%</t>
  </si>
  <si>
    <t>Stack / Design</t>
  </si>
  <si>
    <t>47.0%</t>
  </si>
  <si>
    <t>65.0%</t>
  </si>
  <si>
    <t>66.3%</t>
  </si>
  <si>
    <t>Boyer-Moore</t>
  </si>
  <si>
    <t>73.2%</t>
  </si>
  <si>
    <t>44.9%</t>
  </si>
  <si>
    <t>Array / Math</t>
  </si>
  <si>
    <t>76.8%</t>
  </si>
  <si>
    <t>51.3%</t>
  </si>
  <si>
    <t>53.2%</t>
  </si>
  <si>
    <t>DFS / BFS / Union-Find</t>
  </si>
  <si>
    <t>36.0%</t>
  </si>
  <si>
    <t>Sieve of Eratosthenes</t>
  </si>
  <si>
    <t>80.5%</t>
  </si>
  <si>
    <t>51.4%</t>
  </si>
  <si>
    <t>Array, Sliding Window, Binary Search</t>
  </si>
  <si>
    <t>55.5%</t>
  </si>
  <si>
    <t>38.4%</t>
  </si>
  <si>
    <t>Trie / Backtracking</t>
  </si>
  <si>
    <t>42.5%</t>
  </si>
  <si>
    <t>KMP / String</t>
  </si>
  <si>
    <t>68.9%</t>
  </si>
  <si>
    <t>Heap / QuickSelect</t>
  </si>
  <si>
    <t>64.3%</t>
  </si>
  <si>
    <t>Heap / Sweep Line</t>
  </si>
  <si>
    <t>Hashing / Sliding Window</t>
  </si>
  <si>
    <t>50.3%</t>
  </si>
  <si>
    <t>46.9%</t>
  </si>
  <si>
    <t>Stack / Queue</t>
  </si>
  <si>
    <t>54.2%</t>
  </si>
  <si>
    <t>56.1%</t>
  </si>
  <si>
    <t>50.1%</t>
  </si>
  <si>
    <t>69.8%</t>
  </si>
  <si>
    <t>70.6%</t>
  </si>
  <si>
    <t>69.3%</t>
  </si>
  <si>
    <t>83.8%</t>
  </si>
  <si>
    <t>48.7%</t>
  </si>
  <si>
    <t>57.2%</t>
  </si>
  <si>
    <t>68.1%</t>
  </si>
  <si>
    <t>67.8%</t>
  </si>
  <si>
    <t>52.7%</t>
  </si>
  <si>
    <t>68.6%</t>
  </si>
  <si>
    <t>43.5%</t>
  </si>
  <si>
    <t>72.0%</t>
  </si>
  <si>
    <t>String Design</t>
  </si>
  <si>
    <t>56.5%</t>
  </si>
  <si>
    <t>43.1%</t>
  </si>
  <si>
    <t>63.8%</t>
  </si>
  <si>
    <t>64.0%</t>
  </si>
  <si>
    <t>Multi-source BFS</t>
  </si>
  <si>
    <t>54.5%</t>
  </si>
  <si>
    <t>60.7%</t>
  </si>
  <si>
    <t>Tree Serialization</t>
  </si>
  <si>
    <t>62.0%</t>
  </si>
  <si>
    <t>63.4%</t>
  </si>
  <si>
    <t>62.5%</t>
  </si>
  <si>
    <t>56.6%</t>
  </si>
  <si>
    <t>55.9%</t>
  </si>
  <si>
    <t>Tree DP</t>
  </si>
  <si>
    <t>80.8%</t>
  </si>
  <si>
    <t>66.4%</t>
  </si>
  <si>
    <t>77.8%</t>
  </si>
  <si>
    <t>Array, Hashing, Two Pointers</t>
  </si>
  <si>
    <t>37.9%</t>
  </si>
  <si>
    <t>69.7%</t>
  </si>
  <si>
    <t>Sliding Window / Queue</t>
  </si>
  <si>
    <t>49.6%</t>
  </si>
  <si>
    <t>Array, Math, DP</t>
  </si>
  <si>
    <t>DP / Math</t>
  </si>
  <si>
    <t>41.9%</t>
  </si>
  <si>
    <t>Array, Heap, Two Pointers</t>
  </si>
  <si>
    <t>Heap / K-way</t>
  </si>
  <si>
    <t>55.1%</t>
  </si>
  <si>
    <t>55.4%</t>
  </si>
  <si>
    <t>60.3%</t>
  </si>
  <si>
    <t>49.0%</t>
  </si>
  <si>
    <t>62.6%</t>
  </si>
  <si>
    <t>64.2%</t>
  </si>
  <si>
    <t>Graph, BFS, Math, Union-Find</t>
  </si>
  <si>
    <t>Union-Find / BFS</t>
  </si>
  <si>
    <t>36.8%</t>
  </si>
  <si>
    <t>64.1%</t>
  </si>
  <si>
    <t>BFS / Heap</t>
  </si>
  <si>
    <t>60.4%</t>
  </si>
  <si>
    <t>Binary Search / DP</t>
  </si>
  <si>
    <t>52.2%</t>
  </si>
  <si>
    <t>String / Math</t>
  </si>
  <si>
    <t>49.5%</t>
  </si>
  <si>
    <t>0-1 Knapsack DP</t>
  </si>
  <si>
    <t>60.9%</t>
  </si>
  <si>
    <t>57.1%</t>
  </si>
  <si>
    <t>46.4%</t>
  </si>
  <si>
    <t>76.9%</t>
  </si>
  <si>
    <t>Hashing / Array</t>
  </si>
  <si>
    <t>Hashing / Cyclic Sort</t>
  </si>
  <si>
    <t>Two Heaps / Sliding Window</t>
  </si>
  <si>
    <t>65.1%</t>
  </si>
  <si>
    <t>34.2%</t>
  </si>
  <si>
    <t>76.1%</t>
  </si>
  <si>
    <t>74.1%</t>
  </si>
  <si>
    <t>60.1%</t>
  </si>
  <si>
    <t>Unbounded Knapsack DP</t>
  </si>
  <si>
    <t>49.1%</t>
  </si>
  <si>
    <t>Prefix Sum / Binary Search</t>
  </si>
  <si>
    <t>59.3%</t>
  </si>
  <si>
    <t>53.8%</t>
  </si>
  <si>
    <t>70.4%</t>
  </si>
  <si>
    <t>48.8%</t>
  </si>
  <si>
    <t>72.8%</t>
  </si>
  <si>
    <t>68.5%</t>
  </si>
  <si>
    <t>29.1%</t>
  </si>
  <si>
    <t>63.1%</t>
  </si>
  <si>
    <t>66.2%</t>
  </si>
  <si>
    <t>50.0%</t>
  </si>
  <si>
    <t>47.7%</t>
  </si>
  <si>
    <t>49.7%</t>
  </si>
  <si>
    <t>45.6%</t>
  </si>
  <si>
    <t>40.1%</t>
  </si>
  <si>
    <t>60.2%</t>
  </si>
  <si>
    <t>60.8%</t>
  </si>
  <si>
    <t>30.2%</t>
  </si>
  <si>
    <t>45.0%</t>
  </si>
  <si>
    <t>Sorted Set</t>
  </si>
  <si>
    <t>47.8%</t>
  </si>
  <si>
    <t>68.7%</t>
  </si>
  <si>
    <t>72.9%</t>
  </si>
  <si>
    <t>89.6%</t>
  </si>
  <si>
    <t>38.1%</t>
  </si>
  <si>
    <t>70.7%</t>
  </si>
  <si>
    <t>DFS / Graph</t>
  </si>
  <si>
    <t>Array, Math, Hashing</t>
  </si>
  <si>
    <t>Minimax / Hashing</t>
  </si>
  <si>
    <t>76.3%</t>
  </si>
  <si>
    <t>81.8%</t>
  </si>
  <si>
    <t>69.0%</t>
  </si>
  <si>
    <t>BFS / DFS</t>
  </si>
  <si>
    <t>73.7%</t>
  </si>
  <si>
    <t>Binary Search / Design</t>
  </si>
  <si>
    <t>58.6%</t>
  </si>
  <si>
    <t>67.7%</t>
  </si>
  <si>
    <t>73.9%</t>
  </si>
  <si>
    <t>Array, Prefix Sum, Sorting</t>
  </si>
  <si>
    <t>Prefix Sum / Difference Array</t>
  </si>
  <si>
    <t>59.2%</t>
  </si>
  <si>
    <t>DP / LCS</t>
  </si>
  <si>
    <t>78.7%</t>
  </si>
  <si>
    <t>80.7%</t>
  </si>
  <si>
    <t>DP / 2D Matrix</t>
  </si>
  <si>
    <t>83.5%</t>
  </si>
  <si>
    <t>86.9%</t>
  </si>
  <si>
    <t>MST / Kruskal</t>
  </si>
  <si>
    <t>88.6%</t>
  </si>
  <si>
    <t>82.1%</t>
  </si>
  <si>
    <t>44.8%</t>
  </si>
  <si>
    <t>Math / Modular Exponentiation</t>
  </si>
  <si>
    <t>90.3%</t>
  </si>
  <si>
    <t>88.0%</t>
  </si>
  <si>
    <t>63.3%</t>
  </si>
  <si>
    <t>QUICK STATS</t>
  </si>
  <si>
    <t>O(log m·log n)</t>
  </si>
  <si>
    <t>🍎 Apple — LeetCode Problems (6-Month Window)</t>
  </si>
  <si>
    <t>298 problems  |  🟢 Easy: 76   🟠 Medium: 178   🔴 Hard: 44  |  Filter 'Problem Types' → Text Filters → Contains</t>
  </si>
  <si>
    <t>DP / Expand Center</t>
  </si>
  <si>
    <t>Two Pointers / KMP</t>
  </si>
  <si>
    <t>34.4%</t>
  </si>
  <si>
    <t>String, Hashing, Sliding Window</t>
  </si>
  <si>
    <t>Sliding Window / Hashing</t>
  </si>
  <si>
    <t>Tree / Linked List</t>
  </si>
  <si>
    <t>65.3%</t>
  </si>
  <si>
    <t>43.3%</t>
  </si>
  <si>
    <t>34.6%</t>
  </si>
  <si>
    <t>76.4%</t>
  </si>
  <si>
    <t>Tree, DFS, BST, Stack</t>
  </si>
  <si>
    <t>Tree DFS / Stack</t>
  </si>
  <si>
    <t>68.4%</t>
  </si>
  <si>
    <t>70.2%</t>
  </si>
  <si>
    <t>54.4%</t>
  </si>
  <si>
    <t>Sieve</t>
  </si>
  <si>
    <t>Trie / DFS</t>
  </si>
  <si>
    <t>Intervals / Sorting</t>
  </si>
  <si>
    <t>Tree DFS / Backtracking</t>
  </si>
  <si>
    <t>37.2%</t>
  </si>
  <si>
    <t>35.0%</t>
  </si>
  <si>
    <t>41.4%</t>
  </si>
  <si>
    <t>Graph / Design</t>
  </si>
  <si>
    <t>61.5%</t>
  </si>
  <si>
    <t>Design, Array</t>
  </si>
  <si>
    <t>Design / Array</t>
  </si>
  <si>
    <t>57.8%</t>
  </si>
  <si>
    <t>Tree BFS / Hashing</t>
  </si>
  <si>
    <t>80.6%</t>
  </si>
  <si>
    <t>86.0%</t>
  </si>
  <si>
    <t>65.7%</t>
  </si>
  <si>
    <t>Stack, Design, Array</t>
  </si>
  <si>
    <t>80.2%</t>
  </si>
  <si>
    <t>Array, Sliding Window, Queue, Design</t>
  </si>
  <si>
    <t>Design, Matrix, Hashing</t>
  </si>
  <si>
    <t>44.7%</t>
  </si>
  <si>
    <t>Design / Heap</t>
  </si>
  <si>
    <t>45.7%</t>
  </si>
  <si>
    <t>BFS / Math</t>
  </si>
  <si>
    <t>64.6%</t>
  </si>
  <si>
    <t>Heap / Binary Search</t>
  </si>
  <si>
    <t>65.9%</t>
  </si>
  <si>
    <t>Tree, DFS, BFS, Design</t>
  </si>
  <si>
    <t>44.3%</t>
  </si>
  <si>
    <t>49.2%</t>
  </si>
  <si>
    <t>Design, Hashing, Heap</t>
  </si>
  <si>
    <t>Design / Hashing / Heap</t>
  </si>
  <si>
    <t>74.4%</t>
  </si>
  <si>
    <t>Array / Matrix</t>
  </si>
  <si>
    <t>28.3%</t>
  </si>
  <si>
    <t>31.4%</t>
  </si>
  <si>
    <t>45.9%</t>
  </si>
  <si>
    <t>Hashing / Two Pointers</t>
  </si>
  <si>
    <t>86.6%</t>
  </si>
  <si>
    <t>Hashing / Design</t>
  </si>
  <si>
    <t>Array, DFS</t>
  </si>
  <si>
    <t>Array / DFS</t>
  </si>
  <si>
    <t>Design / Queue</t>
  </si>
  <si>
    <t>36.9%</t>
  </si>
  <si>
    <t>Math, Two Pointers</t>
  </si>
  <si>
    <t>Math / Two Pointers</t>
  </si>
  <si>
    <t>Trie / Design / Heap</t>
  </si>
  <si>
    <t>57.0%</t>
  </si>
  <si>
    <t>Design / Linked List</t>
  </si>
  <si>
    <t>Design / Sorted Set</t>
  </si>
  <si>
    <t>Array / Stack</t>
  </si>
  <si>
    <t>Trie / Hashing</t>
  </si>
  <si>
    <t>70.0%</t>
  </si>
  <si>
    <t>75.8%</t>
  </si>
  <si>
    <t>Math, Minimax</t>
  </si>
  <si>
    <t>49.8%</t>
  </si>
  <si>
    <t>67.6%</t>
  </si>
  <si>
    <t>Tree BFS / DFS</t>
  </si>
  <si>
    <t>Array / Hashing</t>
  </si>
  <si>
    <t>84.5%</t>
  </si>
  <si>
    <t>Array, Matrix, Math</t>
  </si>
  <si>
    <t>Matrix / Math</t>
  </si>
  <si>
    <t>78.0%</t>
  </si>
  <si>
    <t>Design / Heap / Stack</t>
  </si>
  <si>
    <t>48.1%</t>
  </si>
  <si>
    <t>78.4%</t>
  </si>
  <si>
    <t>Queue / Design</t>
  </si>
  <si>
    <t>56.0%</t>
  </si>
  <si>
    <t>Heap / Math</t>
  </si>
  <si>
    <t>73.0%</t>
  </si>
  <si>
    <t>Array, Intervals, Two Pointers</t>
  </si>
  <si>
    <t>Two Pointers / Intervals</t>
  </si>
  <si>
    <t>Array, Backtracking, Math</t>
  </si>
  <si>
    <t>Backtracking / Math</t>
  </si>
  <si>
    <t>Math, Simulation</t>
  </si>
  <si>
    <t>Math / Simulation</t>
  </si>
  <si>
    <t>66.9%</t>
  </si>
  <si>
    <t>Design, Array, Binary Search</t>
  </si>
  <si>
    <t>Design / Binary Search</t>
  </si>
  <si>
    <t>65.6%</t>
  </si>
  <si>
    <t>Graph, Union-Find, Greedy</t>
  </si>
  <si>
    <t>Union-Find / Greedy</t>
  </si>
  <si>
    <t>80.0%</t>
  </si>
  <si>
    <t>Array, Two Pointers, Hashing</t>
  </si>
  <si>
    <t>55.2%</t>
  </si>
  <si>
    <t>71.5%</t>
  </si>
  <si>
    <t>37.3%</t>
  </si>
  <si>
    <t>54.6%</t>
  </si>
  <si>
    <t>Array / Design</t>
  </si>
  <si>
    <t>78.3%</t>
  </si>
  <si>
    <t>Design, Linked List, Array</t>
  </si>
  <si>
    <t>72.1%</t>
  </si>
  <si>
    <t>89.9%</t>
  </si>
  <si>
    <t>Array / Hashing / Design</t>
  </si>
  <si>
    <t>45.4%</t>
  </si>
  <si>
    <t>Heap / Sorted Set</t>
  </si>
  <si>
    <t>83.0%</t>
  </si>
  <si>
    <t>Tree, DFS, BST, Hashing</t>
  </si>
  <si>
    <t>Tree DFS / Hashing</t>
  </si>
  <si>
    <t>47.9%</t>
  </si>
  <si>
    <t>75.4%</t>
  </si>
  <si>
    <t>Hashing / String</t>
  </si>
  <si>
    <t>62.2%</t>
  </si>
  <si>
    <t>Graph, DFS, Backtracking</t>
  </si>
  <si>
    <t>DFS / Backtracking</t>
  </si>
  <si>
    <t>61.1%</t>
  </si>
  <si>
    <t>63.0%</t>
  </si>
  <si>
    <t>75.0%</t>
  </si>
  <si>
    <t>Array, Matrix, Bit Manipulation</t>
  </si>
  <si>
    <t>Matrix / Bit Manipulation</t>
  </si>
  <si>
    <t>20.6%</t>
  </si>
  <si>
    <t>76.2%</t>
  </si>
  <si>
    <t>40.2%</t>
  </si>
  <si>
    <t>Matrix / Array</t>
  </si>
  <si>
    <t>78.5%</t>
  </si>
  <si>
    <t>Greedy / Math</t>
  </si>
  <si>
    <t>67.0%</t>
  </si>
  <si>
    <t>🔷 Meta — LeetCode Problems (6-Month Window)</t>
  </si>
  <si>
    <t>225 problems  |  🟢 Easy: 64   🟠 Medium: 132   🔴 Hard: 29  |  Filter 'Problem Types' → Text Filters → Contains</t>
  </si>
  <si>
    <t>23.0%</t>
  </si>
  <si>
    <t>39.4%</t>
  </si>
  <si>
    <t>37.0%</t>
  </si>
  <si>
    <t>77.5%</t>
  </si>
  <si>
    <t>Tree, DFS, BST, Linked List</t>
  </si>
  <si>
    <t>Design, Backtracking, DFS</t>
  </si>
  <si>
    <t>Tree DFS / BFS</t>
  </si>
  <si>
    <t>52.0%</t>
  </si>
  <si>
    <t>Math / Greedy</t>
  </si>
  <si>
    <t>Binary Search / BFS</t>
  </si>
  <si>
    <t>72.3%</t>
  </si>
  <si>
    <t>Hashing / Sorting</t>
  </si>
  <si>
    <t>DFS / Union-Find</t>
  </si>
  <si>
    <t>77.6%</t>
  </si>
  <si>
    <t>Stack / Greedy</t>
  </si>
  <si>
    <t>87.6%</t>
  </si>
  <si>
    <t>Tree, BFS, DFS, Sorting</t>
  </si>
  <si>
    <t>Tree BFS / Sorting</t>
  </si>
  <si>
    <t>Matrix / Sorting</t>
  </si>
  <si>
    <t>63.5%</t>
  </si>
  <si>
    <t>80.9%</t>
  </si>
  <si>
    <t>🪟 Microsoft — LeetCode Problems (6-Month Window)</t>
  </si>
  <si>
    <t>218 problems  |  🟢 Easy: 48   🟠 Medium: 137   🔴 Hard: 33  |  Filter 'Problem Types' → Text Filters → Contains</t>
  </si>
  <si>
    <t>Tree, DFS, Linked List</t>
  </si>
  <si>
    <t>Tree DFS / Linked List</t>
  </si>
  <si>
    <t>43.0%</t>
  </si>
  <si>
    <t>43.6%</t>
  </si>
  <si>
    <t>75.3%</t>
  </si>
  <si>
    <t>65.4%</t>
  </si>
  <si>
    <t>DP / Palindrome</t>
  </si>
  <si>
    <t>BFS / Hashing</t>
  </si>
  <si>
    <t>Graph, Union-Find, DFS</t>
  </si>
  <si>
    <t>Union-Find / DFS</t>
  </si>
  <si>
    <t>🚗 Uber — LeetCode Problems (6-Month Window)</t>
  </si>
  <si>
    <t>183 problems  |  🟢 Easy: 27   🟠 Medium: 110   🔴 Hard: 46  |  Filter 'Problem Types' → Text Filters → Contains</t>
  </si>
  <si>
    <t>40.0%</t>
  </si>
  <si>
    <t>41.3%</t>
  </si>
  <si>
    <t>50.5%</t>
  </si>
  <si>
    <t>59.7%</t>
  </si>
  <si>
    <t>Math / Fisher-Yates</t>
  </si>
  <si>
    <t>Graph, Math, Backtracking</t>
  </si>
  <si>
    <t>Graph / Math</t>
  </si>
  <si>
    <t>56.2%</t>
  </si>
  <si>
    <t>Array, DP, Game Theory</t>
  </si>
  <si>
    <t>DP / Game Theory</t>
  </si>
  <si>
    <t>32.0%</t>
  </si>
  <si>
    <t>String / Binary Search</t>
  </si>
  <si>
    <t>Array, Trie, Hashing</t>
  </si>
  <si>
    <t>69.4%</t>
  </si>
  <si>
    <t>Graph, DFS, Hashing</t>
  </si>
  <si>
    <t>Graph / DFS / Hashing</t>
  </si>
  <si>
    <t>Array / Sorted Set</t>
  </si>
  <si>
    <t>77.4%</t>
  </si>
  <si>
    <t>39.5%</t>
  </si>
  <si>
    <t>DP / DFS</t>
  </si>
  <si>
    <t>Graph DFS / BFS</t>
  </si>
  <si>
    <t>Hashing / Binary Search</t>
  </si>
  <si>
    <t>52.6%</t>
  </si>
  <si>
    <t>Graph / Union-Find</t>
  </si>
  <si>
    <t>67.4%</t>
  </si>
  <si>
    <t>Linked List, Hashing, Prefix Sum</t>
  </si>
  <si>
    <t>51.0%</t>
  </si>
  <si>
    <t>Array, Greedy, Sliding Window, Binary Search</t>
  </si>
  <si>
    <t>Greedy / Sliding Window</t>
  </si>
  <si>
    <t>Dijkstra / DP</t>
  </si>
  <si>
    <t>Array, Sliding Window, Heap</t>
  </si>
  <si>
    <t>Sliding Window / Heap</t>
  </si>
  <si>
    <t>Tree, DFS, Hashing</t>
  </si>
  <si>
    <t>50.9%</t>
  </si>
  <si>
    <t>📦  Amazon — LeetCode Problems (6-Month Window)  |  659 Problems</t>
  </si>
  <si>
    <t>238 problems  |  🟢 Easy: 52   🟠 Medium: 150   🔴 Hard: 36  |  Filter 'Problem Types' → Text Filters → Contains</t>
  </si>
  <si>
    <t>Boats to Save People</t>
  </si>
  <si>
    <t>DFS / Tarjan</t>
  </si>
  <si>
    <t>Array, Trie, Binary Search</t>
  </si>
  <si>
    <t>Trie / Binary Search</t>
  </si>
  <si>
    <t>84.6%</t>
  </si>
  <si>
    <t>35.3%</t>
  </si>
  <si>
    <t>Hashing/Sorting</t>
  </si>
  <si>
    <t>76.6%</t>
  </si>
  <si>
    <t>79.5%</t>
  </si>
  <si>
    <t>51.7%</t>
  </si>
  <si>
    <t>String/Math</t>
  </si>
  <si>
    <t>Sliding Window/Hashing</t>
  </si>
  <si>
    <t>61.9%</t>
  </si>
  <si>
    <t>DP/Binary Search</t>
  </si>
  <si>
    <t>Tree DFS/BST</t>
  </si>
  <si>
    <t>Heap/Greedy</t>
  </si>
  <si>
    <t>Trie/Design</t>
  </si>
  <si>
    <t>Math/String</t>
  </si>
  <si>
    <t>48.2%</t>
  </si>
  <si>
    <t>Stack/Greedy</t>
  </si>
  <si>
    <t>Stack/Queue</t>
  </si>
  <si>
    <t>Design/Hashing</t>
  </si>
  <si>
    <t>81.7%</t>
  </si>
  <si>
    <t>Hashing/Prefix Sum</t>
  </si>
  <si>
    <t>87.4%</t>
  </si>
  <si>
    <t>46.0%</t>
  </si>
  <si>
    <t>31.2%</t>
  </si>
  <si>
    <t>39.2%</t>
  </si>
  <si>
    <t>Linked List/Stack</t>
  </si>
  <si>
    <t>59.1%</t>
  </si>
  <si>
    <t>57.6%</t>
  </si>
  <si>
    <t>66.5%</t>
  </si>
  <si>
    <t>Reverse Words in a String III</t>
  </si>
  <si>
    <t>84.0%</t>
  </si>
  <si>
    <t>43.7%</t>
  </si>
  <si>
    <t>Hashing/Array</t>
  </si>
  <si>
    <t>75.1%</t>
  </si>
  <si>
    <t>46.7%</t>
  </si>
  <si>
    <t>36.7%</t>
  </si>
  <si>
    <t>Design/Heap</t>
  </si>
  <si>
    <t>86.7%</t>
  </si>
  <si>
    <t>25.3%</t>
  </si>
  <si>
    <t>71.7%</t>
  </si>
  <si>
    <t>Maximum Number of Vowels in a Substring of Given Length</t>
  </si>
  <si>
    <t>Math/Backtracking</t>
  </si>
  <si>
    <t>Maximum Running Time of N Computers</t>
  </si>
  <si>
    <t>85.2%</t>
  </si>
  <si>
    <t>79.9%</t>
  </si>
  <si>
    <t>Stack/Design</t>
  </si>
  <si>
    <t>64.8%</t>
  </si>
  <si>
    <t>Array/Math</t>
  </si>
  <si>
    <t>59.8%</t>
  </si>
  <si>
    <t>84.1%</t>
  </si>
  <si>
    <t>87.1%</t>
  </si>
  <si>
    <t>Greedy/Heap</t>
  </si>
  <si>
    <t>Queue/Design</t>
  </si>
  <si>
    <t>26.9%</t>
  </si>
  <si>
    <t>DP/BFS</t>
  </si>
  <si>
    <t>71.2%</t>
  </si>
  <si>
    <t>87.2%</t>
  </si>
  <si>
    <t>Number of Ways to Paint N x 3 Grid</t>
  </si>
  <si>
    <t>67.5%</t>
  </si>
  <si>
    <t>Maximum Level Sum of a Binary Tree</t>
  </si>
  <si>
    <t>Maximum Product of Splitted Binary Tree</t>
  </si>
  <si>
    <t>55.7%</t>
  </si>
  <si>
    <t>Max Dot Product of Two Subsequences</t>
  </si>
  <si>
    <t>Design/Linked List</t>
  </si>
  <si>
    <t>88.8%</t>
  </si>
  <si>
    <t>Count Negative Numbers in a Sorted Matrix</t>
  </si>
  <si>
    <t>79.6%</t>
  </si>
  <si>
    <t>Geometry/Math</t>
  </si>
  <si>
    <t>Tree/Math</t>
  </si>
  <si>
    <t>62.3%</t>
  </si>
  <si>
    <t>Binary Search/Design</t>
  </si>
  <si>
    <t>84.2%</t>
  </si>
  <si>
    <t>Tree/Binary Search</t>
  </si>
  <si>
    <t>63.2%</t>
  </si>
  <si>
    <t>88.3%</t>
  </si>
  <si>
    <t>34.7%</t>
  </si>
  <si>
    <t>83.2%</t>
  </si>
  <si>
    <t>Binary Search/2D</t>
  </si>
  <si>
    <t>90.1%</t>
  </si>
  <si>
    <t>70.5%</t>
  </si>
  <si>
    <t>75.2%</t>
  </si>
  <si>
    <t>86.3%</t>
  </si>
  <si>
    <t>46.3%</t>
  </si>
  <si>
    <t>Minimum Removals to Balance Array</t>
  </si>
  <si>
    <t>Stack/Hashing</t>
  </si>
  <si>
    <t>33.7%</t>
  </si>
  <si>
    <t>Math/Hashing</t>
  </si>
  <si>
    <t>83.6%</t>
  </si>
  <si>
    <t>64.9%</t>
  </si>
  <si>
    <t>Math/Bit</t>
  </si>
  <si>
    <t>Count of Range Sum</t>
  </si>
  <si>
    <t>38.9%</t>
  </si>
  <si>
    <t>Binary Search/Merge Sort</t>
  </si>
  <si>
    <t>Find if Path Exists in Graph</t>
  </si>
  <si>
    <t>BFS/DFS</t>
  </si>
  <si>
    <t>Trie/DP</t>
  </si>
  <si>
    <t>79.3%</t>
  </si>
  <si>
    <t>String/Recursion</t>
  </si>
  <si>
    <t>85.8%</t>
  </si>
  <si>
    <t>74.3%</t>
  </si>
  <si>
    <t>61.6%</t>
  </si>
  <si>
    <t>Bit Manipulation/Sorting</t>
  </si>
  <si>
    <t>84.3%</t>
  </si>
  <si>
    <t>93.0%</t>
  </si>
  <si>
    <t>52.3%</t>
  </si>
  <si>
    <t>KMP</t>
  </si>
  <si>
    <t>DFS/Matrix</t>
  </si>
  <si>
    <t>70.1%</t>
  </si>
  <si>
    <t>45.1%</t>
  </si>
  <si>
    <t>Find Kth Bit in Nth Binary String</t>
  </si>
  <si>
    <t>Recursion</t>
  </si>
  <si>
    <t>90.5%</t>
  </si>
  <si>
    <t>Minimum Number of Flips to Make the Binary String Alternating</t>
  </si>
  <si>
    <t>53.5%</t>
  </si>
  <si>
    <t>81.2%</t>
  </si>
  <si>
    <t>Array/Sorting</t>
  </si>
  <si>
    <t>String/Array</t>
  </si>
  <si>
    <t>58.9%</t>
  </si>
  <si>
    <t>31.8%</t>
  </si>
  <si>
    <t>73.8%</t>
  </si>
  <si>
    <t>MST</t>
  </si>
  <si>
    <t>Two Pointers/Stack</t>
  </si>
  <si>
    <t>94.5%</t>
  </si>
  <si>
    <t>57.3%</t>
  </si>
  <si>
    <t>18.9%</t>
  </si>
  <si>
    <t>41.5%</t>
  </si>
  <si>
    <t>21.1%</t>
  </si>
  <si>
    <t>DP/Math</t>
  </si>
  <si>
    <t>Matrix/Greedy</t>
  </si>
  <si>
    <t>47.2%</t>
  </si>
  <si>
    <t>78.8%</t>
  </si>
  <si>
    <t>82.4%</t>
  </si>
  <si>
    <t>74.8%</t>
  </si>
  <si>
    <t>89.8%</t>
  </si>
  <si>
    <t>59.0%</t>
  </si>
  <si>
    <t>Queue/Hashing</t>
  </si>
  <si>
    <t>BFS/Union-Find</t>
  </si>
  <si>
    <t>Tree/Linked List</t>
  </si>
  <si>
    <t>29.7%</t>
  </si>
  <si>
    <t>40.3%</t>
  </si>
  <si>
    <t>Bit Manipulation/DP</t>
  </si>
  <si>
    <t>Sliding Window/Heap</t>
  </si>
  <si>
    <t>42.7%</t>
  </si>
  <si>
    <t>52.5%</t>
  </si>
  <si>
    <t>73.1%</t>
  </si>
  <si>
    <t>Array, Simulation</t>
  </si>
  <si>
    <t>77.3%</t>
  </si>
  <si>
    <t>21.8%</t>
  </si>
  <si>
    <t>34.3%</t>
  </si>
  <si>
    <t>73.5%</t>
  </si>
  <si>
    <t>Linked List/Hashing</t>
  </si>
  <si>
    <t>46.8%</t>
  </si>
  <si>
    <t>Math/Binary Search</t>
  </si>
  <si>
    <t>BFS/Backtracking</t>
  </si>
  <si>
    <t>Array/Binary Search</t>
  </si>
  <si>
    <t>36.3%</t>
  </si>
  <si>
    <t>DFS/Backtracking</t>
  </si>
  <si>
    <t>71.8%</t>
  </si>
  <si>
    <t>72.2%</t>
  </si>
  <si>
    <t>50.4%</t>
  </si>
  <si>
    <t>Intervals/Sorting</t>
  </si>
  <si>
    <t>Design/Sorted Set</t>
  </si>
  <si>
    <t>91.1%</t>
  </si>
  <si>
    <t>Tree DFS/Backtracking</t>
  </si>
  <si>
    <t>37.1%</t>
  </si>
  <si>
    <t>String/Greedy</t>
  </si>
  <si>
    <t>46.1%</t>
  </si>
  <si>
    <t>Math/Heap</t>
  </si>
  <si>
    <t>18.7%</t>
  </si>
  <si>
    <t>72.5%</t>
  </si>
  <si>
    <t>Rotating the Box</t>
  </si>
  <si>
    <t>82.5%</t>
  </si>
  <si>
    <t>46.2%</t>
  </si>
  <si>
    <t>Cyclically Rotating a Grid</t>
  </si>
  <si>
    <t>50.8%</t>
  </si>
  <si>
    <t>63.9%</t>
  </si>
  <si>
    <t>31.6%</t>
  </si>
  <si>
    <t>Minimum Moves to Make Array Complementary</t>
  </si>
  <si>
    <t>DP/Difference Array</t>
  </si>
  <si>
    <t>Design, Stack</t>
  </si>
  <si>
    <t>26.7%</t>
  </si>
  <si>
    <t>Sorting/Hashing</t>
  </si>
  <si>
    <t>53.0%</t>
  </si>
  <si>
    <t>79.7%</t>
  </si>
  <si>
    <t>🔍 FILTER TIPS:  ▼ on Difficulty → filter Easy / Medium / Hard  |  ▼ on Problem Types → Text Filters → Contains → type e.g. 'Array' or 'DP'  |  For multiple types: Custom Filter → Contains 'Array' AND/OR Contains 'BFS'</t>
  </si>
  <si>
    <t>🔍 FILTER TIPS:  ▼ on Difficulty → filter Easy / Medium / Hard  |  ▼ on Topic → Text Filters → Contains → type e.g. 'Array' or 'DP'</t>
  </si>
  <si>
    <t>🔍 FILTER TIPS:  ▼ on Difficulty → select Easy / Medium / Hard  |  ▼ on Problem Types → Text Filters → Contains → type e.g. 'Array' or 'DP'  |  For AND: Custom Filter → Contains 'Array' AND Contains 'BFS'  |  For OR: Custom Filter → Contains 'Graph' OR Contains 'DFS'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</si>
</sst>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charset val="1"/>
    </font>
    <font>
      <b/>
      <sz val="18"/>
      <color rgb="FFFFFFFF"/>
      <name val="Calibri"/>
      <family val="2"/>
      <charset val="1"/>
    </font>
    <font>
      <sz val="11"/>
      <color rgb="FF1F3864"/>
      <name val="Calibri"/>
      <family val="2"/>
      <charset val="1"/>
    </font>
    <font>
      <b/>
      <sz val="12"/>
      <color rgb="FFFFFFFF"/>
      <name val="Calibri"/>
      <family val="2"/>
      <charset val="1"/>
    </font>
    <font>
      <b/>
      <sz val="10"/>
      <color rgb="FFFFFFFF"/>
      <name val="Calibri"/>
      <family val="2"/>
      <charset val="1"/>
    </font>
    <font>
      <sz val="10"/>
      <color rgb="FF000000"/>
      <name val="Calibri"/>
      <family val="2"/>
      <charset val="1"/>
    </font>
    <font>
      <b/>
      <sz val="16"/>
      <color rgb="FFFFFFFF"/>
      <name val="Calibri"/>
      <family val="2"/>
      <charset val="1"/>
    </font>
    <font>
      <b/>
      <sz val="10"/>
      <color rgb="FF000000"/>
      <name val="Calibri"/>
      <family val="2"/>
      <charset val="1"/>
    </font>
    <font>
      <b/>
      <sz val="14"/>
      <color rgb="FFFFFFFF"/>
      <name val="Calibri"/>
      <family val="2"/>
      <charset val="1"/>
    </font>
    <font>
      <sz val="10"/>
      <name val="Calibri"/>
      <family val="2"/>
      <charset val="1"/>
    </font>
    <font>
      <b/>
      <sz val="10"/>
      <color rgb="FF555555"/>
      <name val="Calibri"/>
      <family val="2"/>
      <charset val="1"/>
    </font>
    <font>
      <b/>
      <sz val="10"/>
      <color rgb="FF2E7D32"/>
      <name val="Calibri"/>
      <family val="2"/>
      <charset val="1"/>
    </font>
    <font>
      <b/>
      <sz val="10"/>
      <color rgb="FFE65100"/>
      <name val="Calibri"/>
      <family val="2"/>
      <charset val="1"/>
    </font>
    <font>
      <b/>
      <sz val="10"/>
      <color rgb="FFC62828"/>
      <name val="Calibri"/>
      <family val="2"/>
      <charset val="1"/>
    </font>
    <font>
      <b/>
      <sz val="10"/>
      <color rgb="FF1F3864"/>
      <name val="Calibri"/>
      <family val="2"/>
      <charset val="1"/>
    </font>
    <font>
      <sz val="10"/>
      <color rgb="FF1F3864"/>
      <name val="Calibri"/>
      <family val="2"/>
      <charset val="1"/>
    </font>
    <font>
      <b/>
      <sz val="11"/>
      <color rgb="FFFFFFFF"/>
      <name val="Calibri"/>
      <family val="2"/>
      <charset val="1"/>
    </font>
    <font>
      <b/>
      <sz val="15"/>
      <color rgb="FFFFFFFF"/>
      <name val="Calibri"/>
      <family val="2"/>
      <charset val="1"/>
    </font>
    <font>
      <sz val="10"/>
      <color rgb="FF1A237E"/>
      <name val="Calibri"/>
      <family val="2"/>
      <charset val="1"/>
    </font>
    <font>
      <sz val="10"/>
      <color rgb="FF333333"/>
      <name val="Calibri"/>
      <family val="2"/>
      <charset val="1"/>
    </font>
    <font>
      <b/>
      <sz val="10"/>
      <color rgb="FFFFFFFF"/>
      <name val="Calibri"/>
      <family val="2"/>
    </font>
    <font>
      <u/>
      <sz val="10"/>
      <color rgb="FF0563C1"/>
      <name val="Calibri"/>
      <family val="2"/>
    </font>
    <font>
      <sz val="10"/>
      <name val="Calibri"/>
      <family val="2"/>
    </font>
    <font>
      <b/>
      <sz val="10"/>
      <name val="Calibri"/>
      <family val="2"/>
    </font>
    <font>
      <b/>
      <sz val="10"/>
      <color rgb="FFE65100"/>
      <name val="Calibri"/>
      <family val="2"/>
    </font>
    <font>
      <b/>
      <sz val="10"/>
      <color rgb="FF2E7D32"/>
      <name val="Calibri"/>
      <family val="2"/>
    </font>
    <font>
      <b/>
      <sz val="10"/>
      <color rgb="FFC62828"/>
      <name val="Calibri"/>
      <family val="2"/>
    </font>
    <font>
      <u/>
      <sz val="11"/>
      <color rgb="FF0563C1"/>
      <name val="Calibri"/>
      <family val="2"/>
    </font>
    <font>
      <b/>
      <sz val="10"/>
      <color rgb="FFFFFFFF"/>
      <name val="Calibri"/>
      <family val="2"/>
    </font>
    <font>
      <sz val="10"/>
      <name val="Calibri"/>
      <family val="2"/>
    </font>
    <font>
      <b/>
      <sz val="18"/>
      <color rgb="FFFFFFFF"/>
      <name val="Calibri"/>
      <family val="2"/>
    </font>
    <font>
      <i/>
      <sz val="9"/>
      <color rgb="FF555555"/>
      <name val="Calibri"/>
      <family val="2"/>
    </font>
    <font>
      <b/>
      <sz val="12"/>
      <color rgb="FFFFFFFF"/>
      <name val="Calibri"/>
      <family val="2"/>
    </font>
    <font>
      <b/>
      <sz val="10"/>
      <name val="Calibri"/>
      <family val="2"/>
    </font>
    <font>
      <sz val="10"/>
      <color rgb="FF1E7BDB"/>
      <name val="Calibri"/>
      <family val="2"/>
    </font>
    <font>
      <u/>
      <sz val="11"/>
      <color theme="10"/>
      <name val="Calibri"/>
      <family val="2"/>
    </font>
    <font>
      <i/>
      <sz val="9"/>
      <color rgb="FF595959"/>
      <name val="Calibri"/>
      <family val="2"/>
      <charset val="1"/>
    </font>
    <font>
      <i/>
      <sz val="9"/>
      <color rgb="FF595959"/>
      <name val="Calibri"/>
      <family val="2"/>
    </font>
  </fonts>
  <fills count="82">
    <fill>
      <patternFill patternType="none"/>
    </fill>
    <fill>
      <patternFill patternType="gray125"/>
    </fill>
    <fill>
      <patternFill patternType="mediumGray">
        <fgColor rgb="FF1D3369"/>
        <bgColor rgb="FF1E3763"/>
      </patternFill>
    </fill>
    <fill>
      <patternFill patternType="solid">
        <fgColor rgb="FFE5E8F4"/>
        <bgColor rgb="FFEDE7F6"/>
      </patternFill>
    </fill>
    <fill>
      <patternFill patternType="darkGray">
        <fgColor rgb="FF1E7BDB"/>
        <bgColor rgb="FF4285F4"/>
      </patternFill>
    </fill>
    <fill>
      <patternFill patternType="solid">
        <fgColor rgb="FF1E7BDB"/>
        <bgColor rgb="FF0474E9"/>
      </patternFill>
    </fill>
    <fill>
      <patternFill patternType="solid">
        <fgColor rgb="FFFFFFFF"/>
        <bgColor rgb="FFFAFAFA"/>
      </patternFill>
    </fill>
    <fill>
      <patternFill patternType="solid">
        <fgColor rgb="FFEBF3FB"/>
        <bgColor rgb="FFE8F4FD"/>
      </patternFill>
    </fill>
    <fill>
      <patternFill patternType="solid">
        <fgColor rgb="FF5A9936"/>
        <bgColor rgb="FF1D7434"/>
      </patternFill>
    </fill>
    <fill>
      <patternFill patternType="darkGray">
        <fgColor rgb="FF3A5A3A"/>
        <bgColor rgb="FF1F6936"/>
      </patternFill>
    </fill>
    <fill>
      <patternFill patternType="solid">
        <fgColor rgb="FF6C1291"/>
        <bgColor rgb="FF721888"/>
      </patternFill>
    </fill>
    <fill>
      <patternFill patternType="solid">
        <fgColor rgb="FFF3E5FF"/>
        <bgColor rgb="FFF0E6FF"/>
      </patternFill>
    </fill>
    <fill>
      <patternFill patternType="solid">
        <fgColor rgb="FFFFF2CF"/>
        <bgColor rgb="FFFFF3CD"/>
      </patternFill>
    </fill>
    <fill>
      <patternFill patternType="solid">
        <fgColor rgb="FFDDEEFF"/>
        <bgColor rgb="FFE3F2FD"/>
      </patternFill>
    </fill>
    <fill>
      <patternFill patternType="solid">
        <fgColor rgb="FFDDFFEE"/>
        <bgColor rgb="FFE6F9E6"/>
      </patternFill>
    </fill>
    <fill>
      <patternFill patternType="solid">
        <fgColor rgb="FFFFF3CD"/>
        <bgColor rgb="FFFFF2CF"/>
      </patternFill>
    </fill>
    <fill>
      <patternFill patternType="solid">
        <fgColor rgb="FFFFE0CC"/>
        <bgColor rgb="FFFFE6E6"/>
      </patternFill>
    </fill>
    <fill>
      <patternFill patternType="solid">
        <fgColor rgb="FFF0E6FF"/>
        <bgColor rgb="FFF3E5FF"/>
      </patternFill>
    </fill>
    <fill>
      <patternFill patternType="solid">
        <fgColor rgb="FFFFE6E6"/>
        <bgColor rgb="FFFCE4EC"/>
      </patternFill>
    </fill>
    <fill>
      <patternFill patternType="solid">
        <fgColor rgb="FFE6F9E6"/>
        <bgColor rgb="FFE8F5E9"/>
      </patternFill>
    </fill>
    <fill>
      <patternFill patternType="solid">
        <fgColor rgb="FFE0F4FF"/>
        <bgColor rgb="FFE3F2FD"/>
      </patternFill>
    </fill>
    <fill>
      <patternFill patternType="solid">
        <fgColor rgb="FFFB9D0B"/>
        <bgColor rgb="FFF07806"/>
      </patternFill>
    </fill>
    <fill>
      <patternFill patternType="solid">
        <fgColor rgb="FFFFF0D0"/>
        <bgColor rgb="FFFFF2CF"/>
      </patternFill>
    </fill>
    <fill>
      <patternFill patternType="solid">
        <fgColor rgb="FFF2F2F2"/>
        <bgColor rgb="FFF5F5F5"/>
      </patternFill>
    </fill>
    <fill>
      <patternFill patternType="solid">
        <fgColor rgb="FF1E3763"/>
        <bgColor rgb="FF1D3369"/>
      </patternFill>
    </fill>
    <fill>
      <patternFill patternType="solid">
        <fgColor rgb="FFF0F4FF"/>
        <bgColor rgb="FFEEF6FF"/>
      </patternFill>
    </fill>
    <fill>
      <patternFill patternType="solid">
        <fgColor rgb="FFE65801"/>
        <bgColor rgb="FFF07806"/>
      </patternFill>
    </fill>
    <fill>
      <patternFill patternType="darkGray">
        <fgColor rgb="FF721888"/>
        <bgColor rgb="FF6C1291"/>
      </patternFill>
    </fill>
    <fill>
      <patternFill patternType="darkGray">
        <fgColor rgb="FF1D7434"/>
        <bgColor rgb="FF1F6936"/>
      </patternFill>
    </fill>
    <fill>
      <patternFill patternType="solid">
        <fgColor rgb="FFF07806"/>
        <bgColor rgb="FFE65801"/>
      </patternFill>
    </fill>
    <fill>
      <patternFill patternType="solid">
        <fgColor rgb="FF721888"/>
        <bgColor rgb="FF6C1291"/>
      </patternFill>
    </fill>
    <fill>
      <patternFill patternType="darkGray">
        <fgColor rgb="FF1F6936"/>
        <bgColor rgb="FF1D7434"/>
      </patternFill>
    </fill>
    <fill>
      <patternFill patternType="solid">
        <fgColor rgb="FFC82C27"/>
        <bgColor rgb="FFE65801"/>
      </patternFill>
    </fill>
    <fill>
      <patternFill patternType="darkGray">
        <fgColor rgb="FF6C1291"/>
        <bgColor rgb="FF721888"/>
      </patternFill>
    </fill>
    <fill>
      <patternFill patternType="solid">
        <fgColor rgb="FFF5EEF8"/>
        <bgColor rgb="FFF2F2F2"/>
      </patternFill>
    </fill>
    <fill>
      <patternFill patternType="solid">
        <fgColor rgb="FFE8F5E9"/>
        <bgColor rgb="FFE6F9E6"/>
      </patternFill>
    </fill>
    <fill>
      <patternFill patternType="solid">
        <fgColor rgb="FFFDECEA"/>
        <bgColor rgb="FFFBE9E7"/>
      </patternFill>
    </fill>
    <fill>
      <patternFill patternType="mediumGray">
        <fgColor rgb="FF1F6936"/>
        <bgColor rgb="FF3A5A3A"/>
      </patternFill>
    </fill>
    <fill>
      <patternFill patternType="solid">
        <fgColor rgb="FFE1F2F1"/>
        <bgColor rgb="FFE3F2FD"/>
      </patternFill>
    </fill>
    <fill>
      <patternFill patternType="solid">
        <fgColor rgb="FFE8F4FD"/>
        <bgColor rgb="FFE7F3FF"/>
      </patternFill>
    </fill>
    <fill>
      <patternFill patternType="solid">
        <fgColor rgb="FFFFF3E0"/>
        <bgColor rgb="FFFFF8E1"/>
      </patternFill>
    </fill>
    <fill>
      <patternFill patternType="solid">
        <fgColor rgb="FFFFF8E1"/>
        <bgColor rgb="FFFFF3E0"/>
      </patternFill>
    </fill>
    <fill>
      <patternFill patternType="solid">
        <fgColor rgb="FFF3E5F5"/>
        <bgColor rgb="FFF3E5FF"/>
      </patternFill>
    </fill>
    <fill>
      <patternFill patternType="solid">
        <fgColor rgb="FFFCE4EC"/>
        <bgColor rgb="FFFFE6E6"/>
      </patternFill>
    </fill>
    <fill>
      <patternFill patternType="solid">
        <fgColor rgb="FFF9FBE7"/>
        <bgColor rgb="FFFFF8E1"/>
      </patternFill>
    </fill>
    <fill>
      <patternFill patternType="solid">
        <fgColor rgb="FFFBE9E7"/>
        <bgColor rgb="FFFDECEA"/>
      </patternFill>
    </fill>
    <fill>
      <patternFill patternType="solid">
        <fgColor rgb="FFEDE7F6"/>
        <bgColor rgb="FFF0E6FF"/>
      </patternFill>
    </fill>
    <fill>
      <patternFill patternType="solid">
        <fgColor rgb="FFE3F2FD"/>
        <bgColor rgb="FFE6F4FF"/>
      </patternFill>
    </fill>
    <fill>
      <patternFill patternType="solid">
        <fgColor rgb="FFFFF9C4"/>
        <bgColor rgb="FFFFF3CD"/>
      </patternFill>
    </fill>
    <fill>
      <patternFill patternType="solid">
        <fgColor rgb="FFFAFAFA"/>
        <bgColor rgb="FFFFFFFF"/>
      </patternFill>
    </fill>
    <fill>
      <patternFill patternType="solid">
        <fgColor rgb="FFF1F8E9"/>
        <bgColor rgb="FFF9FBE7"/>
      </patternFill>
    </fill>
    <fill>
      <patternFill patternType="solid">
        <fgColor rgb="FF4285F4"/>
        <bgColor rgb="FF1E7BDB"/>
      </patternFill>
    </fill>
    <fill>
      <patternFill patternType="solid">
        <fgColor rgb="FFEEF6FF"/>
        <bgColor rgb="FFF0F8FF"/>
      </patternFill>
    </fill>
    <fill>
      <patternFill patternType="solid">
        <fgColor rgb="FF0474E9"/>
        <bgColor rgb="FF1E7BDB"/>
      </patternFill>
    </fill>
    <fill>
      <patternFill patternType="solid">
        <fgColor rgb="FFF0F8FF"/>
        <bgColor rgb="FFEEF6FF"/>
      </patternFill>
    </fill>
    <fill>
      <patternFill patternType="darkGray">
        <fgColor rgb="FF1E7BDB"/>
        <bgColor rgb="FF0474E9"/>
      </patternFill>
    </fill>
    <fill>
      <patternFill patternType="solid">
        <fgColor rgb="FFE7F3FF"/>
        <bgColor rgb="FFE6F4FF"/>
      </patternFill>
    </fill>
    <fill>
      <patternFill patternType="darkGray">
        <fgColor rgb="FF0474E9"/>
        <bgColor rgb="FF1E7BDB"/>
      </patternFill>
    </fill>
    <fill>
      <patternFill patternType="solid">
        <fgColor rgb="FFE6F4FF"/>
        <bgColor rgb="FFE7F3FF"/>
      </patternFill>
    </fill>
    <fill>
      <patternFill patternType="solid">
        <fgColor rgb="FF000000"/>
        <bgColor rgb="FF142244"/>
      </patternFill>
    </fill>
    <fill>
      <patternFill patternType="solid">
        <fgColor rgb="FF142244"/>
        <bgColor rgb="FF1D3369"/>
      </patternFill>
    </fill>
    <fill>
      <patternFill patternType="solid">
        <fgColor rgb="FFF5F5F5"/>
        <bgColor rgb="FFF2F2F2"/>
      </patternFill>
    </fill>
    <fill>
      <patternFill patternType="darkGray">
        <fgColor rgb="FFFB9D0B"/>
        <bgColor rgb="FFF07806"/>
      </patternFill>
    </fill>
    <fill>
      <patternFill patternType="solid">
        <fgColor rgb="FFF07806"/>
        <bgColor rgb="FFE65801"/>
      </patternFill>
    </fill>
    <fill>
      <patternFill patternType="solid">
        <fgColor rgb="FFFFF8EE"/>
        <bgColor rgb="FFFFF8E1"/>
      </patternFill>
    </fill>
    <fill>
      <patternFill patternType="solid">
        <fgColor rgb="FF1E7BDB"/>
      </patternFill>
    </fill>
    <fill>
      <patternFill patternType="solid">
        <fgColor rgb="FF1D3369"/>
      </patternFill>
    </fill>
    <fill>
      <patternFill patternType="solid">
        <fgColor rgb="FFEAF2FB"/>
      </patternFill>
    </fill>
    <fill>
      <patternFill patternType="solid">
        <fgColor rgb="FFF4F8FD"/>
      </patternFill>
    </fill>
    <fill>
      <patternFill patternType="solid">
        <fgColor rgb="FFFFFFFF"/>
        <bgColor indexed="64"/>
      </patternFill>
    </fill>
    <fill>
      <patternFill patternType="solid">
        <fgColor rgb="FFF5EEF8"/>
        <bgColor indexed="64"/>
      </patternFill>
    </fill>
    <fill>
      <patternFill patternType="solid">
        <fgColor rgb="FFE8F5E9"/>
        <bgColor indexed="64"/>
      </patternFill>
    </fill>
    <fill>
      <patternFill patternType="solid">
        <fgColor rgb="FFEEF6FF"/>
        <bgColor indexed="64"/>
      </patternFill>
    </fill>
    <fill>
      <patternFill patternType="solid">
        <fgColor rgb="FFF0F8FF"/>
        <bgColor indexed="64"/>
      </patternFill>
    </fill>
    <fill>
      <patternFill patternType="solid">
        <fgColor rgb="FFE7F3FF"/>
        <bgColor indexed="64"/>
      </patternFill>
    </fill>
    <fill>
      <patternFill patternType="solid">
        <fgColor rgb="FFE6F4FF"/>
        <bgColor indexed="64"/>
      </patternFill>
    </fill>
    <fill>
      <patternFill patternType="solid">
        <fgColor rgb="FFF5F5F5"/>
        <bgColor indexed="64"/>
      </patternFill>
    </fill>
    <fill>
      <patternFill patternType="solid">
        <fgColor rgb="FFF0F4FF"/>
        <bgColor indexed="64"/>
      </patternFill>
    </fill>
    <fill>
      <patternFill patternType="solid">
        <fgColor rgb="FFFDECEA"/>
        <bgColor indexed="64"/>
      </patternFill>
    </fill>
    <fill>
      <patternFill patternType="solid">
        <fgColor rgb="FFF3E5FF"/>
        <bgColor indexed="64"/>
      </patternFill>
    </fill>
    <fill>
      <patternFill patternType="solid">
        <fgColor rgb="FFEBF3FB"/>
        <bgColor indexed="64"/>
      </patternFill>
    </fill>
    <fill>
      <patternFill patternType="solid">
        <fgColor rgb="FFF4F8FD"/>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s>
  <cellStyleXfs count="2">
    <xf numFmtId="0" fontId="0" fillId="0" borderId="0"/>
    <xf numFmtId="0" fontId="35" fillId="0" borderId="0" applyNumberFormat="0" applyFill="0" applyBorder="0" applyAlignment="0" applyProtection="0"/>
  </cellStyleXfs>
  <cellXfs count="356">
    <xf numFmtId="0" fontId="0" fillId="0" borderId="0" xfId="0"/>
    <xf numFmtId="0" fontId="4"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7"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9" fillId="0" borderId="0" xfId="0" applyFont="1"/>
    <xf numFmtId="0" fontId="4" fillId="10" borderId="1" xfId="0" applyFont="1" applyFill="1" applyBorder="1" applyAlignment="1">
      <alignment horizontal="center" vertical="center" wrapText="1"/>
    </xf>
    <xf numFmtId="0" fontId="7" fillId="6" borderId="1" xfId="0" applyFont="1" applyFill="1" applyBorder="1" applyAlignment="1">
      <alignment horizontal="left" vertical="center"/>
    </xf>
    <xf numFmtId="0" fontId="10" fillId="6"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11" borderId="1" xfId="0" applyFont="1" applyFill="1" applyBorder="1" applyAlignment="1">
      <alignment horizontal="left" vertical="center" wrapText="1"/>
    </xf>
    <xf numFmtId="0" fontId="11" fillId="11"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11" borderId="1" xfId="0" applyFont="1" applyFill="1" applyBorder="1" applyAlignment="1">
      <alignment horizontal="center" vertical="center"/>
    </xf>
    <xf numFmtId="0" fontId="13"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13" fillId="11" borderId="1" xfId="0" applyFont="1" applyFill="1" applyBorder="1" applyAlignment="1">
      <alignment horizontal="center" vertical="center"/>
    </xf>
    <xf numFmtId="0" fontId="10" fillId="11" borderId="1" xfId="0" applyFont="1" applyFill="1" applyBorder="1" applyAlignment="1">
      <alignment horizontal="center" vertical="center"/>
    </xf>
    <xf numFmtId="0" fontId="7"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0" fontId="5" fillId="15"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5" fillId="16" borderId="1" xfId="0" applyFont="1" applyFill="1" applyBorder="1" applyAlignment="1">
      <alignment horizontal="left" vertical="center" wrapText="1"/>
    </xf>
    <xf numFmtId="0" fontId="5"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5" fillId="17" borderId="1" xfId="0" applyFont="1" applyFill="1" applyBorder="1" applyAlignment="1">
      <alignment horizontal="left" vertical="center" wrapText="1"/>
    </xf>
    <xf numFmtId="0" fontId="5" fillId="17"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5" fillId="18" borderId="1" xfId="0" applyFont="1" applyFill="1" applyBorder="1" applyAlignment="1">
      <alignment horizontal="left" vertical="center" wrapText="1"/>
    </xf>
    <xf numFmtId="0" fontId="5" fillId="18"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5" fillId="19" borderId="1" xfId="0" applyFont="1" applyFill="1" applyBorder="1" applyAlignment="1">
      <alignment horizontal="left" vertical="center" wrapText="1"/>
    </xf>
    <xf numFmtId="0" fontId="5" fillId="19" borderId="1" xfId="0" applyFont="1" applyFill="1" applyBorder="1" applyAlignment="1">
      <alignment horizontal="center" vertical="center" wrapText="1"/>
    </xf>
    <xf numFmtId="0" fontId="7" fillId="20" borderId="1" xfId="0" applyFont="1" applyFill="1" applyBorder="1" applyAlignment="1">
      <alignment horizontal="center" vertical="center" wrapText="1"/>
    </xf>
    <xf numFmtId="0" fontId="5" fillId="20" borderId="1" xfId="0" applyFont="1" applyFill="1" applyBorder="1" applyAlignment="1">
      <alignment horizontal="left" vertical="center" wrapText="1"/>
    </xf>
    <xf numFmtId="0" fontId="5" fillId="20"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5" fillId="22" borderId="1" xfId="0" applyFont="1" applyFill="1" applyBorder="1" applyAlignment="1">
      <alignment horizontal="center" vertical="center"/>
    </xf>
    <xf numFmtId="0" fontId="5" fillId="22" borderId="1" xfId="0" applyFont="1" applyFill="1" applyBorder="1" applyAlignment="1">
      <alignment horizontal="left" vertical="center" wrapText="1"/>
    </xf>
    <xf numFmtId="0" fontId="4" fillId="24" borderId="1" xfId="0" applyFont="1" applyFill="1" applyBorder="1" applyAlignment="1">
      <alignment horizontal="center" vertical="center" wrapText="1"/>
    </xf>
    <xf numFmtId="0" fontId="0" fillId="0" borderId="0" xfId="0" applyAlignment="1">
      <alignment vertical="top" wrapText="1"/>
    </xf>
    <xf numFmtId="0" fontId="5" fillId="25" borderId="1" xfId="0" applyFont="1" applyFill="1" applyBorder="1" applyAlignment="1">
      <alignment horizontal="center" vertical="center"/>
    </xf>
    <xf numFmtId="0" fontId="7" fillId="25" borderId="1" xfId="0" applyFont="1" applyFill="1" applyBorder="1" applyAlignment="1">
      <alignment horizontal="left" vertical="center"/>
    </xf>
    <xf numFmtId="0" fontId="11" fillId="25" borderId="1" xfId="0" applyFont="1" applyFill="1" applyBorder="1" applyAlignment="1">
      <alignment horizontal="center" vertical="center"/>
    </xf>
    <xf numFmtId="0" fontId="5" fillId="25" borderId="1" xfId="0" applyFont="1" applyFill="1" applyBorder="1" applyAlignment="1">
      <alignment horizontal="left" vertical="center" wrapText="1"/>
    </xf>
    <xf numFmtId="0" fontId="12" fillId="25" borderId="1" xfId="0" applyFont="1" applyFill="1" applyBorder="1" applyAlignment="1">
      <alignment horizontal="center" vertical="center"/>
    </xf>
    <xf numFmtId="0" fontId="13" fillId="25"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25" borderId="1" xfId="0" applyFont="1" applyFill="1" applyBorder="1" applyAlignment="1">
      <alignment horizontal="center" vertical="center"/>
    </xf>
    <xf numFmtId="0" fontId="4" fillId="30" borderId="1" xfId="0" applyFont="1" applyFill="1" applyBorder="1" applyAlignment="1">
      <alignment horizontal="center" vertical="center" wrapText="1"/>
    </xf>
    <xf numFmtId="0" fontId="5" fillId="34" borderId="1" xfId="0" applyFont="1" applyFill="1" applyBorder="1" applyAlignment="1">
      <alignment horizontal="center" vertical="center"/>
    </xf>
    <xf numFmtId="0" fontId="7" fillId="34" borderId="1" xfId="0" applyFont="1" applyFill="1" applyBorder="1" applyAlignment="1">
      <alignment horizontal="left" vertical="center"/>
    </xf>
    <xf numFmtId="0" fontId="12" fillId="34" borderId="1" xfId="0" applyFont="1" applyFill="1" applyBorder="1" applyAlignment="1">
      <alignment horizontal="center" vertical="center"/>
    </xf>
    <xf numFmtId="0" fontId="5" fillId="34" borderId="1" xfId="0" applyFont="1" applyFill="1" applyBorder="1" applyAlignment="1">
      <alignment horizontal="left" vertical="center" wrapText="1"/>
    </xf>
    <xf numFmtId="0" fontId="13" fillId="34" borderId="1" xfId="0" applyFont="1" applyFill="1" applyBorder="1" applyAlignment="1">
      <alignment horizontal="center" vertical="center"/>
    </xf>
    <xf numFmtId="0" fontId="11" fillId="34" borderId="1" xfId="0" applyFont="1" applyFill="1" applyBorder="1" applyAlignment="1">
      <alignment horizontal="center" vertical="center"/>
    </xf>
    <xf numFmtId="0" fontId="4" fillId="31" borderId="1" xfId="0" applyFont="1" applyFill="1" applyBorder="1" applyAlignment="1">
      <alignment horizontal="center" vertical="center" wrapText="1"/>
    </xf>
    <xf numFmtId="0" fontId="5" fillId="35" borderId="1" xfId="0" applyFont="1" applyFill="1" applyBorder="1" applyAlignment="1">
      <alignment horizontal="center" vertical="center"/>
    </xf>
    <xf numFmtId="0" fontId="7" fillId="35" borderId="1" xfId="0" applyFont="1" applyFill="1" applyBorder="1" applyAlignment="1">
      <alignment horizontal="left" vertical="center"/>
    </xf>
    <xf numFmtId="0" fontId="12" fillId="35" borderId="1" xfId="0" applyFont="1" applyFill="1" applyBorder="1" applyAlignment="1">
      <alignment horizontal="center" vertical="center"/>
    </xf>
    <xf numFmtId="0" fontId="5" fillId="35" borderId="1" xfId="0" applyFont="1" applyFill="1" applyBorder="1" applyAlignment="1">
      <alignment horizontal="left" vertical="center" wrapText="1"/>
    </xf>
    <xf numFmtId="0" fontId="11" fillId="35" borderId="1" xfId="0" applyFont="1" applyFill="1" applyBorder="1" applyAlignment="1">
      <alignment horizontal="center" vertical="center"/>
    </xf>
    <xf numFmtId="0" fontId="13" fillId="35" borderId="1" xfId="0" applyFont="1" applyFill="1" applyBorder="1" applyAlignment="1">
      <alignment horizontal="center" vertical="center"/>
    </xf>
    <xf numFmtId="0" fontId="4" fillId="32" borderId="1" xfId="0" applyFont="1" applyFill="1" applyBorder="1" applyAlignment="1">
      <alignment horizontal="center" vertical="center" wrapText="1"/>
    </xf>
    <xf numFmtId="0" fontId="5" fillId="36" borderId="1" xfId="0" applyFont="1" applyFill="1" applyBorder="1" applyAlignment="1">
      <alignment horizontal="center" vertical="center"/>
    </xf>
    <xf numFmtId="0" fontId="7" fillId="36" borderId="1" xfId="0" applyFont="1" applyFill="1" applyBorder="1" applyAlignment="1">
      <alignment horizontal="left" vertical="center"/>
    </xf>
    <xf numFmtId="0" fontId="5" fillId="36" borderId="1" xfId="0" applyFont="1" applyFill="1" applyBorder="1" applyAlignment="1">
      <alignment horizontal="left" vertical="center" wrapText="1"/>
    </xf>
    <xf numFmtId="0" fontId="11" fillId="36" borderId="1" xfId="0" applyFont="1" applyFill="1" applyBorder="1" applyAlignment="1">
      <alignment horizontal="center" vertical="center"/>
    </xf>
    <xf numFmtId="0" fontId="12" fillId="36" borderId="1" xfId="0" applyFont="1" applyFill="1" applyBorder="1" applyAlignment="1">
      <alignment horizontal="center" vertical="center"/>
    </xf>
    <xf numFmtId="0" fontId="13" fillId="36" borderId="1" xfId="0" applyFont="1" applyFill="1" applyBorder="1" applyAlignment="1">
      <alignment horizontal="center" vertical="center"/>
    </xf>
    <xf numFmtId="0" fontId="5" fillId="39" borderId="1" xfId="0" applyFont="1" applyFill="1" applyBorder="1" applyAlignment="1">
      <alignment horizontal="left" vertical="center" wrapText="1"/>
    </xf>
    <xf numFmtId="0" fontId="7" fillId="39" borderId="1" xfId="0" applyFont="1" applyFill="1" applyBorder="1" applyAlignment="1">
      <alignment horizontal="left" vertical="center" wrapText="1"/>
    </xf>
    <xf numFmtId="0" fontId="5" fillId="40" borderId="1" xfId="0" applyFont="1" applyFill="1" applyBorder="1" applyAlignment="1">
      <alignment horizontal="left" vertical="center" wrapText="1"/>
    </xf>
    <xf numFmtId="0" fontId="7" fillId="40" borderId="1" xfId="0" applyFont="1" applyFill="1" applyBorder="1" applyAlignment="1">
      <alignment horizontal="left" vertical="center" wrapText="1"/>
    </xf>
    <xf numFmtId="0" fontId="7" fillId="35" borderId="1" xfId="0" applyFont="1" applyFill="1" applyBorder="1" applyAlignment="1">
      <alignment horizontal="left" vertical="center" wrapText="1"/>
    </xf>
    <xf numFmtId="0" fontId="5" fillId="41" borderId="1" xfId="0" applyFont="1" applyFill="1" applyBorder="1" applyAlignment="1">
      <alignment horizontal="left" vertical="center" wrapText="1"/>
    </xf>
    <xf numFmtId="0" fontId="7" fillId="41" borderId="1" xfId="0" applyFont="1" applyFill="1" applyBorder="1" applyAlignment="1">
      <alignment horizontal="left" vertical="center" wrapText="1"/>
    </xf>
    <xf numFmtId="0" fontId="5" fillId="42" borderId="1" xfId="0" applyFont="1" applyFill="1" applyBorder="1" applyAlignment="1">
      <alignment horizontal="left" vertical="center" wrapText="1"/>
    </xf>
    <xf numFmtId="0" fontId="7" fillId="42" borderId="1" xfId="0" applyFont="1" applyFill="1" applyBorder="1" applyAlignment="1">
      <alignment horizontal="left" vertical="center" wrapText="1"/>
    </xf>
    <xf numFmtId="0" fontId="5" fillId="43" borderId="1" xfId="0" applyFont="1" applyFill="1" applyBorder="1" applyAlignment="1">
      <alignment horizontal="left" vertical="center" wrapText="1"/>
    </xf>
    <xf numFmtId="0" fontId="7" fillId="43" borderId="1" xfId="0" applyFont="1" applyFill="1" applyBorder="1" applyAlignment="1">
      <alignment horizontal="left" vertical="center" wrapText="1"/>
    </xf>
    <xf numFmtId="0" fontId="5" fillId="38" borderId="1" xfId="0" applyFont="1" applyFill="1" applyBorder="1" applyAlignment="1">
      <alignment horizontal="left" vertical="center" wrapText="1"/>
    </xf>
    <xf numFmtId="0" fontId="7" fillId="38" borderId="1" xfId="0" applyFont="1" applyFill="1" applyBorder="1" applyAlignment="1">
      <alignment horizontal="left" vertical="center" wrapText="1"/>
    </xf>
    <xf numFmtId="0" fontId="5" fillId="44" borderId="1" xfId="0" applyFont="1" applyFill="1" applyBorder="1" applyAlignment="1">
      <alignment horizontal="left" vertical="center" wrapText="1"/>
    </xf>
    <xf numFmtId="0" fontId="7" fillId="44" borderId="1" xfId="0" applyFont="1" applyFill="1" applyBorder="1" applyAlignment="1">
      <alignment horizontal="left" vertical="center" wrapText="1"/>
    </xf>
    <xf numFmtId="0" fontId="5" fillId="45" borderId="1" xfId="0" applyFont="1" applyFill="1" applyBorder="1" applyAlignment="1">
      <alignment horizontal="left" vertical="center" wrapText="1"/>
    </xf>
    <xf numFmtId="0" fontId="7" fillId="45" borderId="1" xfId="0" applyFont="1" applyFill="1" applyBorder="1" applyAlignment="1">
      <alignment horizontal="left" vertical="center" wrapText="1"/>
    </xf>
    <xf numFmtId="0" fontId="5" fillId="46" borderId="1" xfId="0" applyFont="1" applyFill="1" applyBorder="1" applyAlignment="1">
      <alignment horizontal="left" vertical="center" wrapText="1"/>
    </xf>
    <xf numFmtId="0" fontId="7" fillId="46" borderId="1" xfId="0" applyFont="1" applyFill="1" applyBorder="1" applyAlignment="1">
      <alignment horizontal="left" vertical="center" wrapText="1"/>
    </xf>
    <xf numFmtId="0" fontId="5" fillId="47" borderId="1" xfId="0" applyFont="1" applyFill="1" applyBorder="1" applyAlignment="1">
      <alignment horizontal="left" vertical="center" wrapText="1"/>
    </xf>
    <xf numFmtId="0" fontId="7" fillId="47" borderId="1" xfId="0" applyFont="1" applyFill="1" applyBorder="1" applyAlignment="1">
      <alignment horizontal="left" vertical="center" wrapText="1"/>
    </xf>
    <xf numFmtId="0" fontId="5" fillId="48" borderId="1" xfId="0" applyFont="1" applyFill="1" applyBorder="1" applyAlignment="1">
      <alignment horizontal="left" vertical="center" wrapText="1"/>
    </xf>
    <xf numFmtId="0" fontId="7" fillId="48" borderId="1" xfId="0" applyFont="1" applyFill="1" applyBorder="1" applyAlignment="1">
      <alignment horizontal="left" vertical="center" wrapText="1"/>
    </xf>
    <xf numFmtId="0" fontId="5" fillId="49" borderId="1" xfId="0" applyFont="1" applyFill="1" applyBorder="1" applyAlignment="1">
      <alignment horizontal="left" vertical="center" wrapText="1"/>
    </xf>
    <xf numFmtId="0" fontId="7" fillId="49" borderId="1" xfId="0" applyFont="1" applyFill="1" applyBorder="1" applyAlignment="1">
      <alignment horizontal="left" vertical="center" wrapText="1"/>
    </xf>
    <xf numFmtId="0" fontId="5" fillId="50" borderId="1" xfId="0" applyFont="1" applyFill="1" applyBorder="1" applyAlignment="1">
      <alignment horizontal="left" vertical="center" wrapText="1"/>
    </xf>
    <xf numFmtId="0" fontId="7" fillId="50" borderId="1" xfId="0" applyFont="1" applyFill="1" applyBorder="1" applyAlignment="1">
      <alignment horizontal="left" vertical="center" wrapText="1"/>
    </xf>
    <xf numFmtId="0" fontId="4" fillId="51" borderId="1" xfId="0" applyFont="1" applyFill="1" applyBorder="1" applyAlignment="1">
      <alignment horizontal="center" vertical="center" wrapText="1"/>
    </xf>
    <xf numFmtId="0" fontId="5" fillId="52" borderId="1" xfId="0" applyFont="1" applyFill="1" applyBorder="1" applyAlignment="1">
      <alignment horizontal="center" vertical="center"/>
    </xf>
    <xf numFmtId="0" fontId="7" fillId="52" borderId="1" xfId="0" applyFont="1" applyFill="1" applyBorder="1" applyAlignment="1">
      <alignment horizontal="left" vertical="center"/>
    </xf>
    <xf numFmtId="0" fontId="12" fillId="52" borderId="1" xfId="0" applyFont="1" applyFill="1" applyBorder="1" applyAlignment="1">
      <alignment horizontal="center" vertical="center"/>
    </xf>
    <xf numFmtId="0" fontId="5" fillId="52" borderId="1" xfId="0" applyFont="1" applyFill="1" applyBorder="1" applyAlignment="1">
      <alignment horizontal="left" vertical="center" wrapText="1"/>
    </xf>
    <xf numFmtId="0" fontId="13" fillId="52" borderId="1" xfId="0" applyFont="1" applyFill="1" applyBorder="1" applyAlignment="1">
      <alignment horizontal="center" vertical="center"/>
    </xf>
    <xf numFmtId="0" fontId="11" fillId="52" borderId="1" xfId="0" applyFont="1" applyFill="1" applyBorder="1" applyAlignment="1">
      <alignment horizontal="center" vertical="center"/>
    </xf>
    <xf numFmtId="0" fontId="10" fillId="52" borderId="1" xfId="0" applyFont="1" applyFill="1" applyBorder="1" applyAlignment="1">
      <alignment horizontal="center" vertical="center"/>
    </xf>
    <xf numFmtId="0" fontId="4" fillId="53" borderId="1" xfId="0" applyFont="1" applyFill="1" applyBorder="1" applyAlignment="1">
      <alignment horizontal="center" vertical="center" wrapText="1"/>
    </xf>
    <xf numFmtId="0" fontId="5" fillId="54" borderId="1" xfId="0" applyFont="1" applyFill="1" applyBorder="1" applyAlignment="1">
      <alignment horizontal="center" vertical="center"/>
    </xf>
    <xf numFmtId="0" fontId="7" fillId="54" borderId="1" xfId="0" applyFont="1" applyFill="1" applyBorder="1" applyAlignment="1">
      <alignment horizontal="left" vertical="center"/>
    </xf>
    <xf numFmtId="0" fontId="12" fillId="54" borderId="1" xfId="0" applyFont="1" applyFill="1" applyBorder="1" applyAlignment="1">
      <alignment horizontal="center" vertical="center"/>
    </xf>
    <xf numFmtId="0" fontId="5" fillId="54" borderId="1" xfId="0" applyFont="1" applyFill="1" applyBorder="1" applyAlignment="1">
      <alignment horizontal="left" vertical="center" wrapText="1"/>
    </xf>
    <xf numFmtId="0" fontId="13" fillId="54" borderId="1" xfId="0" applyFont="1" applyFill="1" applyBorder="1" applyAlignment="1">
      <alignment horizontal="center" vertical="center"/>
    </xf>
    <xf numFmtId="0" fontId="11" fillId="54" borderId="1" xfId="0" applyFont="1" applyFill="1" applyBorder="1" applyAlignment="1">
      <alignment horizontal="center" vertical="center"/>
    </xf>
    <xf numFmtId="0" fontId="4" fillId="55" borderId="1" xfId="0" applyFont="1" applyFill="1" applyBorder="1" applyAlignment="1">
      <alignment horizontal="center" vertical="center" wrapText="1"/>
    </xf>
    <xf numFmtId="0" fontId="5" fillId="56" borderId="1" xfId="0" applyFont="1" applyFill="1" applyBorder="1" applyAlignment="1">
      <alignment horizontal="center" vertical="center"/>
    </xf>
    <xf numFmtId="0" fontId="7" fillId="56" borderId="1" xfId="0" applyFont="1" applyFill="1" applyBorder="1" applyAlignment="1">
      <alignment horizontal="left" vertical="center"/>
    </xf>
    <xf numFmtId="0" fontId="12" fillId="56" borderId="1" xfId="0" applyFont="1" applyFill="1" applyBorder="1" applyAlignment="1">
      <alignment horizontal="center" vertical="center"/>
    </xf>
    <xf numFmtId="0" fontId="5" fillId="56" borderId="1" xfId="0" applyFont="1" applyFill="1" applyBorder="1" applyAlignment="1">
      <alignment horizontal="left" vertical="center" wrapText="1"/>
    </xf>
    <xf numFmtId="0" fontId="13" fillId="56" borderId="1" xfId="0" applyFont="1" applyFill="1" applyBorder="1" applyAlignment="1">
      <alignment horizontal="center" vertical="center"/>
    </xf>
    <xf numFmtId="0" fontId="11" fillId="56" borderId="1" xfId="0" applyFont="1" applyFill="1" applyBorder="1" applyAlignment="1">
      <alignment horizontal="center" vertical="center"/>
    </xf>
    <xf numFmtId="0" fontId="4" fillId="57" borderId="1" xfId="0" applyFont="1" applyFill="1" applyBorder="1" applyAlignment="1">
      <alignment horizontal="center" vertical="center" wrapText="1"/>
    </xf>
    <xf numFmtId="0" fontId="5" fillId="58" borderId="1" xfId="0" applyFont="1" applyFill="1" applyBorder="1" applyAlignment="1">
      <alignment horizontal="center" vertical="center"/>
    </xf>
    <xf numFmtId="0" fontId="7" fillId="58" borderId="1" xfId="0" applyFont="1" applyFill="1" applyBorder="1" applyAlignment="1">
      <alignment horizontal="left" vertical="center"/>
    </xf>
    <xf numFmtId="0" fontId="12" fillId="58" borderId="1" xfId="0" applyFont="1" applyFill="1" applyBorder="1" applyAlignment="1">
      <alignment horizontal="center" vertical="center"/>
    </xf>
    <xf numFmtId="0" fontId="5" fillId="58" borderId="1" xfId="0" applyFont="1" applyFill="1" applyBorder="1" applyAlignment="1">
      <alignment horizontal="left" vertical="center" wrapText="1"/>
    </xf>
    <xf numFmtId="0" fontId="13" fillId="58" borderId="1" xfId="0" applyFont="1" applyFill="1" applyBorder="1" applyAlignment="1">
      <alignment horizontal="center" vertical="center"/>
    </xf>
    <xf numFmtId="0" fontId="11" fillId="58" borderId="1" xfId="0" applyFont="1" applyFill="1" applyBorder="1" applyAlignment="1">
      <alignment horizontal="center" vertical="center"/>
    </xf>
    <xf numFmtId="0" fontId="4" fillId="60" borderId="1" xfId="0" applyFont="1" applyFill="1" applyBorder="1" applyAlignment="1">
      <alignment horizontal="center" vertical="center" wrapText="1"/>
    </xf>
    <xf numFmtId="0" fontId="5" fillId="61" borderId="1" xfId="0" applyFont="1" applyFill="1" applyBorder="1" applyAlignment="1">
      <alignment horizontal="center" vertical="center"/>
    </xf>
    <xf numFmtId="0" fontId="12" fillId="61" borderId="1" xfId="0" applyFont="1" applyFill="1" applyBorder="1" applyAlignment="1">
      <alignment horizontal="center" vertical="center"/>
    </xf>
    <xf numFmtId="0" fontId="5" fillId="61" borderId="1" xfId="0" applyFont="1" applyFill="1" applyBorder="1" applyAlignment="1">
      <alignment horizontal="left" vertical="center" wrapText="1"/>
    </xf>
    <xf numFmtId="0" fontId="13" fillId="61" borderId="1" xfId="0" applyFont="1" applyFill="1" applyBorder="1" applyAlignment="1">
      <alignment horizontal="center" vertical="center"/>
    </xf>
    <xf numFmtId="0" fontId="11" fillId="61" borderId="1" xfId="0" applyFont="1" applyFill="1" applyBorder="1" applyAlignment="1">
      <alignment horizontal="center" vertical="center"/>
    </xf>
    <xf numFmtId="0" fontId="4" fillId="29" borderId="1" xfId="0" applyFont="1" applyFill="1" applyBorder="1" applyAlignment="1">
      <alignment horizontal="center" vertical="center" wrapText="1"/>
    </xf>
    <xf numFmtId="0" fontId="5" fillId="64" borderId="1" xfId="0" applyFont="1" applyFill="1" applyBorder="1" applyAlignment="1">
      <alignment horizontal="center" vertical="center"/>
    </xf>
    <xf numFmtId="0" fontId="7" fillId="64" borderId="1" xfId="0" applyFont="1" applyFill="1" applyBorder="1" applyAlignment="1">
      <alignment horizontal="left" vertical="center"/>
    </xf>
    <xf numFmtId="0" fontId="12" fillId="64" borderId="1" xfId="0" applyFont="1" applyFill="1" applyBorder="1" applyAlignment="1">
      <alignment horizontal="center" vertical="center"/>
    </xf>
    <xf numFmtId="0" fontId="5" fillId="64" borderId="1" xfId="0" applyFont="1" applyFill="1" applyBorder="1" applyAlignment="1">
      <alignment horizontal="left" vertical="center" wrapText="1"/>
    </xf>
    <xf numFmtId="0" fontId="13" fillId="64" borderId="1" xfId="0" applyFont="1" applyFill="1" applyBorder="1" applyAlignment="1">
      <alignment horizontal="center" vertical="center"/>
    </xf>
    <xf numFmtId="0" fontId="11" fillId="64" borderId="1" xfId="0" applyFont="1" applyFill="1" applyBorder="1" applyAlignment="1">
      <alignment horizontal="center" vertical="center"/>
    </xf>
    <xf numFmtId="0" fontId="22" fillId="6" borderId="1" xfId="0" applyFont="1" applyFill="1" applyBorder="1" applyAlignment="1">
      <alignment horizontal="center" vertical="center"/>
    </xf>
    <xf numFmtId="0" fontId="23" fillId="6" borderId="1" xfId="0" applyFont="1" applyFill="1" applyBorder="1" applyAlignment="1">
      <alignment horizontal="left" vertical="center"/>
    </xf>
    <xf numFmtId="0" fontId="22" fillId="6" borderId="1" xfId="0" applyFont="1" applyFill="1" applyBorder="1" applyAlignment="1">
      <alignment horizontal="left" vertical="center" wrapText="1"/>
    </xf>
    <xf numFmtId="0" fontId="24" fillId="6" borderId="1" xfId="0" applyFont="1" applyFill="1" applyBorder="1" applyAlignment="1">
      <alignment horizontal="center" vertical="center"/>
    </xf>
    <xf numFmtId="0" fontId="22" fillId="64" borderId="1" xfId="0" applyFont="1" applyFill="1" applyBorder="1" applyAlignment="1">
      <alignment horizontal="center" vertical="center"/>
    </xf>
    <xf numFmtId="0" fontId="23" fillId="64" borderId="1" xfId="0" applyFont="1" applyFill="1" applyBorder="1" applyAlignment="1">
      <alignment horizontal="left" vertical="center"/>
    </xf>
    <xf numFmtId="0" fontId="22" fillId="64" borderId="1" xfId="0" applyFont="1" applyFill="1" applyBorder="1" applyAlignment="1">
      <alignment horizontal="left" vertical="center" wrapText="1"/>
    </xf>
    <xf numFmtId="0" fontId="24" fillId="64" borderId="1" xfId="0" applyFont="1" applyFill="1" applyBorder="1" applyAlignment="1">
      <alignment horizontal="center" vertical="center"/>
    </xf>
    <xf numFmtId="0" fontId="25" fillId="64" borderId="1" xfId="0" applyFont="1" applyFill="1" applyBorder="1" applyAlignment="1">
      <alignment horizontal="center" vertical="center"/>
    </xf>
    <xf numFmtId="0" fontId="25" fillId="6" borderId="1" xfId="0" applyFont="1" applyFill="1" applyBorder="1" applyAlignment="1">
      <alignment horizontal="center" vertical="center"/>
    </xf>
    <xf numFmtId="0" fontId="26" fillId="64" borderId="1" xfId="0" applyFont="1" applyFill="1" applyBorder="1" applyAlignment="1">
      <alignment horizontal="center" vertical="center"/>
    </xf>
    <xf numFmtId="0" fontId="26" fillId="6" borderId="1" xfId="0" applyFont="1" applyFill="1" applyBorder="1" applyAlignment="1">
      <alignment horizontal="center" vertical="center"/>
    </xf>
    <xf numFmtId="0" fontId="28" fillId="65" borderId="2" xfId="0" applyFont="1" applyFill="1" applyBorder="1" applyAlignment="1">
      <alignment horizontal="center" vertical="center" wrapText="1"/>
    </xf>
    <xf numFmtId="0" fontId="29" fillId="0" borderId="2" xfId="0" applyFont="1" applyBorder="1" applyAlignment="1">
      <alignment horizontal="center" vertical="top" wrapText="1"/>
    </xf>
    <xf numFmtId="1" fontId="33" fillId="67" borderId="2" xfId="0" applyNumberFormat="1" applyFont="1" applyFill="1" applyBorder="1" applyAlignment="1">
      <alignment horizontal="center" vertical="top" wrapText="1"/>
    </xf>
    <xf numFmtId="9" fontId="33" fillId="67" borderId="2" xfId="0" applyNumberFormat="1" applyFont="1" applyFill="1" applyBorder="1" applyAlignment="1">
      <alignment horizontal="center" vertical="top" wrapText="1"/>
    </xf>
    <xf numFmtId="0" fontId="33" fillId="0" borderId="2" xfId="0" applyFont="1" applyBorder="1" applyAlignment="1">
      <alignment horizontal="left" vertical="top" wrapText="1"/>
    </xf>
    <xf numFmtId="1" fontId="29" fillId="0" borderId="2" xfId="0" applyNumberFormat="1" applyFont="1" applyBorder="1" applyAlignment="1">
      <alignment horizontal="center" vertical="top" wrapText="1"/>
    </xf>
    <xf numFmtId="9" fontId="29" fillId="0" borderId="2" xfId="0" applyNumberFormat="1" applyFont="1" applyBorder="1" applyAlignment="1">
      <alignment horizontal="center" vertical="top" wrapText="1"/>
    </xf>
    <xf numFmtId="0" fontId="34" fillId="0" borderId="2" xfId="0" applyFont="1" applyBorder="1" applyAlignment="1">
      <alignment horizontal="center" vertical="top" wrapText="1"/>
    </xf>
    <xf numFmtId="9" fontId="34" fillId="0" borderId="2" xfId="0" applyNumberFormat="1" applyFont="1" applyBorder="1" applyAlignment="1">
      <alignment horizontal="center" vertical="top" wrapText="1"/>
    </xf>
    <xf numFmtId="0" fontId="29" fillId="68" borderId="2" xfId="0" applyFont="1" applyFill="1" applyBorder="1" applyAlignment="1">
      <alignment horizontal="center" vertical="top" wrapText="1"/>
    </xf>
    <xf numFmtId="0" fontId="29" fillId="68" borderId="2" xfId="0" applyFont="1" applyFill="1" applyBorder="1" applyAlignment="1">
      <alignment horizontal="left" vertical="top" wrapText="1"/>
    </xf>
    <xf numFmtId="0" fontId="29" fillId="6" borderId="2" xfId="0" applyFont="1" applyFill="1" applyBorder="1" applyAlignment="1">
      <alignment horizontal="center" vertical="top" wrapText="1"/>
    </xf>
    <xf numFmtId="0" fontId="29" fillId="7" borderId="2" xfId="0" applyFont="1" applyFill="1" applyBorder="1" applyAlignment="1">
      <alignment horizontal="center" vertical="top" wrapText="1"/>
    </xf>
    <xf numFmtId="0" fontId="5" fillId="6" borderId="5" xfId="0" applyFont="1" applyFill="1" applyBorder="1" applyAlignment="1">
      <alignment horizontal="center" vertical="center"/>
    </xf>
    <xf numFmtId="0" fontId="5" fillId="34" borderId="5" xfId="0" applyFont="1" applyFill="1" applyBorder="1" applyAlignment="1">
      <alignment horizontal="center" vertical="center"/>
    </xf>
    <xf numFmtId="0" fontId="5" fillId="35" borderId="5" xfId="0" applyFont="1" applyFill="1" applyBorder="1" applyAlignment="1">
      <alignment horizontal="center" vertical="center"/>
    </xf>
    <xf numFmtId="0" fontId="5" fillId="52" borderId="5" xfId="0" applyFont="1" applyFill="1" applyBorder="1" applyAlignment="1">
      <alignment horizontal="center" vertical="center"/>
    </xf>
    <xf numFmtId="0" fontId="5" fillId="54" borderId="5" xfId="0" applyFont="1" applyFill="1" applyBorder="1" applyAlignment="1">
      <alignment horizontal="center" vertical="center"/>
    </xf>
    <xf numFmtId="0" fontId="5" fillId="56" borderId="5" xfId="0" applyFont="1" applyFill="1" applyBorder="1" applyAlignment="1">
      <alignment horizontal="center" vertical="center"/>
    </xf>
    <xf numFmtId="0" fontId="5" fillId="58" borderId="5" xfId="0" applyFont="1" applyFill="1" applyBorder="1" applyAlignment="1">
      <alignment horizontal="center" vertical="center"/>
    </xf>
    <xf numFmtId="0" fontId="5" fillId="61" borderId="5" xfId="0" applyFont="1" applyFill="1" applyBorder="1" applyAlignment="1">
      <alignment horizontal="center" vertical="center"/>
    </xf>
    <xf numFmtId="0" fontId="21" fillId="69" borderId="2" xfId="0" applyFont="1" applyFill="1" applyBorder="1" applyAlignment="1">
      <alignment horizontal="left"/>
    </xf>
    <xf numFmtId="0" fontId="21" fillId="72" borderId="2" xfId="0" applyFont="1" applyFill="1" applyBorder="1" applyAlignment="1">
      <alignment horizontal="left"/>
    </xf>
    <xf numFmtId="0" fontId="5" fillId="6" borderId="5" xfId="0" applyFont="1" applyFill="1" applyBorder="1" applyAlignment="1">
      <alignment horizontal="left" vertical="center" wrapText="1"/>
    </xf>
    <xf numFmtId="0" fontId="5" fillId="6" borderId="4" xfId="0" applyFont="1" applyFill="1" applyBorder="1" applyAlignment="1">
      <alignment horizontal="center" vertical="center"/>
    </xf>
    <xf numFmtId="0" fontId="5" fillId="25" borderId="5" xfId="0" applyFont="1" applyFill="1" applyBorder="1" applyAlignment="1">
      <alignment horizontal="left" vertical="center" wrapText="1"/>
    </xf>
    <xf numFmtId="0" fontId="5" fillId="25" borderId="4" xfId="0" applyFont="1" applyFill="1" applyBorder="1" applyAlignment="1">
      <alignment horizontal="center" vertical="center"/>
    </xf>
    <xf numFmtId="0" fontId="5" fillId="36" borderId="5" xfId="0" applyFont="1" applyFill="1" applyBorder="1" applyAlignment="1">
      <alignment horizontal="center" vertical="center"/>
    </xf>
    <xf numFmtId="0" fontId="35" fillId="69" borderId="2" xfId="1" applyFill="1" applyBorder="1" applyAlignment="1">
      <alignment horizontal="left" vertical="center"/>
    </xf>
    <xf numFmtId="0" fontId="35" fillId="72" borderId="2" xfId="1" applyFill="1" applyBorder="1" applyAlignment="1">
      <alignment horizontal="left" vertical="center"/>
    </xf>
    <xf numFmtId="0" fontId="35" fillId="73" borderId="2" xfId="1" applyFill="1" applyBorder="1" applyAlignment="1">
      <alignment horizontal="left" vertical="center"/>
    </xf>
    <xf numFmtId="0" fontId="35" fillId="74" borderId="2" xfId="1" applyFill="1" applyBorder="1" applyAlignment="1">
      <alignment horizontal="left" vertical="center"/>
    </xf>
    <xf numFmtId="0" fontId="35" fillId="75" borderId="2" xfId="1" applyFill="1" applyBorder="1" applyAlignment="1">
      <alignment horizontal="left" vertical="center"/>
    </xf>
    <xf numFmtId="0" fontId="35" fillId="76" borderId="2" xfId="1" applyFill="1" applyBorder="1" applyAlignment="1">
      <alignment horizontal="left" vertical="center"/>
    </xf>
    <xf numFmtId="0" fontId="35" fillId="6" borderId="1" xfId="1" applyFill="1" applyBorder="1" applyAlignment="1">
      <alignment horizontal="left" vertical="center"/>
    </xf>
    <xf numFmtId="0" fontId="35" fillId="64" borderId="1" xfId="1" applyFill="1" applyBorder="1" applyAlignment="1">
      <alignment horizontal="left" vertical="center"/>
    </xf>
    <xf numFmtId="0" fontId="35" fillId="69" borderId="6" xfId="1" applyFill="1" applyBorder="1" applyAlignment="1">
      <alignment horizontal="left" vertical="center" wrapText="1"/>
    </xf>
    <xf numFmtId="0" fontId="35" fillId="77" borderId="6" xfId="1" applyFill="1" applyBorder="1" applyAlignment="1">
      <alignment horizontal="left" vertical="center" wrapText="1"/>
    </xf>
    <xf numFmtId="0" fontId="35" fillId="77" borderId="2" xfId="1" applyFill="1" applyBorder="1" applyAlignment="1">
      <alignment horizontal="left" vertical="center" wrapText="1"/>
    </xf>
    <xf numFmtId="0" fontId="35" fillId="69" borderId="2" xfId="1" applyFill="1" applyBorder="1" applyAlignment="1">
      <alignment horizontal="left" vertical="center" wrapText="1"/>
    </xf>
    <xf numFmtId="0" fontId="35" fillId="70" borderId="2" xfId="1" applyFill="1" applyBorder="1" applyAlignment="1">
      <alignment horizontal="left" vertical="center"/>
    </xf>
    <xf numFmtId="0" fontId="35" fillId="71" borderId="2" xfId="1" applyFill="1" applyBorder="1" applyAlignment="1">
      <alignment horizontal="left" vertical="center"/>
    </xf>
    <xf numFmtId="0" fontId="35" fillId="69" borderId="6" xfId="1" applyFill="1" applyBorder="1" applyAlignment="1">
      <alignment horizontal="left" vertical="center"/>
    </xf>
    <xf numFmtId="0" fontId="35" fillId="78" borderId="6" xfId="1" applyFill="1" applyBorder="1" applyAlignment="1">
      <alignment horizontal="left" vertical="center"/>
    </xf>
    <xf numFmtId="0" fontId="35" fillId="78" borderId="2" xfId="1" applyFill="1" applyBorder="1" applyAlignment="1">
      <alignment horizontal="left" vertical="center"/>
    </xf>
    <xf numFmtId="0" fontId="4" fillId="51" borderId="6" xfId="0" applyFont="1" applyFill="1" applyBorder="1" applyAlignment="1">
      <alignment horizontal="left" vertical="center" wrapText="1"/>
    </xf>
    <xf numFmtId="0" fontId="4" fillId="53" borderId="6" xfId="0" applyFont="1" applyFill="1" applyBorder="1" applyAlignment="1">
      <alignment horizontal="left" vertical="center" wrapText="1"/>
    </xf>
    <xf numFmtId="0" fontId="4" fillId="55" borderId="6" xfId="0" applyFont="1" applyFill="1" applyBorder="1" applyAlignment="1">
      <alignment horizontal="left" vertical="center" wrapText="1"/>
    </xf>
    <xf numFmtId="0" fontId="4" fillId="57" borderId="6" xfId="0" applyFont="1" applyFill="1" applyBorder="1" applyAlignment="1">
      <alignment horizontal="left" vertical="center" wrapText="1"/>
    </xf>
    <xf numFmtId="0" fontId="4" fillId="60" borderId="6" xfId="0" applyFont="1" applyFill="1" applyBorder="1" applyAlignment="1">
      <alignment horizontal="left" vertical="center" wrapText="1"/>
    </xf>
    <xf numFmtId="0" fontId="20" fillId="63" borderId="1" xfId="0" applyFont="1" applyFill="1" applyBorder="1" applyAlignment="1">
      <alignment horizontal="left" vertical="center"/>
    </xf>
    <xf numFmtId="0" fontId="4" fillId="24" borderId="1" xfId="0" applyFont="1" applyFill="1" applyBorder="1" applyAlignment="1">
      <alignment horizontal="left" vertical="center" wrapText="1"/>
    </xf>
    <xf numFmtId="0" fontId="0" fillId="0" borderId="0" xfId="0" applyAlignment="1">
      <alignment horizontal="left"/>
    </xf>
    <xf numFmtId="0" fontId="4" fillId="30" borderId="6" xfId="0" applyFont="1" applyFill="1" applyBorder="1" applyAlignment="1">
      <alignment horizontal="left" vertical="center" wrapText="1"/>
    </xf>
    <xf numFmtId="0" fontId="4" fillId="31" borderId="6" xfId="0" applyFont="1" applyFill="1" applyBorder="1" applyAlignment="1">
      <alignment horizontal="left" vertical="center" wrapText="1"/>
    </xf>
    <xf numFmtId="0" fontId="4" fillId="32" borderId="1" xfId="0" applyFont="1" applyFill="1" applyBorder="1" applyAlignment="1">
      <alignment horizontal="left" vertical="center" wrapText="1"/>
    </xf>
    <xf numFmtId="0" fontId="5" fillId="11" borderId="5" xfId="0" applyFont="1" applyFill="1" applyBorder="1" applyAlignment="1">
      <alignment horizontal="left" vertical="center" wrapText="1"/>
    </xf>
    <xf numFmtId="0" fontId="4" fillId="10" borderId="6" xfId="0" applyFont="1" applyFill="1" applyBorder="1" applyAlignment="1">
      <alignment horizontal="center" vertical="center" wrapText="1"/>
    </xf>
    <xf numFmtId="0" fontId="27" fillId="79" borderId="2" xfId="0" applyFont="1" applyFill="1" applyBorder="1" applyAlignment="1">
      <alignment horizontal="left" vertical="center"/>
    </xf>
    <xf numFmtId="0" fontId="27" fillId="69" borderId="2" xfId="0" applyFont="1" applyFill="1" applyBorder="1" applyAlignment="1">
      <alignment horizontal="left" vertical="center"/>
    </xf>
    <xf numFmtId="0" fontId="27" fillId="69" borderId="2" xfId="0" applyFont="1" applyFill="1" applyBorder="1" applyAlignment="1">
      <alignment horizontal="left"/>
    </xf>
    <xf numFmtId="0" fontId="4"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7" fillId="6" borderId="1" xfId="0" applyFont="1" applyFill="1" applyBorder="1" applyAlignment="1">
      <alignment horizontal="left" vertical="top" wrapText="1"/>
    </xf>
    <xf numFmtId="0" fontId="7" fillId="11"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28" fillId="65" borderId="2" xfId="0" applyFont="1" applyFill="1" applyBorder="1" applyAlignment="1">
      <alignment horizontal="center" vertical="top" wrapText="1"/>
    </xf>
    <xf numFmtId="0" fontId="5" fillId="13" borderId="1" xfId="0" applyFont="1" applyFill="1" applyBorder="1" applyAlignment="1">
      <alignment horizontal="left" vertical="top" wrapText="1"/>
    </xf>
    <xf numFmtId="0" fontId="5" fillId="14" borderId="1" xfId="0" applyFont="1" applyFill="1" applyBorder="1" applyAlignment="1">
      <alignment horizontal="left" vertical="top" wrapText="1"/>
    </xf>
    <xf numFmtId="0" fontId="5" fillId="15" borderId="1" xfId="0" applyFont="1" applyFill="1" applyBorder="1" applyAlignment="1">
      <alignment horizontal="left" vertical="top" wrapText="1"/>
    </xf>
    <xf numFmtId="0" fontId="5" fillId="16" borderId="1" xfId="0" applyFont="1" applyFill="1" applyBorder="1" applyAlignment="1">
      <alignment horizontal="left" vertical="top" wrapText="1"/>
    </xf>
    <xf numFmtId="0" fontId="5" fillId="17" borderId="1" xfId="0" applyFont="1" applyFill="1" applyBorder="1" applyAlignment="1">
      <alignment horizontal="left" vertical="top" wrapText="1"/>
    </xf>
    <xf numFmtId="0" fontId="5" fillId="18" borderId="1" xfId="0" applyFont="1" applyFill="1" applyBorder="1" applyAlignment="1">
      <alignment horizontal="left" vertical="top" wrapText="1"/>
    </xf>
    <xf numFmtId="0" fontId="5" fillId="19" borderId="1" xfId="0" applyFont="1" applyFill="1" applyBorder="1" applyAlignment="1">
      <alignment horizontal="left" vertical="top" wrapText="1"/>
    </xf>
    <xf numFmtId="0" fontId="5" fillId="20"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31" fillId="0" borderId="0" xfId="0" applyFont="1" applyAlignment="1">
      <alignment horizontal="left" vertical="top" wrapText="1"/>
    </xf>
    <xf numFmtId="0" fontId="4" fillId="24" borderId="1" xfId="0" applyFont="1" applyFill="1" applyBorder="1" applyAlignment="1">
      <alignment horizontal="center" vertical="top" wrapText="1"/>
    </xf>
    <xf numFmtId="0" fontId="5" fillId="25" borderId="1" xfId="0" applyFont="1" applyFill="1" applyBorder="1" applyAlignment="1">
      <alignment horizontal="left" vertical="top" wrapText="1"/>
    </xf>
    <xf numFmtId="0" fontId="4" fillId="30" borderId="1" xfId="0" applyFont="1" applyFill="1" applyBorder="1" applyAlignment="1">
      <alignment horizontal="center" vertical="top" wrapText="1"/>
    </xf>
    <xf numFmtId="0" fontId="5" fillId="34" borderId="1" xfId="0" applyFont="1" applyFill="1" applyBorder="1" applyAlignment="1">
      <alignment horizontal="left" vertical="top" wrapText="1"/>
    </xf>
    <xf numFmtId="0" fontId="4" fillId="31" borderId="1" xfId="0" applyFont="1" applyFill="1" applyBorder="1" applyAlignment="1">
      <alignment horizontal="center" vertical="top" wrapText="1"/>
    </xf>
    <xf numFmtId="0" fontId="5" fillId="35" borderId="1" xfId="0" applyFont="1" applyFill="1" applyBorder="1" applyAlignment="1">
      <alignment horizontal="left" vertical="top" wrapText="1"/>
    </xf>
    <xf numFmtId="0" fontId="4" fillId="32" borderId="1" xfId="0" applyFont="1" applyFill="1" applyBorder="1" applyAlignment="1">
      <alignment horizontal="center" vertical="top" wrapText="1"/>
    </xf>
    <xf numFmtId="0" fontId="5" fillId="36" borderId="1" xfId="0" applyFont="1" applyFill="1" applyBorder="1" applyAlignment="1">
      <alignment horizontal="left" vertical="top" wrapText="1"/>
    </xf>
    <xf numFmtId="0" fontId="5" fillId="39" borderId="1" xfId="0" applyFont="1" applyFill="1" applyBorder="1" applyAlignment="1">
      <alignment horizontal="left" vertical="top" wrapText="1"/>
    </xf>
    <xf numFmtId="0" fontId="5" fillId="40" borderId="1" xfId="0" applyFont="1" applyFill="1" applyBorder="1" applyAlignment="1">
      <alignment horizontal="left" vertical="top" wrapText="1"/>
    </xf>
    <xf numFmtId="0" fontId="5" fillId="41" borderId="1" xfId="0" applyFont="1" applyFill="1" applyBorder="1" applyAlignment="1">
      <alignment horizontal="left" vertical="top" wrapText="1"/>
    </xf>
    <xf numFmtId="0" fontId="5" fillId="42" borderId="1" xfId="0" applyFont="1" applyFill="1" applyBorder="1" applyAlignment="1">
      <alignment horizontal="left" vertical="top" wrapText="1"/>
    </xf>
    <xf numFmtId="0" fontId="5" fillId="43" borderId="1" xfId="0" applyFont="1" applyFill="1" applyBorder="1" applyAlignment="1">
      <alignment horizontal="left" vertical="top" wrapText="1"/>
    </xf>
    <xf numFmtId="0" fontId="5" fillId="38" borderId="1" xfId="0" applyFont="1" applyFill="1" applyBorder="1" applyAlignment="1">
      <alignment horizontal="left" vertical="top" wrapText="1"/>
    </xf>
    <xf numFmtId="0" fontId="5" fillId="44" borderId="1" xfId="0" applyFont="1" applyFill="1" applyBorder="1" applyAlignment="1">
      <alignment horizontal="left" vertical="top" wrapText="1"/>
    </xf>
    <xf numFmtId="0" fontId="5" fillId="45" borderId="1" xfId="0" applyFont="1" applyFill="1" applyBorder="1" applyAlignment="1">
      <alignment horizontal="left" vertical="top" wrapText="1"/>
    </xf>
    <xf numFmtId="0" fontId="5" fillId="46" borderId="1" xfId="0" applyFont="1" applyFill="1" applyBorder="1" applyAlignment="1">
      <alignment horizontal="left" vertical="top" wrapText="1"/>
    </xf>
    <xf numFmtId="0" fontId="5" fillId="47" borderId="1" xfId="0" applyFont="1" applyFill="1" applyBorder="1" applyAlignment="1">
      <alignment horizontal="left" vertical="top" wrapText="1"/>
    </xf>
    <xf numFmtId="0" fontId="5" fillId="48" borderId="1" xfId="0" applyFont="1" applyFill="1" applyBorder="1" applyAlignment="1">
      <alignment horizontal="left" vertical="top" wrapText="1"/>
    </xf>
    <xf numFmtId="0" fontId="5" fillId="49" borderId="1" xfId="0" applyFont="1" applyFill="1" applyBorder="1" applyAlignment="1">
      <alignment horizontal="left" vertical="top" wrapText="1"/>
    </xf>
    <xf numFmtId="0" fontId="5" fillId="50" borderId="1" xfId="0" applyFont="1" applyFill="1" applyBorder="1" applyAlignment="1">
      <alignment horizontal="left" vertical="top" wrapText="1"/>
    </xf>
    <xf numFmtId="0" fontId="4" fillId="51" borderId="1" xfId="0" applyFont="1" applyFill="1" applyBorder="1" applyAlignment="1">
      <alignment horizontal="center" vertical="top" wrapText="1"/>
    </xf>
    <xf numFmtId="0" fontId="5" fillId="52" borderId="1" xfId="0" applyFont="1" applyFill="1" applyBorder="1" applyAlignment="1">
      <alignment horizontal="left" vertical="top" wrapText="1"/>
    </xf>
    <xf numFmtId="0" fontId="4" fillId="53" borderId="1" xfId="0" applyFont="1" applyFill="1" applyBorder="1" applyAlignment="1">
      <alignment horizontal="center" vertical="top" wrapText="1"/>
    </xf>
    <xf numFmtId="0" fontId="5" fillId="54" borderId="1" xfId="0" applyFont="1" applyFill="1" applyBorder="1" applyAlignment="1">
      <alignment horizontal="left" vertical="top" wrapText="1"/>
    </xf>
    <xf numFmtId="0" fontId="4" fillId="55" borderId="1" xfId="0" applyFont="1" applyFill="1" applyBorder="1" applyAlignment="1">
      <alignment horizontal="center" vertical="top" wrapText="1"/>
    </xf>
    <xf numFmtId="0" fontId="5" fillId="56" borderId="1" xfId="0" applyFont="1" applyFill="1" applyBorder="1" applyAlignment="1">
      <alignment horizontal="left" vertical="top" wrapText="1"/>
    </xf>
    <xf numFmtId="0" fontId="4" fillId="57" borderId="1" xfId="0" applyFont="1" applyFill="1" applyBorder="1" applyAlignment="1">
      <alignment horizontal="center" vertical="top" wrapText="1"/>
    </xf>
    <xf numFmtId="0" fontId="5" fillId="58" borderId="1" xfId="0" applyFont="1" applyFill="1" applyBorder="1" applyAlignment="1">
      <alignment horizontal="left" vertical="top" wrapText="1"/>
    </xf>
    <xf numFmtId="0" fontId="4" fillId="60" borderId="1" xfId="0" applyFont="1" applyFill="1" applyBorder="1" applyAlignment="1">
      <alignment horizontal="center" vertical="top" wrapText="1"/>
    </xf>
    <xf numFmtId="0" fontId="7" fillId="61" borderId="1" xfId="0" applyFont="1" applyFill="1" applyBorder="1" applyAlignment="1">
      <alignment horizontal="left" vertical="top" wrapText="1"/>
    </xf>
    <xf numFmtId="0" fontId="5" fillId="61" borderId="1" xfId="0" applyFont="1" applyFill="1" applyBorder="1" applyAlignment="1">
      <alignment horizontal="left" vertical="top" wrapText="1"/>
    </xf>
    <xf numFmtId="0" fontId="4" fillId="29" borderId="1" xfId="0" applyFont="1" applyFill="1" applyBorder="1" applyAlignment="1">
      <alignment horizontal="center" vertical="top" wrapText="1"/>
    </xf>
    <xf numFmtId="0" fontId="5" fillId="64" borderId="1" xfId="0" applyFont="1" applyFill="1" applyBorder="1" applyAlignment="1">
      <alignment horizontal="left" vertical="top" wrapText="1"/>
    </xf>
    <xf numFmtId="0" fontId="29" fillId="69" borderId="2" xfId="0" applyFont="1" applyFill="1" applyBorder="1" applyAlignment="1">
      <alignment horizontal="center" vertical="top" wrapText="1"/>
    </xf>
    <xf numFmtId="0" fontId="29" fillId="80" borderId="2" xfId="0" applyFont="1" applyFill="1" applyBorder="1" applyAlignment="1">
      <alignment horizontal="center" vertical="top" wrapText="1"/>
    </xf>
    <xf numFmtId="0" fontId="5" fillId="7" borderId="5" xfId="0" applyFont="1" applyFill="1" applyBorder="1" applyAlignment="1">
      <alignment horizontal="left" vertical="center" wrapText="1"/>
    </xf>
    <xf numFmtId="0" fontId="28" fillId="65" borderId="6" xfId="0" applyFont="1" applyFill="1" applyBorder="1" applyAlignment="1">
      <alignment horizontal="center" vertical="center" wrapText="1"/>
    </xf>
    <xf numFmtId="0" fontId="33" fillId="69" borderId="2" xfId="0" applyFont="1" applyFill="1" applyBorder="1" applyAlignment="1">
      <alignment horizontal="left" vertical="top" wrapText="1"/>
    </xf>
    <xf numFmtId="0" fontId="29" fillId="69" borderId="2" xfId="0" applyFont="1" applyFill="1" applyBorder="1" applyAlignment="1">
      <alignment horizontal="left" vertical="top" wrapText="1"/>
    </xf>
    <xf numFmtId="0" fontId="29" fillId="81" borderId="2" xfId="0" applyFont="1" applyFill="1" applyBorder="1" applyAlignment="1">
      <alignment horizontal="center" vertical="top" wrapText="1"/>
    </xf>
    <xf numFmtId="0" fontId="33" fillId="81" borderId="2" xfId="0" applyFont="1" applyFill="1" applyBorder="1" applyAlignment="1">
      <alignment horizontal="left" vertical="top" wrapText="1"/>
    </xf>
    <xf numFmtId="0" fontId="29" fillId="81" borderId="2" xfId="0" applyFont="1" applyFill="1" applyBorder="1" applyAlignment="1">
      <alignment horizontal="left" vertical="top" wrapText="1"/>
    </xf>
    <xf numFmtId="0" fontId="0" fillId="81" borderId="0" xfId="0" applyFill="1"/>
    <xf numFmtId="0" fontId="0" fillId="81" borderId="0" xfId="0" applyFill="1" applyAlignment="1">
      <alignment vertical="top" wrapText="1"/>
    </xf>
    <xf numFmtId="0" fontId="28" fillId="81" borderId="2" xfId="0" applyFont="1" applyFill="1" applyBorder="1" applyAlignment="1">
      <alignment horizontal="center" vertical="center" wrapText="1"/>
    </xf>
    <xf numFmtId="0" fontId="36" fillId="49" borderId="0" xfId="0" applyFont="1" applyFill="1" applyAlignment="1">
      <alignment horizontal="left" vertical="center"/>
    </xf>
    <xf numFmtId="0" fontId="0" fillId="0" borderId="0" xfId="0"/>
    <xf numFmtId="0" fontId="16" fillId="51" borderId="0" xfId="0" applyFont="1" applyFill="1" applyAlignment="1">
      <alignment horizontal="center" vertical="center"/>
    </xf>
    <xf numFmtId="0" fontId="6" fillId="51" borderId="0" xfId="0" applyFont="1" applyFill="1" applyAlignment="1">
      <alignment horizontal="center" vertical="center"/>
    </xf>
    <xf numFmtId="0" fontId="18" fillId="3" borderId="0" xfId="0" applyFont="1" applyFill="1" applyAlignment="1">
      <alignment horizontal="center" vertical="center"/>
    </xf>
    <xf numFmtId="0" fontId="3" fillId="4" borderId="0" xfId="0" applyFont="1" applyFill="1" applyAlignment="1">
      <alignment horizontal="center" vertical="center"/>
    </xf>
    <xf numFmtId="0" fontId="3" fillId="8" borderId="0" xfId="0" applyFont="1"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6" fillId="2" borderId="0" xfId="0" applyFont="1" applyFill="1" applyAlignment="1">
      <alignment horizontal="center" vertical="center"/>
    </xf>
    <xf numFmtId="0" fontId="8" fillId="2" borderId="0" xfId="0" applyFont="1" applyFill="1" applyAlignment="1">
      <alignment horizontal="center" vertical="center"/>
    </xf>
    <xf numFmtId="0" fontId="37" fillId="0" borderId="0" xfId="0" applyFont="1"/>
    <xf numFmtId="0" fontId="30" fillId="66" borderId="0" xfId="0" applyFont="1" applyFill="1" applyAlignment="1">
      <alignment horizontal="left" vertical="center"/>
    </xf>
    <xf numFmtId="0" fontId="32" fillId="66" borderId="0" xfId="0" applyFont="1" applyFill="1" applyAlignment="1">
      <alignment horizontal="left" vertical="center"/>
    </xf>
    <xf numFmtId="0" fontId="31" fillId="0" borderId="0" xfId="0" applyFont="1" applyAlignment="1">
      <alignment horizontal="left" vertical="center" wrapText="1"/>
    </xf>
    <xf numFmtId="0" fontId="14" fillId="12" borderId="0" xfId="0" applyFont="1" applyFill="1" applyAlignment="1">
      <alignment horizontal="center" vertical="center"/>
    </xf>
    <xf numFmtId="0" fontId="29" fillId="81" borderId="2" xfId="0" applyFont="1" applyFill="1" applyBorder="1" applyAlignment="1">
      <alignment horizontal="left" vertical="top" wrapText="1"/>
    </xf>
    <xf numFmtId="0" fontId="0" fillId="81" borderId="3" xfId="0" applyFill="1" applyBorder="1"/>
    <xf numFmtId="0" fontId="0" fillId="81" borderId="4" xfId="0" applyFill="1" applyBorder="1"/>
    <xf numFmtId="0" fontId="29" fillId="69" borderId="2" xfId="0" applyFont="1" applyFill="1" applyBorder="1" applyAlignment="1">
      <alignment horizontal="left" vertical="top" wrapText="1"/>
    </xf>
    <xf numFmtId="0" fontId="0" fillId="69" borderId="3" xfId="0" applyFill="1" applyBorder="1"/>
    <xf numFmtId="0" fontId="0" fillId="69" borderId="4" xfId="0" applyFill="1" applyBorder="1"/>
    <xf numFmtId="0" fontId="32" fillId="69" borderId="0" xfId="0" applyFont="1" applyFill="1" applyAlignment="1">
      <alignment horizontal="left" vertical="center"/>
    </xf>
    <xf numFmtId="0" fontId="0" fillId="69" borderId="0" xfId="0" applyFill="1"/>
    <xf numFmtId="0" fontId="28" fillId="81" borderId="2" xfId="0" applyFont="1" applyFill="1" applyBorder="1" applyAlignment="1">
      <alignment horizontal="center" vertical="center" wrapText="1"/>
    </xf>
    <xf numFmtId="0" fontId="36" fillId="12" borderId="0" xfId="0" applyFont="1" applyFill="1" applyAlignment="1">
      <alignment horizontal="left" vertical="center" wrapText="1"/>
    </xf>
    <xf numFmtId="0" fontId="16" fillId="4" borderId="0" xfId="0" applyFont="1" applyFill="1" applyAlignment="1">
      <alignment horizontal="center" vertical="center"/>
    </xf>
    <xf numFmtId="0" fontId="0" fillId="0" borderId="0" xfId="0" applyAlignment="1">
      <alignment wrapText="1"/>
    </xf>
    <xf numFmtId="0" fontId="16" fillId="29" borderId="0" xfId="0" applyFont="1" applyFill="1" applyAlignment="1">
      <alignment horizontal="left" vertical="center"/>
    </xf>
    <xf numFmtId="0" fontId="0" fillId="0" borderId="0" xfId="0" applyAlignment="1">
      <alignment horizontal="left"/>
    </xf>
    <xf numFmtId="0" fontId="16" fillId="27" borderId="0" xfId="0" applyFont="1" applyFill="1" applyAlignment="1">
      <alignment horizontal="left" vertical="center"/>
    </xf>
    <xf numFmtId="0" fontId="15" fillId="3" borderId="0" xfId="0" applyFont="1" applyFill="1" applyAlignment="1">
      <alignment horizontal="center" vertical="center"/>
    </xf>
    <xf numFmtId="0" fontId="16" fillId="8" borderId="0" xfId="0" applyFont="1" applyFill="1" applyAlignment="1">
      <alignment horizontal="left" vertical="center"/>
    </xf>
    <xf numFmtId="0" fontId="16" fillId="31" borderId="0" xfId="0" applyFont="1" applyFill="1" applyAlignment="1">
      <alignment horizontal="left" vertical="center"/>
    </xf>
    <xf numFmtId="0" fontId="16" fillId="32" borderId="0" xfId="0" applyFont="1" applyFill="1" applyAlignment="1">
      <alignment horizontal="left" vertical="center"/>
    </xf>
    <xf numFmtId="0" fontId="16" fillId="26" borderId="0" xfId="0" applyFont="1" applyFill="1" applyAlignment="1">
      <alignment horizontal="left" vertical="center"/>
    </xf>
    <xf numFmtId="0" fontId="16" fillId="5" borderId="0" xfId="0" applyFont="1" applyFill="1" applyAlignment="1">
      <alignment horizontal="left" vertical="center"/>
    </xf>
    <xf numFmtId="0" fontId="16" fillId="33" borderId="0" xfId="0" applyFont="1" applyFill="1" applyAlignment="1">
      <alignment horizontal="left" vertical="center"/>
    </xf>
    <xf numFmtId="0" fontId="16" fillId="30" borderId="0" xfId="0" applyFont="1" applyFill="1" applyAlignment="1">
      <alignment horizontal="left" vertical="center"/>
    </xf>
    <xf numFmtId="0" fontId="16" fillId="28" borderId="0" xfId="0" applyFont="1" applyFill="1" applyAlignment="1">
      <alignment horizontal="left" vertical="center"/>
    </xf>
    <xf numFmtId="0" fontId="36" fillId="23" borderId="0" xfId="0" applyFont="1" applyFill="1" applyAlignment="1">
      <alignment horizontal="left" vertical="center"/>
    </xf>
    <xf numFmtId="0" fontId="17" fillId="30" borderId="0" xfId="0" applyFont="1" applyFill="1" applyAlignment="1">
      <alignment horizontal="center" vertical="center"/>
    </xf>
    <xf numFmtId="0" fontId="17" fillId="31" borderId="0" xfId="0" applyFont="1" applyFill="1" applyAlignment="1">
      <alignment horizontal="center" vertical="center"/>
    </xf>
    <xf numFmtId="0" fontId="4" fillId="2" borderId="0" xfId="0" applyFont="1" applyFill="1" applyAlignment="1">
      <alignment horizontal="left" vertical="center"/>
    </xf>
    <xf numFmtId="0" fontId="4" fillId="29" borderId="0" xfId="0" applyFont="1" applyFill="1" applyAlignment="1">
      <alignment horizontal="left" vertical="center"/>
    </xf>
    <xf numFmtId="0" fontId="4" fillId="26" borderId="0" xfId="0" applyFont="1" applyFill="1" applyAlignment="1">
      <alignment horizontal="left" vertical="center"/>
    </xf>
    <xf numFmtId="0" fontId="4" fillId="33" borderId="0" xfId="0" applyFont="1" applyFill="1" applyAlignment="1">
      <alignment horizontal="left" vertical="center"/>
    </xf>
    <xf numFmtId="0" fontId="4" fillId="30" borderId="0" xfId="0" applyFont="1" applyFill="1" applyAlignment="1">
      <alignment horizontal="left" vertical="center"/>
    </xf>
    <xf numFmtId="0" fontId="4" fillId="32" borderId="0" xfId="0" applyFont="1" applyFill="1" applyAlignment="1">
      <alignment horizontal="left" vertical="center"/>
    </xf>
    <xf numFmtId="0" fontId="4" fillId="9" borderId="0" xfId="0" applyFont="1" applyFill="1" applyAlignment="1">
      <alignment horizontal="left" vertical="center"/>
    </xf>
    <xf numFmtId="0" fontId="4" fillId="31" borderId="0" xfId="0" applyFont="1" applyFill="1" applyAlignment="1">
      <alignment horizontal="left" vertical="center"/>
    </xf>
    <xf numFmtId="0" fontId="4" fillId="5" borderId="0" xfId="0" applyFont="1" applyFill="1" applyAlignment="1">
      <alignment horizontal="left" vertical="center"/>
    </xf>
    <xf numFmtId="0" fontId="17" fillId="32" borderId="0" xfId="0" applyFont="1" applyFill="1" applyAlignment="1">
      <alignment horizontal="center" vertical="center"/>
    </xf>
    <xf numFmtId="0" fontId="4" fillId="27" borderId="0" xfId="0" applyFont="1" applyFill="1" applyAlignment="1">
      <alignment horizontal="left" vertical="center"/>
    </xf>
    <xf numFmtId="0" fontId="4" fillId="21" borderId="0" xfId="0" applyFont="1" applyFill="1" applyAlignment="1">
      <alignment horizontal="left" vertical="center"/>
    </xf>
    <xf numFmtId="0" fontId="4" fillId="37" borderId="0" xfId="0" applyFont="1" applyFill="1" applyAlignment="1">
      <alignment horizontal="left" vertical="center"/>
    </xf>
    <xf numFmtId="0" fontId="4" fillId="8" borderId="0" xfId="0" applyFont="1" applyFill="1" applyAlignment="1">
      <alignment horizontal="left" vertical="center"/>
    </xf>
    <xf numFmtId="0" fontId="4" fillId="28" borderId="0" xfId="0" applyFont="1" applyFill="1" applyAlignment="1">
      <alignment horizontal="left" vertical="center"/>
    </xf>
    <xf numFmtId="0" fontId="15" fillId="38" borderId="0" xfId="0" applyFont="1" applyFill="1" applyAlignment="1">
      <alignment horizontal="left" vertical="center"/>
    </xf>
    <xf numFmtId="0" fontId="17" fillId="2" borderId="0" xfId="0" applyFont="1" applyFill="1" applyAlignment="1">
      <alignment horizontal="center" vertical="center"/>
    </xf>
    <xf numFmtId="0" fontId="17" fillId="9" borderId="0" xfId="0" applyFont="1" applyFill="1" applyAlignment="1">
      <alignment horizontal="center" vertical="center"/>
    </xf>
    <xf numFmtId="0" fontId="19" fillId="23" borderId="0" xfId="0" applyFont="1" applyFill="1" applyAlignment="1">
      <alignment horizontal="center" vertical="center"/>
    </xf>
    <xf numFmtId="0" fontId="17" fillId="53" borderId="0" xfId="0" applyFont="1" applyFill="1" applyAlignment="1">
      <alignment horizontal="center" vertical="center"/>
    </xf>
    <xf numFmtId="0" fontId="17" fillId="59" borderId="0" xfId="0" applyFont="1" applyFill="1" applyAlignment="1">
      <alignment horizontal="center" vertical="center"/>
    </xf>
    <xf numFmtId="0" fontId="17" fillId="6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F8E1"/>
      <rgbColor rgb="FFE8F5E9"/>
      <rgbColor rgb="FFF0F8FF"/>
      <rgbColor rgb="FFFFF2CF"/>
      <rgbColor rgb="FFFFF3E0"/>
      <rgbColor rgb="FFE6F4FF"/>
      <rgbColor rgb="FFF1F8E9"/>
      <rgbColor rgb="FF1D7434"/>
      <rgbColor rgb="FFF9FBE7"/>
      <rgbColor rgb="FFFBE9E7"/>
      <rgbColor rgb="FF6C1291"/>
      <rgbColor rgb="FF1F6936"/>
      <rgbColor rgb="FFBFBFBF"/>
      <rgbColor rgb="FFF0E6FF"/>
      <rgbColor rgb="FFEDE7F6"/>
      <rgbColor rgb="FFFDECEA"/>
      <rgbColor rgb="FFFFF9C4"/>
      <rgbColor rgb="FFDDFFEE"/>
      <rgbColor rgb="FFF5F5F5"/>
      <rgbColor rgb="FFE65801"/>
      <rgbColor rgb="FF0474E9"/>
      <rgbColor rgb="FFE5E8F4"/>
      <rgbColor rgb="FFFFF8EE"/>
      <rgbColor rgb="FFF0F4FF"/>
      <rgbColor rgb="FFFFF0D0"/>
      <rgbColor rgb="FFE7F3FF"/>
      <rgbColor rgb="FF721888"/>
      <rgbColor rgb="FFEEF6FF"/>
      <rgbColor rgb="FFEBF3FB"/>
      <rgbColor rgb="FFFAFAFA"/>
      <rgbColor rgb="FFE8F4FD"/>
      <rgbColor rgb="FFE0F4FF"/>
      <rgbColor rgb="FFE6F9E6"/>
      <rgbColor rgb="FFFFF3CD"/>
      <rgbColor rgb="FFDDEEFF"/>
      <rgbColor rgb="FFFCE4EC"/>
      <rgbColor rgb="FFF3E5FF"/>
      <rgbColor rgb="FFFFE0CC"/>
      <rgbColor rgb="FF1E7BDB"/>
      <rgbColor rgb="FFE3F2FD"/>
      <rgbColor rgb="FFE1F2F1"/>
      <rgbColor rgb="FFFFE6E6"/>
      <rgbColor rgb="FFFB9D0B"/>
      <rgbColor rgb="FFF07806"/>
      <rgbColor rgb="FF4285F4"/>
      <rgbColor rgb="FFF3E5F5"/>
      <rgbColor rgb="FF1D3369"/>
      <rgbColor rgb="FF5A9936"/>
      <rgbColor rgb="FF142244"/>
      <rgbColor rgb="FF3A5A3A"/>
      <rgbColor rgb="FFC82C27"/>
      <rgbColor rgb="FFF5EEF8"/>
      <rgbColor rgb="FFF2F2F2"/>
      <rgbColor rgb="FF1E376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038BB30-76DC-A94C-A192-2BF82AAFC9DD}">
  <we:reference id="WA200009404" version="1.0.0.8" store="Omex" storeType="OMEX"/>
  <we:alternateReferences>
    <we:reference id="WA200009404" version="1.0.0.8" store="WA200009404" storeType="OMEX"/>
  </we:alternateReferences>
  <we:properties>
    <we:property name="claude.fileId" value="&quot;142cfa89-94f0-4877-b083-afb87b9eee85&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17" Type="http://schemas.openxmlformats.org/officeDocument/2006/relationships/hyperlink" Target="https://leetcode.com/problems/pascals-triangle/" TargetMode="External"/><Relationship Id="rId671" Type="http://schemas.openxmlformats.org/officeDocument/2006/relationships/hyperlink" Target="https://leetcode.com/problems/kth-missing-positive-number/" TargetMode="External"/><Relationship Id="rId769" Type="http://schemas.openxmlformats.org/officeDocument/2006/relationships/hyperlink" Target="https://leetcode.com/problems/minimum-sum-of-squared-difference/" TargetMode="External"/><Relationship Id="rId21" Type="http://schemas.openxmlformats.org/officeDocument/2006/relationships/hyperlink" Target="https://leetcode.com/problems/merge-two-sorted-lists/" TargetMode="External"/><Relationship Id="rId324" Type="http://schemas.openxmlformats.org/officeDocument/2006/relationships/hyperlink" Target="https://leetcode.com/problems/frog-jump/" TargetMode="External"/><Relationship Id="rId531" Type="http://schemas.openxmlformats.org/officeDocument/2006/relationships/hyperlink" Target="https://leetcode.com/problems/fruit-into-baskets/" TargetMode="External"/><Relationship Id="rId629" Type="http://schemas.openxmlformats.org/officeDocument/2006/relationships/hyperlink" Target="https://leetcode.com/problems/find-numbers-with-even-number-of-digits/" TargetMode="External"/><Relationship Id="rId170" Type="http://schemas.openxmlformats.org/officeDocument/2006/relationships/hyperlink" Target="https://leetcode.com/problems/consecutive-numbers/" TargetMode="External"/><Relationship Id="rId836" Type="http://schemas.openxmlformats.org/officeDocument/2006/relationships/hyperlink" Target="https://leetcode.com/problems/transformed-array/" TargetMode="External"/><Relationship Id="rId268" Type="http://schemas.openxmlformats.org/officeDocument/2006/relationships/hyperlink" Target="https://leetcode.com/problems/burst-balloons/" TargetMode="External"/><Relationship Id="rId475" Type="http://schemas.openxmlformats.org/officeDocument/2006/relationships/hyperlink" Target="https://leetcode.com/problems/employee-free-time/" TargetMode="External"/><Relationship Id="rId682" Type="http://schemas.openxmlformats.org/officeDocument/2006/relationships/hyperlink" Target="https://leetcode.com/problems/min-cost-to-connect-all-points/" TargetMode="External"/><Relationship Id="rId32" Type="http://schemas.openxmlformats.org/officeDocument/2006/relationships/hyperlink" Target="https://leetcode.com/problems/longest-valid-parentheses/" TargetMode="External"/><Relationship Id="rId128" Type="http://schemas.openxmlformats.org/officeDocument/2006/relationships/hyperlink" Target="https://leetcode.com/problems/surrounded-regions/" TargetMode="External"/><Relationship Id="rId335" Type="http://schemas.openxmlformats.org/officeDocument/2006/relationships/hyperlink" Target="https://leetcode.com/problems/battleships-in-a-board/" TargetMode="External"/><Relationship Id="rId542" Type="http://schemas.openxmlformats.org/officeDocument/2006/relationships/hyperlink" Target="https://leetcode.com/problems/range-sum-of-bst/" TargetMode="External"/><Relationship Id="rId181" Type="http://schemas.openxmlformats.org/officeDocument/2006/relationships/hyperlink" Target="https://leetcode.com/problems/number-of-1-bits/" TargetMode="External"/><Relationship Id="rId402" Type="http://schemas.openxmlformats.org/officeDocument/2006/relationships/hyperlink" Target="https://leetcode.com/problems/array-nesting/" TargetMode="External"/><Relationship Id="rId847" Type="http://schemas.openxmlformats.org/officeDocument/2006/relationships/hyperlink" Target="https://leetcode.com/problems/minimum-pair-removal-to-sort-array-i/" TargetMode="External"/><Relationship Id="rId279" Type="http://schemas.openxmlformats.org/officeDocument/2006/relationships/hyperlink" Target="https://leetcode.com/problems/count-of-range-sum/" TargetMode="External"/><Relationship Id="rId486" Type="http://schemas.openxmlformats.org/officeDocument/2006/relationships/hyperlink" Target="https://leetcode.com/problems/cheapest-flights-within-k-stops/" TargetMode="External"/><Relationship Id="rId693" Type="http://schemas.openxmlformats.org/officeDocument/2006/relationships/hyperlink" Target="https://leetcode.com/problems/minimum-deletions-to-make-string-balanced/" TargetMode="External"/><Relationship Id="rId707" Type="http://schemas.openxmlformats.org/officeDocument/2006/relationships/hyperlink" Target="https://leetcode.com/problems/number-of-students-unable-to-eat-lunch/" TargetMode="External"/><Relationship Id="rId43" Type="http://schemas.openxmlformats.org/officeDocument/2006/relationships/hyperlink" Target="https://leetcode.com/problems/multiply-strings/" TargetMode="External"/><Relationship Id="rId139" Type="http://schemas.openxmlformats.org/officeDocument/2006/relationships/hyperlink" Target="https://leetcode.com/problems/linked-list-cycle-ii/" TargetMode="External"/><Relationship Id="rId346" Type="http://schemas.openxmlformats.org/officeDocument/2006/relationships/hyperlink" Target="https://leetcode.com/problems/string-compression/" TargetMode="External"/><Relationship Id="rId553" Type="http://schemas.openxmlformats.org/officeDocument/2006/relationships/hyperlink" Target="https://leetcode.com/problems/k-closest-points-to-origin/" TargetMode="External"/><Relationship Id="rId760" Type="http://schemas.openxmlformats.org/officeDocument/2006/relationships/hyperlink" Target="https://leetcode.com/problems/maximum-number-of-words-found-in-sentences/" TargetMode="External"/><Relationship Id="rId192" Type="http://schemas.openxmlformats.org/officeDocument/2006/relationships/hyperlink" Target="https://leetcode.com/problems/reverse-linked-list/" TargetMode="External"/><Relationship Id="rId206" Type="http://schemas.openxmlformats.org/officeDocument/2006/relationships/hyperlink" Target="https://leetcode.com/problems/maximal-square/" TargetMode="External"/><Relationship Id="rId413" Type="http://schemas.openxmlformats.org/officeDocument/2006/relationships/hyperlink" Target="https://leetcode.com/problems/triangle-judgement/" TargetMode="External"/><Relationship Id="rId858" Type="http://schemas.openxmlformats.org/officeDocument/2006/relationships/hyperlink" Target="https://leetcode.com/problems/jump-game-ix/" TargetMode="External"/><Relationship Id="rId497" Type="http://schemas.openxmlformats.org/officeDocument/2006/relationships/hyperlink" Target="https://leetcode.com/problems/linked-list-components/" TargetMode="External"/><Relationship Id="rId620" Type="http://schemas.openxmlformats.org/officeDocument/2006/relationships/hyperlink" Target="https://leetcode.com/problems/greatest-sum-divisible-by-three/" TargetMode="External"/><Relationship Id="rId718" Type="http://schemas.openxmlformats.org/officeDocument/2006/relationships/hyperlink" Target="https://leetcode.com/problems/car-fleet-ii/" TargetMode="External"/><Relationship Id="rId357" Type="http://schemas.openxmlformats.org/officeDocument/2006/relationships/hyperlink" Target="https://leetcode.com/problems/validate-ip-address/" TargetMode="External"/><Relationship Id="rId54" Type="http://schemas.openxmlformats.org/officeDocument/2006/relationships/hyperlink" Target="https://leetcode.com/problems/spiral-matrix/" TargetMode="External"/><Relationship Id="rId217" Type="http://schemas.openxmlformats.org/officeDocument/2006/relationships/hyperlink" Target="https://leetcode.com/problems/palindrome-linked-list/" TargetMode="External"/><Relationship Id="rId564" Type="http://schemas.openxmlformats.org/officeDocument/2006/relationships/hyperlink" Target="https://leetcode.com/problems/subarrays-with-k-different-integers/" TargetMode="External"/><Relationship Id="rId771" Type="http://schemas.openxmlformats.org/officeDocument/2006/relationships/hyperlink" Target="https://leetcode.com/problems/best-poker-hand/" TargetMode="External"/><Relationship Id="rId869" Type="http://schemas.openxmlformats.org/officeDocument/2006/relationships/hyperlink" Target="https://leetcode.com/problems/minimum-absolute-distance-between-mirror-pairs/" TargetMode="External"/><Relationship Id="rId424" Type="http://schemas.openxmlformats.org/officeDocument/2006/relationships/hyperlink" Target="https://leetcode.com/problems/maximum-average-subarray-i/" TargetMode="External"/><Relationship Id="rId631" Type="http://schemas.openxmlformats.org/officeDocument/2006/relationships/hyperlink" Target="https://leetcode.com/problems/jump-game-iii/" TargetMode="External"/><Relationship Id="rId729" Type="http://schemas.openxmlformats.org/officeDocument/2006/relationships/hyperlink" Target="https://leetcode.com/problems/sum-of-all-subset-xor-totals/" TargetMode="External"/><Relationship Id="rId270" Type="http://schemas.openxmlformats.org/officeDocument/2006/relationships/hyperlink" Target="https://leetcode.com/problems/binary-tree-vertical-order-traversal/" TargetMode="External"/><Relationship Id="rId65" Type="http://schemas.openxmlformats.org/officeDocument/2006/relationships/hyperlink" Target="https://leetcode.com/problems/valid-number/" TargetMode="External"/><Relationship Id="rId130" Type="http://schemas.openxmlformats.org/officeDocument/2006/relationships/hyperlink" Target="https://leetcode.com/problems/clone-graph/" TargetMode="External"/><Relationship Id="rId368" Type="http://schemas.openxmlformats.org/officeDocument/2006/relationships/hyperlink" Target="https://leetcode.com/problems/target-sum/" TargetMode="External"/><Relationship Id="rId575" Type="http://schemas.openxmlformats.org/officeDocument/2006/relationships/hyperlink" Target="https://leetcode.com/problems/recover-a-tree-from-preorder-traversal/" TargetMode="External"/><Relationship Id="rId782" Type="http://schemas.openxmlformats.org/officeDocument/2006/relationships/hyperlink" Target="https://leetcode.com/problems/number-of-pairs-satisfying-inequality/" TargetMode="External"/><Relationship Id="rId228" Type="http://schemas.openxmlformats.org/officeDocument/2006/relationships/hyperlink" Target="https://leetcode.com/problems/meeting-rooms/" TargetMode="External"/><Relationship Id="rId435" Type="http://schemas.openxmlformats.org/officeDocument/2006/relationships/hyperlink" Target="https://leetcode.com/problems/valid-palindrome-ii/" TargetMode="External"/><Relationship Id="rId642" Type="http://schemas.openxmlformats.org/officeDocument/2006/relationships/hyperlink" Target="https://leetcode.com/problems/how-many-numbers-are-smaller-than-the-current-number/" TargetMode="External"/><Relationship Id="rId281" Type="http://schemas.openxmlformats.org/officeDocument/2006/relationships/hyperlink" Target="https://leetcode.com/problems/longest-increasing-path-in-a-matrix/" TargetMode="External"/><Relationship Id="rId502" Type="http://schemas.openxmlformats.org/officeDocument/2006/relationships/hyperlink" Target="https://leetcode.com/problems/flipping-an-image/" TargetMode="External"/><Relationship Id="rId76" Type="http://schemas.openxmlformats.org/officeDocument/2006/relationships/hyperlink" Target="https://leetcode.com/problems/minimum-window-substring/" TargetMode="External"/><Relationship Id="rId141" Type="http://schemas.openxmlformats.org/officeDocument/2006/relationships/hyperlink" Target="https://leetcode.com/problems/lru-cache/" TargetMode="External"/><Relationship Id="rId379" Type="http://schemas.openxmlformats.org/officeDocument/2006/relationships/hyperlink" Target="https://leetcode.com/problems/longest-palindromic-subsequence/" TargetMode="External"/><Relationship Id="rId586" Type="http://schemas.openxmlformats.org/officeDocument/2006/relationships/hyperlink" Target="https://leetcode.com/problems/shortest-path-in-binary-matrix/" TargetMode="External"/><Relationship Id="rId793" Type="http://schemas.openxmlformats.org/officeDocument/2006/relationships/hyperlink" Target="https://leetcode.com/problems/find-score-of-an-array-after-marking-all-elements/" TargetMode="External"/><Relationship Id="rId807" Type="http://schemas.openxmlformats.org/officeDocument/2006/relationships/hyperlink" Target="https://leetcode.com/problems/check-if-strings-can-be-made-equal-with-operations-ii/" TargetMode="External"/><Relationship Id="rId7" Type="http://schemas.openxmlformats.org/officeDocument/2006/relationships/hyperlink" Target="https://leetcode.com/problems/reverse-integer/" TargetMode="External"/><Relationship Id="rId239" Type="http://schemas.openxmlformats.org/officeDocument/2006/relationships/hyperlink" Target="https://leetcode.com/problems/closest-binary-search-tree-value/" TargetMode="External"/><Relationship Id="rId446" Type="http://schemas.openxmlformats.org/officeDocument/2006/relationships/hyperlink" Target="https://leetcode.com/problems/search-in-a-binary-search-tree/" TargetMode="External"/><Relationship Id="rId653" Type="http://schemas.openxmlformats.org/officeDocument/2006/relationships/hyperlink" Target="https://leetcode.com/problems/maximum-points-you-can-obtain-from-cards/" TargetMode="External"/><Relationship Id="rId292" Type="http://schemas.openxmlformats.org/officeDocument/2006/relationships/hyperlink" Target="https://leetcode.com/problems/reverse-string/" TargetMode="External"/><Relationship Id="rId306" Type="http://schemas.openxmlformats.org/officeDocument/2006/relationships/hyperlink" Target="https://leetcode.com/problems/sum-of-two-integers/" TargetMode="External"/><Relationship Id="rId860" Type="http://schemas.openxmlformats.org/officeDocument/2006/relationships/hyperlink" Target="https://leetcode.com/problems/minimum-operations-to-equalize-binary-string/" TargetMode="External"/><Relationship Id="rId87" Type="http://schemas.openxmlformats.org/officeDocument/2006/relationships/hyperlink" Target="https://leetcode.com/problems/merge-sorted-array/" TargetMode="External"/><Relationship Id="rId513" Type="http://schemas.openxmlformats.org/officeDocument/2006/relationships/hyperlink" Target="https://leetcode.com/problems/lemonade-change/" TargetMode="External"/><Relationship Id="rId597" Type="http://schemas.openxmlformats.org/officeDocument/2006/relationships/hyperlink" Target="https://leetcode.com/problems/design-file-system/" TargetMode="External"/><Relationship Id="rId720" Type="http://schemas.openxmlformats.org/officeDocument/2006/relationships/hyperlink" Target="https://leetcode.com/problems/check-if-binary-string-has-at-most-one-segment-of-ones/" TargetMode="External"/><Relationship Id="rId818" Type="http://schemas.openxmlformats.org/officeDocument/2006/relationships/hyperlink" Target="https://leetcode.com/problems/minimum-cost-to-convert-string-i/" TargetMode="External"/><Relationship Id="rId152" Type="http://schemas.openxmlformats.org/officeDocument/2006/relationships/hyperlink" Target="https://leetcode.com/problems/intersection-of-two-linked-lists/" TargetMode="External"/><Relationship Id="rId457" Type="http://schemas.openxmlformats.org/officeDocument/2006/relationships/hyperlink" Target="https://leetcode.com/problems/find-k-th-smallest-pair-distance/" TargetMode="External"/><Relationship Id="rId664" Type="http://schemas.openxmlformats.org/officeDocument/2006/relationships/hyperlink" Target="https://leetcode.com/problems/final-prices-with-a-special-discount-in-a-shop/" TargetMode="External"/><Relationship Id="rId871" Type="http://schemas.openxmlformats.org/officeDocument/2006/relationships/hyperlink" Target="https://leetcode.com/problems/minimum-subarray-length-with-distinct-sum-at-least-k/" TargetMode="External"/><Relationship Id="rId14" Type="http://schemas.openxmlformats.org/officeDocument/2006/relationships/hyperlink" Target="https://leetcode.com/problems/longest-common-prefix/" TargetMode="External"/><Relationship Id="rId317" Type="http://schemas.openxmlformats.org/officeDocument/2006/relationships/hyperlink" Target="https://leetcode.com/problems/perfect-rectangle/" TargetMode="External"/><Relationship Id="rId524" Type="http://schemas.openxmlformats.org/officeDocument/2006/relationships/hyperlink" Target="https://leetcode.com/problems/spiral-matrix-iii/" TargetMode="External"/><Relationship Id="rId731" Type="http://schemas.openxmlformats.org/officeDocument/2006/relationships/hyperlink" Target="https://leetcode.com/problems/minimum-speed-to-arrive-on-time/" TargetMode="External"/><Relationship Id="rId98" Type="http://schemas.openxmlformats.org/officeDocument/2006/relationships/hyperlink" Target="https://leetcode.com/problems/recover-binary-search-tree/" TargetMode="External"/><Relationship Id="rId163" Type="http://schemas.openxmlformats.org/officeDocument/2006/relationships/hyperlink" Target="https://leetcode.com/problems/binary-search-tree-iterator/" TargetMode="External"/><Relationship Id="rId370" Type="http://schemas.openxmlformats.org/officeDocument/2006/relationships/hyperlink" Target="https://leetcode.com/problems/diagonal-traverse/" TargetMode="External"/><Relationship Id="rId829" Type="http://schemas.openxmlformats.org/officeDocument/2006/relationships/hyperlink" Target="https://leetcode.com/problems/find-the-maximum-length-of-valid-subsequence-i/" TargetMode="External"/><Relationship Id="rId230" Type="http://schemas.openxmlformats.org/officeDocument/2006/relationships/hyperlink" Target="https://leetcode.com/problems/factor-combinations/" TargetMode="External"/><Relationship Id="rId468" Type="http://schemas.openxmlformats.org/officeDocument/2006/relationships/hyperlink" Target="https://leetcode.com/problems/daily-temperatures/" TargetMode="External"/><Relationship Id="rId675" Type="http://schemas.openxmlformats.org/officeDocument/2006/relationships/hyperlink" Target="https://leetcode.com/problems/detect-cycles-in-2d-grid/" TargetMode="External"/><Relationship Id="rId25" Type="http://schemas.openxmlformats.org/officeDocument/2006/relationships/hyperlink" Target="https://leetcode.com/problems/reverse-nodes-in-k-group/" TargetMode="External"/><Relationship Id="rId328" Type="http://schemas.openxmlformats.org/officeDocument/2006/relationships/hyperlink" Target="https://leetcode.com/problems/longest-palindrome/" TargetMode="External"/><Relationship Id="rId535" Type="http://schemas.openxmlformats.org/officeDocument/2006/relationships/hyperlink" Target="https://leetcode.com/problems/sort-an-array/" TargetMode="External"/><Relationship Id="rId742" Type="http://schemas.openxmlformats.org/officeDocument/2006/relationships/hyperlink" Target="https://leetcode.com/problems/concatenation-of-array/" TargetMode="External"/><Relationship Id="rId174" Type="http://schemas.openxmlformats.org/officeDocument/2006/relationships/hyperlink" Target="https://leetcode.com/problems/department-highest-salary/" TargetMode="External"/><Relationship Id="rId381" Type="http://schemas.openxmlformats.org/officeDocument/2006/relationships/hyperlink" Target="https://leetcode.com/problems/continuous-subarray-sum/" TargetMode="External"/><Relationship Id="rId602" Type="http://schemas.openxmlformats.org/officeDocument/2006/relationships/hyperlink" Target="https://leetcode.com/problems/monthly-transactions-i/" TargetMode="External"/><Relationship Id="rId241" Type="http://schemas.openxmlformats.org/officeDocument/2006/relationships/hyperlink" Target="https://leetcode.com/problems/integer-to-english-words/" TargetMode="External"/><Relationship Id="rId479" Type="http://schemas.openxmlformats.org/officeDocument/2006/relationships/hyperlink" Target="https://leetcode.com/problems/reorganize-string/" TargetMode="External"/><Relationship Id="rId686" Type="http://schemas.openxmlformats.org/officeDocument/2006/relationships/hyperlink" Target="https://leetcode.com/problems/maximum-nesting-depth-of-the-parentheses/" TargetMode="External"/><Relationship Id="rId36" Type="http://schemas.openxmlformats.org/officeDocument/2006/relationships/hyperlink" Target="https://leetcode.com/problems/valid-sudoku/" TargetMode="External"/><Relationship Id="rId339" Type="http://schemas.openxmlformats.org/officeDocument/2006/relationships/hyperlink" Target="https://leetcode.com/problems/flatten-a-multilevel-doubly-linked-list/" TargetMode="External"/><Relationship Id="rId546" Type="http://schemas.openxmlformats.org/officeDocument/2006/relationships/hyperlink" Target="https://leetcode.com/problems/most-stones-removed-with-same-row-or-column/" TargetMode="External"/><Relationship Id="rId753" Type="http://schemas.openxmlformats.org/officeDocument/2006/relationships/hyperlink" Target="https://leetcode.com/problems/two-best-non-overlapping-events/" TargetMode="External"/><Relationship Id="rId101" Type="http://schemas.openxmlformats.org/officeDocument/2006/relationships/hyperlink" Target="https://leetcode.com/problems/binary-tree-level-order-traversal/" TargetMode="External"/><Relationship Id="rId185" Type="http://schemas.openxmlformats.org/officeDocument/2006/relationships/hyperlink" Target="https://leetcode.com/problems/house-robber/" TargetMode="External"/><Relationship Id="rId406" Type="http://schemas.openxmlformats.org/officeDocument/2006/relationships/hyperlink" Target="https://leetcode.com/problems/subtree-of-another-tree/" TargetMode="External"/><Relationship Id="rId392" Type="http://schemas.openxmlformats.org/officeDocument/2006/relationships/hyperlink" Target="https://leetcode.com/problems/boundary-of-binary-tree/" TargetMode="External"/><Relationship Id="rId613" Type="http://schemas.openxmlformats.org/officeDocument/2006/relationships/hyperlink" Target="https://leetcode.com/problems/maximum-profit-in-job-scheduling/" TargetMode="External"/><Relationship Id="rId697" Type="http://schemas.openxmlformats.org/officeDocument/2006/relationships/hyperlink" Target="https://leetcode.com/problems/ways-to-make-a-fair-array/" TargetMode="External"/><Relationship Id="rId820" Type="http://schemas.openxmlformats.org/officeDocument/2006/relationships/hyperlink" Target="https://leetcode.com/problems/divide-an-array-into-subarrays-with-minimum-cost-ii/" TargetMode="External"/><Relationship Id="rId252" Type="http://schemas.openxmlformats.org/officeDocument/2006/relationships/hyperlink" Target="https://leetcode.com/problems/game-of-life/" TargetMode="External"/><Relationship Id="rId47" Type="http://schemas.openxmlformats.org/officeDocument/2006/relationships/hyperlink" Target="https://leetcode.com/problems/permutations-ii/" TargetMode="External"/><Relationship Id="rId112" Type="http://schemas.openxmlformats.org/officeDocument/2006/relationships/hyperlink" Target="https://leetcode.com/problems/path-sum-ii/" TargetMode="External"/><Relationship Id="rId557" Type="http://schemas.openxmlformats.org/officeDocument/2006/relationships/hyperlink" Target="https://leetcode.com/problems/unique-paths-iii/" TargetMode="External"/><Relationship Id="rId764" Type="http://schemas.openxmlformats.org/officeDocument/2006/relationships/hyperlink" Target="https://leetcode.com/problems/keep-multiplying-found-values-by-two/" TargetMode="External"/><Relationship Id="rId196" Type="http://schemas.openxmlformats.org/officeDocument/2006/relationships/hyperlink" Target="https://leetcode.com/problems/course-schedule-ii/" TargetMode="External"/><Relationship Id="rId417" Type="http://schemas.openxmlformats.org/officeDocument/2006/relationships/hyperlink" Target="https://leetcode.com/problems/exchange-seats/" TargetMode="External"/><Relationship Id="rId624" Type="http://schemas.openxmlformats.org/officeDocument/2006/relationships/hyperlink" Target="https://leetcode.com/problems/count-square-submatrices-with-all-ones/" TargetMode="External"/><Relationship Id="rId831" Type="http://schemas.openxmlformats.org/officeDocument/2006/relationships/hyperlink" Target="https://leetcode.com/problems/maximum-score-from-grid-operations/" TargetMode="External"/><Relationship Id="rId263" Type="http://schemas.openxmlformats.org/officeDocument/2006/relationships/hyperlink" Target="https://leetcode.com/problems/number-of-islands-ii/" TargetMode="External"/><Relationship Id="rId470" Type="http://schemas.openxmlformats.org/officeDocument/2006/relationships/hyperlink" Target="https://leetcode.com/problems/network-delay-time/" TargetMode="External"/><Relationship Id="rId58" Type="http://schemas.openxmlformats.org/officeDocument/2006/relationships/hyperlink" Target="https://leetcode.com/problems/length-of-last-word/" TargetMode="External"/><Relationship Id="rId123" Type="http://schemas.openxmlformats.org/officeDocument/2006/relationships/hyperlink" Target="https://leetcode.com/problems/valid-palindrome/" TargetMode="External"/><Relationship Id="rId330" Type="http://schemas.openxmlformats.org/officeDocument/2006/relationships/hyperlink" Target="https://leetcode.com/problems/fizz-buzz/" TargetMode="External"/><Relationship Id="rId568" Type="http://schemas.openxmlformats.org/officeDocument/2006/relationships/hyperlink" Target="https://leetcode.com/problems/construct-binary-search-tree-from-preorder-traversal/" TargetMode="External"/><Relationship Id="rId775" Type="http://schemas.openxmlformats.org/officeDocument/2006/relationships/hyperlink" Target="https://leetcode.com/problems/largest-palindromic-number/" TargetMode="External"/><Relationship Id="rId428" Type="http://schemas.openxmlformats.org/officeDocument/2006/relationships/hyperlink" Target="https://leetcode.com/problems/two-sum-iv-input-is-a-bst/" TargetMode="External"/><Relationship Id="rId635" Type="http://schemas.openxmlformats.org/officeDocument/2006/relationships/hyperlink" Target="https://leetcode.com/problems/maximum-product-of-splitted-binary-tree/" TargetMode="External"/><Relationship Id="rId842" Type="http://schemas.openxmlformats.org/officeDocument/2006/relationships/hyperlink" Target="https://leetcode.com/problems/separate-squares-i/" TargetMode="External"/><Relationship Id="rId274" Type="http://schemas.openxmlformats.org/officeDocument/2006/relationships/hyperlink" Target="https://leetcode.com/problems/bulb-switcher/" TargetMode="External"/><Relationship Id="rId481" Type="http://schemas.openxmlformats.org/officeDocument/2006/relationships/hyperlink" Target="https://leetcode.com/problems/jewels-and-stones/" TargetMode="External"/><Relationship Id="rId702" Type="http://schemas.openxmlformats.org/officeDocument/2006/relationships/hyperlink" Target="https://leetcode.com/problems/concatenation-of-consecutive-binary-numbers/" TargetMode="External"/><Relationship Id="rId69" Type="http://schemas.openxmlformats.org/officeDocument/2006/relationships/hyperlink" Target="https://leetcode.com/problems/sqrtx/" TargetMode="External"/><Relationship Id="rId134" Type="http://schemas.openxmlformats.org/officeDocument/2006/relationships/hyperlink" Target="https://leetcode.com/problems/single-number-ii/" TargetMode="External"/><Relationship Id="rId579" Type="http://schemas.openxmlformats.org/officeDocument/2006/relationships/hyperlink" Target="https://leetcode.com/problems/partition-array-for-maximum-sum/" TargetMode="External"/><Relationship Id="rId786" Type="http://schemas.openxmlformats.org/officeDocument/2006/relationships/hyperlink" Target="https://leetcode.com/problems/minimum-penalty-for-a-shop/" TargetMode="External"/><Relationship Id="rId341" Type="http://schemas.openxmlformats.org/officeDocument/2006/relationships/hyperlink" Target="https://leetcode.com/problems/non-overlapping-intervals/" TargetMode="External"/><Relationship Id="rId439" Type="http://schemas.openxmlformats.org/officeDocument/2006/relationships/hyperlink" Target="https://leetcode.com/problems/employee-importance/" TargetMode="External"/><Relationship Id="rId646" Type="http://schemas.openxmlformats.org/officeDocument/2006/relationships/hyperlink" Target="https://leetcode.com/problems/find-a-corresponding-node-of-a-binary-tree-in-a-clone-of-that-tree/" TargetMode="External"/><Relationship Id="rId201" Type="http://schemas.openxmlformats.org/officeDocument/2006/relationships/hyperlink" Target="https://leetcode.com/problems/kth-largest-element-in-an-array/" TargetMode="External"/><Relationship Id="rId285" Type="http://schemas.openxmlformats.org/officeDocument/2006/relationships/hyperlink" Target="https://leetcode.com/problems/palindrome-pairs/" TargetMode="External"/><Relationship Id="rId506" Type="http://schemas.openxmlformats.org/officeDocument/2006/relationships/hyperlink" Target="https://leetcode.com/problems/guess-the-word/" TargetMode="External"/><Relationship Id="rId853" Type="http://schemas.openxmlformats.org/officeDocument/2006/relationships/hyperlink" Target="https://leetcode.com/problems/trionic-array-i/" TargetMode="External"/><Relationship Id="rId492" Type="http://schemas.openxmlformats.org/officeDocument/2006/relationships/hyperlink" Target="https://leetcode.com/problems/all-paths-from-source-to-target/" TargetMode="External"/><Relationship Id="rId713" Type="http://schemas.openxmlformats.org/officeDocument/2006/relationships/hyperlink" Target="https://leetcode.com/problems/check-if-array-is-sorted-and-rotated/" TargetMode="External"/><Relationship Id="rId797" Type="http://schemas.openxmlformats.org/officeDocument/2006/relationships/hyperlink" Target="https://leetcode.com/problems/sliding-subarray-beauty/" TargetMode="External"/><Relationship Id="rId145" Type="http://schemas.openxmlformats.org/officeDocument/2006/relationships/hyperlink" Target="https://leetcode.com/problems/reverse-words-in-a-string/" TargetMode="External"/><Relationship Id="rId352" Type="http://schemas.openxmlformats.org/officeDocument/2006/relationships/hyperlink" Target="https://leetcode.com/problems/assign-cookies/" TargetMode="External"/><Relationship Id="rId212" Type="http://schemas.openxmlformats.org/officeDocument/2006/relationships/hyperlink" Target="https://leetcode.com/problems/summary-ranges/" TargetMode="External"/><Relationship Id="rId657" Type="http://schemas.openxmlformats.org/officeDocument/2006/relationships/hyperlink" Target="https://leetcode.com/problems/count-good-nodes-in-binary-tree/" TargetMode="External"/><Relationship Id="rId864" Type="http://schemas.openxmlformats.org/officeDocument/2006/relationships/hyperlink" Target="https://leetcode.com/problems/lexicographically-smallest-permutation-greater-than-target/" TargetMode="External"/><Relationship Id="rId296" Type="http://schemas.openxmlformats.org/officeDocument/2006/relationships/hyperlink" Target="https://leetcode.com/problems/design-tic-tac-toe/" TargetMode="External"/><Relationship Id="rId517" Type="http://schemas.openxmlformats.org/officeDocument/2006/relationships/hyperlink" Target="https://leetcode.com/problems/binary-gap/" TargetMode="External"/><Relationship Id="rId724" Type="http://schemas.openxmlformats.org/officeDocument/2006/relationships/hyperlink" Target="https://leetcode.com/problems/minimum-distance-to-the-target-element/" TargetMode="External"/><Relationship Id="rId60" Type="http://schemas.openxmlformats.org/officeDocument/2006/relationships/hyperlink" Target="https://leetcode.com/problems/permutation-sequence/" TargetMode="External"/><Relationship Id="rId156" Type="http://schemas.openxmlformats.org/officeDocument/2006/relationships/hyperlink" Target="https://leetcode.com/problems/compare-version-numbers/" TargetMode="External"/><Relationship Id="rId363" Type="http://schemas.openxmlformats.org/officeDocument/2006/relationships/hyperlink" Target="https://leetcode.com/problems/max-consecutive-ones/" TargetMode="External"/><Relationship Id="rId570" Type="http://schemas.openxmlformats.org/officeDocument/2006/relationships/hyperlink" Target="https://leetcode.com/problems/partition-array-into-three-parts-with-equal-sum/" TargetMode="External"/><Relationship Id="rId223" Type="http://schemas.openxmlformats.org/officeDocument/2006/relationships/hyperlink" Target="https://leetcode.com/problems/search-a-2d-matrix-ii/" TargetMode="External"/><Relationship Id="rId430" Type="http://schemas.openxmlformats.org/officeDocument/2006/relationships/hyperlink" Target="https://leetcode.com/problems/encode-and-decode-strings/" TargetMode="External"/><Relationship Id="rId668" Type="http://schemas.openxmlformats.org/officeDocument/2006/relationships/hyperlink" Target="https://leetcode.com/problems/number-of-good-pairs/" TargetMode="External"/><Relationship Id="rId875" Type="http://schemas.openxmlformats.org/officeDocument/2006/relationships/hyperlink" Target="https://leetcode.com/problems/minimum-cost-to-split-into-ones/" TargetMode="External"/><Relationship Id="rId18" Type="http://schemas.openxmlformats.org/officeDocument/2006/relationships/hyperlink" Target="https://leetcode.com/problems/4sum/" TargetMode="External"/><Relationship Id="rId528" Type="http://schemas.openxmlformats.org/officeDocument/2006/relationships/hyperlink" Target="https://leetcode.com/problems/maximum-frequency-stack/" TargetMode="External"/><Relationship Id="rId735" Type="http://schemas.openxmlformats.org/officeDocument/2006/relationships/hyperlink" Target="https://leetcode.com/problems/merge-triplets-to-form-target-triplet/" TargetMode="External"/><Relationship Id="rId167" Type="http://schemas.openxmlformats.org/officeDocument/2006/relationships/hyperlink" Target="https://leetcode.com/problems/nth-highest-salary/" TargetMode="External"/><Relationship Id="rId374" Type="http://schemas.openxmlformats.org/officeDocument/2006/relationships/hyperlink" Target="https://leetcode.com/problems/base-7/" TargetMode="External"/><Relationship Id="rId581" Type="http://schemas.openxmlformats.org/officeDocument/2006/relationships/hyperlink" Target="https://leetcode.com/problems/remove-all-adjacent-duplicates-in-string/" TargetMode="External"/><Relationship Id="rId71" Type="http://schemas.openxmlformats.org/officeDocument/2006/relationships/hyperlink" Target="https://leetcode.com/problems/simplify-path/" TargetMode="External"/><Relationship Id="rId234" Type="http://schemas.openxmlformats.org/officeDocument/2006/relationships/hyperlink" Target="https://leetcode.com/problems/graph-valid-tree/" TargetMode="External"/><Relationship Id="rId679" Type="http://schemas.openxmlformats.org/officeDocument/2006/relationships/hyperlink" Target="https://leetcode.com/problems/shortest-subarray-to-be-removed-to-make-array-sorted/" TargetMode="External"/><Relationship Id="rId802" Type="http://schemas.openxmlformats.org/officeDocument/2006/relationships/hyperlink" Target="https://leetcode.com/problems/to-be-or-not-to-be/" TargetMode="External"/><Relationship Id="rId2" Type="http://schemas.openxmlformats.org/officeDocument/2006/relationships/hyperlink" Target="https://leetcode.com/problems/add-two-numbers/" TargetMode="External"/><Relationship Id="rId29" Type="http://schemas.openxmlformats.org/officeDocument/2006/relationships/hyperlink" Target="https://leetcode.com/problems/divide-two-integers/" TargetMode="External"/><Relationship Id="rId441" Type="http://schemas.openxmlformats.org/officeDocument/2006/relationships/hyperlink" Target="https://leetcode.com/problems/binary-number-with-alternating-bits/" TargetMode="External"/><Relationship Id="rId539" Type="http://schemas.openxmlformats.org/officeDocument/2006/relationships/hyperlink" Target="https://leetcode.com/problems/minimum-falling-path-sum/" TargetMode="External"/><Relationship Id="rId746" Type="http://schemas.openxmlformats.org/officeDocument/2006/relationships/hyperlink" Target="https://leetcode.com/problems/find-if-path-exists-in-graph/" TargetMode="External"/><Relationship Id="rId178" Type="http://schemas.openxmlformats.org/officeDocument/2006/relationships/hyperlink" Target="https://leetcode.com/problems/best-time-to-buy-and-sell-stock-iv/" TargetMode="External"/><Relationship Id="rId301" Type="http://schemas.openxmlformats.org/officeDocument/2006/relationships/hyperlink" Target="https://leetcode.com/problems/logger-rate-limiter/" TargetMode="External"/><Relationship Id="rId82" Type="http://schemas.openxmlformats.org/officeDocument/2006/relationships/hyperlink" Target="https://leetcode.com/problems/remove-duplicates-from-sorted-list-ii/" TargetMode="External"/><Relationship Id="rId385" Type="http://schemas.openxmlformats.org/officeDocument/2006/relationships/hyperlink" Target="https://leetcode.com/problems/minimum-absolute-difference-in-bst/" TargetMode="External"/><Relationship Id="rId592" Type="http://schemas.openxmlformats.org/officeDocument/2006/relationships/hyperlink" Target="https://leetcode.com/problems/snapshot-array/" TargetMode="External"/><Relationship Id="rId606" Type="http://schemas.openxmlformats.org/officeDocument/2006/relationships/hyperlink" Target="https://leetcode.com/problems/queries-quality-and-percentage/" TargetMode="External"/><Relationship Id="rId813" Type="http://schemas.openxmlformats.org/officeDocument/2006/relationships/hyperlink" Target="https://leetcode.com/problems/maximize-area-of-square-hole-in-grid/" TargetMode="External"/><Relationship Id="rId245" Type="http://schemas.openxmlformats.org/officeDocument/2006/relationships/hyperlink" Target="https://leetcode.com/problems/perfect-squares/" TargetMode="External"/><Relationship Id="rId452" Type="http://schemas.openxmlformats.org/officeDocument/2006/relationships/hyperlink" Target="https://leetcode.com/problems/to-lower-case/" TargetMode="External"/><Relationship Id="rId105" Type="http://schemas.openxmlformats.org/officeDocument/2006/relationships/hyperlink" Target="https://leetcode.com/problems/construct-binary-tree-from-inorder-and-postorder-traversal/" TargetMode="External"/><Relationship Id="rId312" Type="http://schemas.openxmlformats.org/officeDocument/2006/relationships/hyperlink" Target="https://leetcode.com/problems/shuffle-an-array/" TargetMode="External"/><Relationship Id="rId757" Type="http://schemas.openxmlformats.org/officeDocument/2006/relationships/hyperlink" Target="https://leetcode.com/problems/two-furthest-houses-with-different-colors/" TargetMode="External"/><Relationship Id="rId93" Type="http://schemas.openxmlformats.org/officeDocument/2006/relationships/hyperlink" Target="https://leetcode.com/problems/binary-tree-inorder-traversal/" TargetMode="External"/><Relationship Id="rId189" Type="http://schemas.openxmlformats.org/officeDocument/2006/relationships/hyperlink" Target="https://leetcode.com/problems/remove-linked-list-elements/" TargetMode="External"/><Relationship Id="rId396" Type="http://schemas.openxmlformats.org/officeDocument/2006/relationships/hyperlink" Target="https://leetcode.com/problems/brick-wall/" TargetMode="External"/><Relationship Id="rId617" Type="http://schemas.openxmlformats.org/officeDocument/2006/relationships/hyperlink" Target="https://leetcode.com/problems/count-number-of-nice-subarrays/" TargetMode="External"/><Relationship Id="rId824" Type="http://schemas.openxmlformats.org/officeDocument/2006/relationships/hyperlink" Target="https://leetcode.com/problems/apple-redistribution-into-boxes/" TargetMode="External"/><Relationship Id="rId256" Type="http://schemas.openxmlformats.org/officeDocument/2006/relationships/hyperlink" Target="https://leetcode.com/problems/serialize-and-deserialize-binary-tree/" TargetMode="External"/><Relationship Id="rId463" Type="http://schemas.openxmlformats.org/officeDocument/2006/relationships/hyperlink" Target="https://leetcode.com/problems/my-calendar-i/" TargetMode="External"/><Relationship Id="rId670" Type="http://schemas.openxmlformats.org/officeDocument/2006/relationships/hyperlink" Target="https://leetcode.com/problems/minimum-swaps-to-arrange-a-binary-grid/" TargetMode="External"/><Relationship Id="rId116" Type="http://schemas.openxmlformats.org/officeDocument/2006/relationships/hyperlink" Target="https://leetcode.com/problems/populating-next-right-pointers-in-each-node-ii/" TargetMode="External"/><Relationship Id="rId323" Type="http://schemas.openxmlformats.org/officeDocument/2006/relationships/hyperlink" Target="https://leetcode.com/problems/remove-k-digits/" TargetMode="External"/><Relationship Id="rId530" Type="http://schemas.openxmlformats.org/officeDocument/2006/relationships/hyperlink" Target="https://leetcode.com/problems/online-stock-span/" TargetMode="External"/><Relationship Id="rId768" Type="http://schemas.openxmlformats.org/officeDocument/2006/relationships/hyperlink" Target="https://leetcode.com/problems/apply-discount-to-prices/" TargetMode="External"/><Relationship Id="rId20" Type="http://schemas.openxmlformats.org/officeDocument/2006/relationships/hyperlink" Target="https://leetcode.com/problems/valid-parentheses/" TargetMode="External"/><Relationship Id="rId628" Type="http://schemas.openxmlformats.org/officeDocument/2006/relationships/hyperlink" Target="https://leetcode.com/problems/shortest-path-in-a-grid-with-obstacles-elimination/" TargetMode="External"/><Relationship Id="rId835" Type="http://schemas.openxmlformats.org/officeDocument/2006/relationships/hyperlink" Target="https://leetcode.com/problems/identify-the-largest-outlier-in-an-array/" TargetMode="External"/><Relationship Id="rId267" Type="http://schemas.openxmlformats.org/officeDocument/2006/relationships/hyperlink" Target="https://leetcode.com/problems/sparse-matrix-multiplication/" TargetMode="External"/><Relationship Id="rId474" Type="http://schemas.openxmlformats.org/officeDocument/2006/relationships/hyperlink" Target="https://leetcode.com/problems/pyramid-transition-matrix/" TargetMode="External"/><Relationship Id="rId127" Type="http://schemas.openxmlformats.org/officeDocument/2006/relationships/hyperlink" Target="https://leetcode.com/problems/sum-root-to-leaf-numbers/" TargetMode="External"/><Relationship Id="rId681" Type="http://schemas.openxmlformats.org/officeDocument/2006/relationships/hyperlink" Target="https://leetcode.com/problems/customer-who-visited-but-did-not-make-any-transactions/" TargetMode="External"/><Relationship Id="rId779" Type="http://schemas.openxmlformats.org/officeDocument/2006/relationships/hyperlink" Target="https://leetcode.com/problems/longest-nice-subarray/" TargetMode="External"/><Relationship Id="rId31" Type="http://schemas.openxmlformats.org/officeDocument/2006/relationships/hyperlink" Target="https://leetcode.com/problems/next-permutation/" TargetMode="External"/><Relationship Id="rId334" Type="http://schemas.openxmlformats.org/officeDocument/2006/relationships/hyperlink" Target="https://leetcode.com/problems/pacific-atlantic-water-flow/" TargetMode="External"/><Relationship Id="rId541" Type="http://schemas.openxmlformats.org/officeDocument/2006/relationships/hyperlink" Target="https://leetcode.com/problems/shortest-bridge/" TargetMode="External"/><Relationship Id="rId639" Type="http://schemas.openxmlformats.org/officeDocument/2006/relationships/hyperlink" Target="https://leetcode.com/problems/product-of-the-last-k-numbers/" TargetMode="External"/><Relationship Id="rId180" Type="http://schemas.openxmlformats.org/officeDocument/2006/relationships/hyperlink" Target="https://leetcode.com/problems/reverse-bits/" TargetMode="External"/><Relationship Id="rId278" Type="http://schemas.openxmlformats.org/officeDocument/2006/relationships/hyperlink" Target="https://leetcode.com/problems/power-of-three/" TargetMode="External"/><Relationship Id="rId401" Type="http://schemas.openxmlformats.org/officeDocument/2006/relationships/hyperlink" Target="https://leetcode.com/problems/find-the-closest-palindrome/" TargetMode="External"/><Relationship Id="rId846" Type="http://schemas.openxmlformats.org/officeDocument/2006/relationships/hyperlink" Target="https://leetcode.com/problems/closest-equal-element-queries/" TargetMode="External"/><Relationship Id="rId485" Type="http://schemas.openxmlformats.org/officeDocument/2006/relationships/hyperlink" Target="https://leetcode.com/problems/is-graph-bipartite/" TargetMode="External"/><Relationship Id="rId692" Type="http://schemas.openxmlformats.org/officeDocument/2006/relationships/hyperlink" Target="https://leetcode.com/problems/lowest-common-ancestor-of-a-binary-tree-iii/" TargetMode="External"/><Relationship Id="rId706" Type="http://schemas.openxmlformats.org/officeDocument/2006/relationships/hyperlink" Target="https://leetcode.com/problems/daily-leads-and-partners/" TargetMode="External"/><Relationship Id="rId42" Type="http://schemas.openxmlformats.org/officeDocument/2006/relationships/hyperlink" Target="https://leetcode.com/problems/trapping-rain-water/" TargetMode="External"/><Relationship Id="rId138" Type="http://schemas.openxmlformats.org/officeDocument/2006/relationships/hyperlink" Target="https://leetcode.com/problems/linked-list-cycle/" TargetMode="External"/><Relationship Id="rId345" Type="http://schemas.openxmlformats.org/officeDocument/2006/relationships/hyperlink" Target="https://leetcode.com/problems/find-all-duplicates-in-an-array/" TargetMode="External"/><Relationship Id="rId552" Type="http://schemas.openxmlformats.org/officeDocument/2006/relationships/hyperlink" Target="https://leetcode.com/problems/binary-tree-cameras/" TargetMode="External"/><Relationship Id="rId191" Type="http://schemas.openxmlformats.org/officeDocument/2006/relationships/hyperlink" Target="https://leetcode.com/problems/isomorphic-strings/" TargetMode="External"/><Relationship Id="rId205" Type="http://schemas.openxmlformats.org/officeDocument/2006/relationships/hyperlink" Target="https://leetcode.com/problems/contains-duplicate-ii/" TargetMode="External"/><Relationship Id="rId412" Type="http://schemas.openxmlformats.org/officeDocument/2006/relationships/hyperlink" Target="https://leetcode.com/problems/can-place-flowers/" TargetMode="External"/><Relationship Id="rId857" Type="http://schemas.openxmlformats.org/officeDocument/2006/relationships/hyperlink" Target="https://leetcode.com/problems/xor-after-range-multiplication-queries-ii/" TargetMode="External"/><Relationship Id="rId289" Type="http://schemas.openxmlformats.org/officeDocument/2006/relationships/hyperlink" Target="https://leetcode.com/problems/longest-substring-with-at-most-k-distinct-characters/" TargetMode="External"/><Relationship Id="rId496" Type="http://schemas.openxmlformats.org/officeDocument/2006/relationships/hyperlink" Target="https://leetcode.com/problems/bus-routes/" TargetMode="External"/><Relationship Id="rId717" Type="http://schemas.openxmlformats.org/officeDocument/2006/relationships/hyperlink" Target="https://leetcode.com/problems/merge-strings-alternately/" TargetMode="External"/><Relationship Id="rId53" Type="http://schemas.openxmlformats.org/officeDocument/2006/relationships/hyperlink" Target="https://leetcode.com/problems/maximum-subarray/" TargetMode="External"/><Relationship Id="rId149" Type="http://schemas.openxmlformats.org/officeDocument/2006/relationships/hyperlink" Target="https://leetcode.com/problems/min-stack/" TargetMode="External"/><Relationship Id="rId356" Type="http://schemas.openxmlformats.org/officeDocument/2006/relationships/hyperlink" Target="https://leetcode.com/problems/optimal-account-balancing/" TargetMode="External"/><Relationship Id="rId563" Type="http://schemas.openxmlformats.org/officeDocument/2006/relationships/hyperlink" Target="https://leetcode.com/problems/satisfiability-of-equality-equations/" TargetMode="External"/><Relationship Id="rId770" Type="http://schemas.openxmlformats.org/officeDocument/2006/relationships/hyperlink" Target="https://leetcode.com/problems/minimum-deletions-to-make-array-divisible/" TargetMode="External"/><Relationship Id="rId216" Type="http://schemas.openxmlformats.org/officeDocument/2006/relationships/hyperlink" Target="https://leetcode.com/problems/implement-queue-using-stacks/" TargetMode="External"/><Relationship Id="rId423" Type="http://schemas.openxmlformats.org/officeDocument/2006/relationships/hyperlink" Target="https://leetcode.com/problems/design-search-autocomplete-system/" TargetMode="External"/><Relationship Id="rId868" Type="http://schemas.openxmlformats.org/officeDocument/2006/relationships/hyperlink" Target="https://leetcode.com/problems/lexicographically-smallest-negated-permutation-that-sums-to-target/" TargetMode="External"/><Relationship Id="rId630" Type="http://schemas.openxmlformats.org/officeDocument/2006/relationships/hyperlink" Target="https://leetcode.com/problems/replace-elements-with-greatest-element-on-right-side/" TargetMode="External"/><Relationship Id="rId728" Type="http://schemas.openxmlformats.org/officeDocument/2006/relationships/hyperlink" Target="https://leetcode.com/problems/rotating-the-box/" TargetMode="External"/><Relationship Id="rId64" Type="http://schemas.openxmlformats.org/officeDocument/2006/relationships/hyperlink" Target="https://leetcode.com/problems/minimum-path-sum/" TargetMode="External"/><Relationship Id="rId367" Type="http://schemas.openxmlformats.org/officeDocument/2006/relationships/hyperlink" Target="https://leetcode.com/problems/reverse-pairs/" TargetMode="External"/><Relationship Id="rId574" Type="http://schemas.openxmlformats.org/officeDocument/2006/relationships/hyperlink" Target="https://leetcode.com/problems/longest-arithmetic-subsequence/" TargetMode="External"/><Relationship Id="rId227" Type="http://schemas.openxmlformats.org/officeDocument/2006/relationships/hyperlink" Target="https://leetcode.com/problems/group-shifted-strings/" TargetMode="External"/><Relationship Id="rId781" Type="http://schemas.openxmlformats.org/officeDocument/2006/relationships/hyperlink" Target="https://leetcode.com/problems/smallest-even-multiple/" TargetMode="External"/><Relationship Id="rId879" Type="http://schemas.openxmlformats.org/officeDocument/2006/relationships/hyperlink" Target="https://leetcode.com/problems/maximize-fixed-points-after-deletions/" TargetMode="External"/><Relationship Id="rId434" Type="http://schemas.openxmlformats.org/officeDocument/2006/relationships/hyperlink" Target="https://leetcode.com/problems/valid-parenthesis-string/" TargetMode="External"/><Relationship Id="rId641" Type="http://schemas.openxmlformats.org/officeDocument/2006/relationships/hyperlink" Target="https://leetcode.com/problems/sort-integers-by-the-number-of-1-bits/" TargetMode="External"/><Relationship Id="rId739" Type="http://schemas.openxmlformats.org/officeDocument/2006/relationships/hyperlink" Target="https://leetcode.com/problems/cyclically-rotating-a-grid/" TargetMode="External"/><Relationship Id="rId280" Type="http://schemas.openxmlformats.org/officeDocument/2006/relationships/hyperlink" Target="https://leetcode.com/problems/odd-even-linked-list/" TargetMode="External"/><Relationship Id="rId501" Type="http://schemas.openxmlformats.org/officeDocument/2006/relationships/hyperlink" Target="https://leetcode.com/problems/making-a-large-island/" TargetMode="External"/><Relationship Id="rId75" Type="http://schemas.openxmlformats.org/officeDocument/2006/relationships/hyperlink" Target="https://leetcode.com/problems/sort-colors/" TargetMode="External"/><Relationship Id="rId140" Type="http://schemas.openxmlformats.org/officeDocument/2006/relationships/hyperlink" Target="https://leetcode.com/problems/reorder-list/" TargetMode="External"/><Relationship Id="rId378" Type="http://schemas.openxmlformats.org/officeDocument/2006/relationships/hyperlink" Target="https://leetcode.com/problems/find-largest-value-in-each-tree-row/" TargetMode="External"/><Relationship Id="rId585" Type="http://schemas.openxmlformats.org/officeDocument/2006/relationships/hyperlink" Target="https://leetcode.com/problems/brace-expansion/" TargetMode="External"/><Relationship Id="rId792" Type="http://schemas.openxmlformats.org/officeDocument/2006/relationships/hyperlink" Target="https://leetcode.com/problems/distribute-money-to-maximum-children/" TargetMode="External"/><Relationship Id="rId806" Type="http://schemas.openxmlformats.org/officeDocument/2006/relationships/hyperlink" Target="https://leetcode.com/problems/count-stepping-numbers-in-range/" TargetMode="External"/><Relationship Id="rId6" Type="http://schemas.openxmlformats.org/officeDocument/2006/relationships/hyperlink" Target="https://leetcode.com/problems/zigzag-conversion/" TargetMode="External"/><Relationship Id="rId238" Type="http://schemas.openxmlformats.org/officeDocument/2006/relationships/hyperlink" Target="https://leetcode.com/problems/alien-dictionary/" TargetMode="External"/><Relationship Id="rId445" Type="http://schemas.openxmlformats.org/officeDocument/2006/relationships/hyperlink" Target="https://leetcode.com/problems/falling-squares/" TargetMode="External"/><Relationship Id="rId652" Type="http://schemas.openxmlformats.org/officeDocument/2006/relationships/hyperlink" Target="https://leetcode.com/problems/number-of-ways-to-paint-n-x-3-grid/" TargetMode="External"/><Relationship Id="rId291" Type="http://schemas.openxmlformats.org/officeDocument/2006/relationships/hyperlink" Target="https://leetcode.com/problems/integer-break/" TargetMode="External"/><Relationship Id="rId305" Type="http://schemas.openxmlformats.org/officeDocument/2006/relationships/hyperlink" Target="https://leetcode.com/problems/largest-divisible-subset/" TargetMode="External"/><Relationship Id="rId512" Type="http://schemas.openxmlformats.org/officeDocument/2006/relationships/hyperlink" Target="https://leetcode.com/problems/exam-room/" TargetMode="External"/><Relationship Id="rId86" Type="http://schemas.openxmlformats.org/officeDocument/2006/relationships/hyperlink" Target="https://leetcode.com/problems/partition-list/" TargetMode="External"/><Relationship Id="rId151" Type="http://schemas.openxmlformats.org/officeDocument/2006/relationships/hyperlink" Target="https://leetcode.com/problems/read-n-characters-given-read4-ii-call-multiple-times/" TargetMode="External"/><Relationship Id="rId389" Type="http://schemas.openxmlformats.org/officeDocument/2006/relationships/hyperlink" Target="https://leetcode.com/problems/reverse-string-ii/" TargetMode="External"/><Relationship Id="rId596" Type="http://schemas.openxmlformats.org/officeDocument/2006/relationships/hyperlink" Target="https://leetcode.com/problems/as-far-from-land-as-possible/" TargetMode="External"/><Relationship Id="rId817" Type="http://schemas.openxmlformats.org/officeDocument/2006/relationships/hyperlink" Target="https://leetcode.com/problems/count-the-number-of-incremovable-subarrays-ii/" TargetMode="External"/><Relationship Id="rId249" Type="http://schemas.openxmlformats.org/officeDocument/2006/relationships/hyperlink" Target="https://leetcode.com/problems/inorder-successor-in-bst/" TargetMode="External"/><Relationship Id="rId456" Type="http://schemas.openxmlformats.org/officeDocument/2006/relationships/hyperlink" Target="https://leetcode.com/problems/range-module/" TargetMode="External"/><Relationship Id="rId663" Type="http://schemas.openxmlformats.org/officeDocument/2006/relationships/hyperlink" Target="https://leetcode.com/problems/design-browser-history/" TargetMode="External"/><Relationship Id="rId870" Type="http://schemas.openxmlformats.org/officeDocument/2006/relationships/hyperlink" Target="https://leetcode.com/problems/minimum-swaps-to-avoid-forbidden-values/" TargetMode="External"/><Relationship Id="rId13" Type="http://schemas.openxmlformats.org/officeDocument/2006/relationships/hyperlink" Target="https://leetcode.com/problems/roman-to-integer/" TargetMode="External"/><Relationship Id="rId109" Type="http://schemas.openxmlformats.org/officeDocument/2006/relationships/hyperlink" Target="https://leetcode.com/problems/balanced-binary-tree/" TargetMode="External"/><Relationship Id="rId316" Type="http://schemas.openxmlformats.org/officeDocument/2006/relationships/hyperlink" Target="https://leetcode.com/problems/elimination-game/" TargetMode="External"/><Relationship Id="rId523" Type="http://schemas.openxmlformats.org/officeDocument/2006/relationships/hyperlink" Target="https://leetcode.com/problems/boats-to-save-people/" TargetMode="External"/><Relationship Id="rId97" Type="http://schemas.openxmlformats.org/officeDocument/2006/relationships/hyperlink" Target="https://leetcode.com/problems/validate-binary-search-tree/" TargetMode="External"/><Relationship Id="rId730" Type="http://schemas.openxmlformats.org/officeDocument/2006/relationships/hyperlink" Target="https://leetcode.com/problems/product-of-two-run-length-encoded-arrays/" TargetMode="External"/><Relationship Id="rId828" Type="http://schemas.openxmlformats.org/officeDocument/2006/relationships/hyperlink" Target="https://leetcode.com/problems/string-compression-iii/" TargetMode="External"/><Relationship Id="rId162" Type="http://schemas.openxmlformats.org/officeDocument/2006/relationships/hyperlink" Target="https://leetcode.com/problems/factorial-trailing-zeroes/" TargetMode="External"/><Relationship Id="rId467" Type="http://schemas.openxmlformats.org/officeDocument/2006/relationships/hyperlink" Target="https://leetcode.com/problems/sentence-similarity-ii/" TargetMode="External"/><Relationship Id="rId674" Type="http://schemas.openxmlformats.org/officeDocument/2006/relationships/hyperlink" Target="https://leetcode.com/problems/magnetic-force-between-two-balls/" TargetMode="External"/><Relationship Id="rId24" Type="http://schemas.openxmlformats.org/officeDocument/2006/relationships/hyperlink" Target="https://leetcode.com/problems/swap-nodes-in-pairs/" TargetMode="External"/><Relationship Id="rId327" Type="http://schemas.openxmlformats.org/officeDocument/2006/relationships/hyperlink" Target="https://leetcode.com/problems/valid-word-abbreviation/" TargetMode="External"/><Relationship Id="rId534" Type="http://schemas.openxmlformats.org/officeDocument/2006/relationships/hyperlink" Target="https://leetcode.com/problems/snakes-and-ladders/" TargetMode="External"/><Relationship Id="rId741" Type="http://schemas.openxmlformats.org/officeDocument/2006/relationships/hyperlink" Target="https://leetcode.com/problems/count-good-numbers/" TargetMode="External"/><Relationship Id="rId839" Type="http://schemas.openxmlformats.org/officeDocument/2006/relationships/hyperlink" Target="https://leetcode.com/problems/maximum-amount-of-money-robot-can-earn/" TargetMode="External"/><Relationship Id="rId173" Type="http://schemas.openxmlformats.org/officeDocument/2006/relationships/hyperlink" Target="https://leetcode.com/problems/customers-who-never-order/" TargetMode="External"/><Relationship Id="rId380" Type="http://schemas.openxmlformats.org/officeDocument/2006/relationships/hyperlink" Target="https://leetcode.com/problems/coin-change-ii/" TargetMode="External"/><Relationship Id="rId601" Type="http://schemas.openxmlformats.org/officeDocument/2006/relationships/hyperlink" Target="https://leetcode.com/problems/critical-connections-in-a-network/" TargetMode="External"/><Relationship Id="rId240" Type="http://schemas.openxmlformats.org/officeDocument/2006/relationships/hyperlink" Target="https://leetcode.com/problems/encode-and-decode-strings/" TargetMode="External"/><Relationship Id="rId478" Type="http://schemas.openxmlformats.org/officeDocument/2006/relationships/hyperlink" Target="https://leetcode.com/problems/toeplitz-matrix/" TargetMode="External"/><Relationship Id="rId685" Type="http://schemas.openxmlformats.org/officeDocument/2006/relationships/hyperlink" Target="https://leetcode.com/problems/find-servers-that-handled-most-number-of-requests/" TargetMode="External"/><Relationship Id="rId35" Type="http://schemas.openxmlformats.org/officeDocument/2006/relationships/hyperlink" Target="https://leetcode.com/problems/search-insert-position/" TargetMode="External"/><Relationship Id="rId100" Type="http://schemas.openxmlformats.org/officeDocument/2006/relationships/hyperlink" Target="https://leetcode.com/problems/symmetric-tree/" TargetMode="External"/><Relationship Id="rId338" Type="http://schemas.openxmlformats.org/officeDocument/2006/relationships/hyperlink" Target="https://leetcode.com/problems/serialize-and-deserialize-n-ary-tree/" TargetMode="External"/><Relationship Id="rId545" Type="http://schemas.openxmlformats.org/officeDocument/2006/relationships/hyperlink" Target="https://leetcode.com/problems/validate-stack-sequences/" TargetMode="External"/><Relationship Id="rId752" Type="http://schemas.openxmlformats.org/officeDocument/2006/relationships/hyperlink" Target="https://leetcode.com/problems/parallel-courses-iii/" TargetMode="External"/><Relationship Id="rId184" Type="http://schemas.openxmlformats.org/officeDocument/2006/relationships/hyperlink" Target="https://leetcode.com/problems/rising-temperature/" TargetMode="External"/><Relationship Id="rId391" Type="http://schemas.openxmlformats.org/officeDocument/2006/relationships/hyperlink" Target="https://leetcode.com/problems/diameter-of-binary-tree/" TargetMode="External"/><Relationship Id="rId405" Type="http://schemas.openxmlformats.org/officeDocument/2006/relationships/hyperlink" Target="https://leetcode.com/problems/managers-with-at-least-5-direct-reports/" TargetMode="External"/><Relationship Id="rId612" Type="http://schemas.openxmlformats.org/officeDocument/2006/relationships/hyperlink" Target="https://leetcode.com/problems/meeting-scheduler/" TargetMode="External"/><Relationship Id="rId251" Type="http://schemas.openxmlformats.org/officeDocument/2006/relationships/hyperlink" Target="https://leetcode.com/problems/find-the-duplicate-number/" TargetMode="External"/><Relationship Id="rId489" Type="http://schemas.openxmlformats.org/officeDocument/2006/relationships/hyperlink" Target="https://leetcode.com/problems/custom-sort-string/" TargetMode="External"/><Relationship Id="rId696" Type="http://schemas.openxmlformats.org/officeDocument/2006/relationships/hyperlink" Target="https://leetcode.com/problems/average-time-of-process-per-machine/" TargetMode="External"/><Relationship Id="rId46" Type="http://schemas.openxmlformats.org/officeDocument/2006/relationships/hyperlink" Target="https://leetcode.com/problems/permutations/" TargetMode="External"/><Relationship Id="rId349" Type="http://schemas.openxmlformats.org/officeDocument/2006/relationships/hyperlink" Target="https://leetcode.com/problems/serialize-and-deserialize-bst/" TargetMode="External"/><Relationship Id="rId556" Type="http://schemas.openxmlformats.org/officeDocument/2006/relationships/hyperlink" Target="https://leetcode.com/problems/distribute-coins-in-binary-tree/" TargetMode="External"/><Relationship Id="rId763" Type="http://schemas.openxmlformats.org/officeDocument/2006/relationships/hyperlink" Target="https://leetcode.com/problems/find-all-lonely-numbers-in-the-array/" TargetMode="External"/><Relationship Id="rId111" Type="http://schemas.openxmlformats.org/officeDocument/2006/relationships/hyperlink" Target="https://leetcode.com/problems/path-sum/" TargetMode="External"/><Relationship Id="rId195" Type="http://schemas.openxmlformats.org/officeDocument/2006/relationships/hyperlink" Target="https://leetcode.com/problems/minimum-size-subarray-sum/" TargetMode="External"/><Relationship Id="rId209" Type="http://schemas.openxmlformats.org/officeDocument/2006/relationships/hyperlink" Target="https://leetcode.com/problems/implement-stack-using-queues/" TargetMode="External"/><Relationship Id="rId416" Type="http://schemas.openxmlformats.org/officeDocument/2006/relationships/hyperlink" Target="https://leetcode.com/problems/design-circular-queue/" TargetMode="External"/><Relationship Id="rId220" Type="http://schemas.openxmlformats.org/officeDocument/2006/relationships/hyperlink" Target="https://leetcode.com/problems/delete-node-in-a-linked-list/" TargetMode="External"/><Relationship Id="rId458" Type="http://schemas.openxmlformats.org/officeDocument/2006/relationships/hyperlink" Target="https://leetcode.com/problems/accounts-merge/" TargetMode="External"/><Relationship Id="rId623" Type="http://schemas.openxmlformats.org/officeDocument/2006/relationships/hyperlink" Target="https://leetcode.com/problems/find-winner-on-a-tic-tac-toe-game/" TargetMode="External"/><Relationship Id="rId665" Type="http://schemas.openxmlformats.org/officeDocument/2006/relationships/hyperlink" Target="https://leetcode.com/problems/running-sum-of-1d-array/" TargetMode="External"/><Relationship Id="rId830" Type="http://schemas.openxmlformats.org/officeDocument/2006/relationships/hyperlink" Target="https://leetcode.com/problems/count-submatrices-with-equal-frequency-of-x-and-y/" TargetMode="External"/><Relationship Id="rId872" Type="http://schemas.openxmlformats.org/officeDocument/2006/relationships/hyperlink" Target="https://leetcode.com/problems/find-maximum-value-in-a-constrained-sequence/" TargetMode="External"/><Relationship Id="rId15" Type="http://schemas.openxmlformats.org/officeDocument/2006/relationships/hyperlink" Target="https://leetcode.com/problems/3sum/" TargetMode="External"/><Relationship Id="rId57" Type="http://schemas.openxmlformats.org/officeDocument/2006/relationships/hyperlink" Target="https://leetcode.com/problems/insert-interval/" TargetMode="External"/><Relationship Id="rId262" Type="http://schemas.openxmlformats.org/officeDocument/2006/relationships/hyperlink" Target="https://leetcode.com/problems/range-sum-query-2d-immutable/" TargetMode="External"/><Relationship Id="rId318" Type="http://schemas.openxmlformats.org/officeDocument/2006/relationships/hyperlink" Target="https://leetcode.com/problems/is-subsequence/" TargetMode="External"/><Relationship Id="rId525" Type="http://schemas.openxmlformats.org/officeDocument/2006/relationships/hyperlink" Target="https://leetcode.com/problems/possible-bipartition/" TargetMode="External"/><Relationship Id="rId567" Type="http://schemas.openxmlformats.org/officeDocument/2006/relationships/hyperlink" Target="https://leetcode.com/problems/max-consecutive-ones-iii/" TargetMode="External"/><Relationship Id="rId732" Type="http://schemas.openxmlformats.org/officeDocument/2006/relationships/hyperlink" Target="https://leetcode.com/problems/determine-whether-matrix-can-be-obtained-by-rotation/" TargetMode="External"/><Relationship Id="rId99" Type="http://schemas.openxmlformats.org/officeDocument/2006/relationships/hyperlink" Target="https://leetcode.com/problems/same-tree/" TargetMode="External"/><Relationship Id="rId122" Type="http://schemas.openxmlformats.org/officeDocument/2006/relationships/hyperlink" Target="https://leetcode.com/problems/binary-tree-maximum-path-sum/" TargetMode="External"/><Relationship Id="rId164" Type="http://schemas.openxmlformats.org/officeDocument/2006/relationships/hyperlink" Target="https://leetcode.com/problems/dungeon-game/" TargetMode="External"/><Relationship Id="rId371" Type="http://schemas.openxmlformats.org/officeDocument/2006/relationships/hyperlink" Target="https://leetcode.com/problems/find-mode-in-binary-search-tree/" TargetMode="External"/><Relationship Id="rId774" Type="http://schemas.openxmlformats.org/officeDocument/2006/relationships/hyperlink" Target="https://leetcode.com/problems/find-closest-node-to-given-two-nodes/" TargetMode="External"/><Relationship Id="rId427" Type="http://schemas.openxmlformats.org/officeDocument/2006/relationships/hyperlink" Target="https://leetcode.com/problems/replace-words/" TargetMode="External"/><Relationship Id="rId469" Type="http://schemas.openxmlformats.org/officeDocument/2006/relationships/hyperlink" Target="https://leetcode.com/problems/cherry-pickup/" TargetMode="External"/><Relationship Id="rId634" Type="http://schemas.openxmlformats.org/officeDocument/2006/relationships/hyperlink" Target="https://leetcode.com/problems/find-the-city-with-the-smallest-number-of-neighbors-at-a-threshold-distance/" TargetMode="External"/><Relationship Id="rId676" Type="http://schemas.openxmlformats.org/officeDocument/2006/relationships/hyperlink" Target="https://leetcode.com/problems/put-boxes-into-the-warehouse-i/" TargetMode="External"/><Relationship Id="rId841" Type="http://schemas.openxmlformats.org/officeDocument/2006/relationships/hyperlink" Target="https://leetcode.com/problems/maximum-frequency-after-subarray-operation/" TargetMode="External"/><Relationship Id="rId26" Type="http://schemas.openxmlformats.org/officeDocument/2006/relationships/hyperlink" Target="https://leetcode.com/problems/remove-duplicates-from-sorted-array/" TargetMode="External"/><Relationship Id="rId231" Type="http://schemas.openxmlformats.org/officeDocument/2006/relationships/hyperlink" Target="https://leetcode.com/problems/paint-house/" TargetMode="External"/><Relationship Id="rId273" Type="http://schemas.openxmlformats.org/officeDocument/2006/relationships/hyperlink" Target="https://leetcode.com/problems/shortest-distance-from-all-buildings/" TargetMode="External"/><Relationship Id="rId329" Type="http://schemas.openxmlformats.org/officeDocument/2006/relationships/hyperlink" Target="https://leetcode.com/problems/split-array-largest-sum/" TargetMode="External"/><Relationship Id="rId480" Type="http://schemas.openxmlformats.org/officeDocument/2006/relationships/hyperlink" Target="https://leetcode.com/problems/max-chunks-to-make-sorted/" TargetMode="External"/><Relationship Id="rId536" Type="http://schemas.openxmlformats.org/officeDocument/2006/relationships/hyperlink" Target="https://leetcode.com/problems/maximum-sum-circular-subarray/" TargetMode="External"/><Relationship Id="rId701" Type="http://schemas.openxmlformats.org/officeDocument/2006/relationships/hyperlink" Target="https://leetcode.com/problems/max-number-of-k-sum-pairs/" TargetMode="External"/><Relationship Id="rId68" Type="http://schemas.openxmlformats.org/officeDocument/2006/relationships/hyperlink" Target="https://leetcode.com/problems/text-justification/" TargetMode="External"/><Relationship Id="rId133" Type="http://schemas.openxmlformats.org/officeDocument/2006/relationships/hyperlink" Target="https://leetcode.com/problems/single-number/" TargetMode="External"/><Relationship Id="rId175" Type="http://schemas.openxmlformats.org/officeDocument/2006/relationships/hyperlink" Target="https://leetcode.com/problems/department-top-three-salaries/" TargetMode="External"/><Relationship Id="rId340" Type="http://schemas.openxmlformats.org/officeDocument/2006/relationships/hyperlink" Target="https://leetcode.com/problems/all-oone-data-structure/" TargetMode="External"/><Relationship Id="rId578" Type="http://schemas.openxmlformats.org/officeDocument/2006/relationships/hyperlink" Target="https://leetcode.com/problems/robot-bounded-in-circle/" TargetMode="External"/><Relationship Id="rId743" Type="http://schemas.openxmlformats.org/officeDocument/2006/relationships/hyperlink" Target="https://leetcode.com/problems/confirmation-rate/" TargetMode="External"/><Relationship Id="rId785" Type="http://schemas.openxmlformats.org/officeDocument/2006/relationships/hyperlink" Target="https://leetcode.com/problems/count-ways-to-build-good-strings/" TargetMode="External"/><Relationship Id="rId200" Type="http://schemas.openxmlformats.org/officeDocument/2006/relationships/hyperlink" Target="https://leetcode.com/problems/shortest-palindrome/" TargetMode="External"/><Relationship Id="rId382" Type="http://schemas.openxmlformats.org/officeDocument/2006/relationships/hyperlink" Target="https://leetcode.com/problems/contiguous-array/" TargetMode="External"/><Relationship Id="rId438" Type="http://schemas.openxmlformats.org/officeDocument/2006/relationships/hyperlink" Target="https://leetcode.com/problems/knight-probability-in-chessboard/" TargetMode="External"/><Relationship Id="rId603" Type="http://schemas.openxmlformats.org/officeDocument/2006/relationships/hyperlink" Target="https://leetcode.com/problems/minimum-knight-moves/" TargetMode="External"/><Relationship Id="rId645" Type="http://schemas.openxmlformats.org/officeDocument/2006/relationships/hyperlink" Target="https://leetcode.com/problems/replace-employee-id-with-the-unique-identifier/" TargetMode="External"/><Relationship Id="rId687" Type="http://schemas.openxmlformats.org/officeDocument/2006/relationships/hyperlink" Target="https://leetcode.com/problems/fancy-sequence/" TargetMode="External"/><Relationship Id="rId810" Type="http://schemas.openxmlformats.org/officeDocument/2006/relationships/hyperlink" Target="https://leetcode.com/problems/display-the-first-three-rows/" TargetMode="External"/><Relationship Id="rId852" Type="http://schemas.openxmlformats.org/officeDocument/2006/relationships/hyperlink" Target="https://leetcode.com/problems/minimum-removals-to-balance-array/" TargetMode="External"/><Relationship Id="rId242" Type="http://schemas.openxmlformats.org/officeDocument/2006/relationships/hyperlink" Target="https://leetcode.com/problems/h-index/" TargetMode="External"/><Relationship Id="rId284" Type="http://schemas.openxmlformats.org/officeDocument/2006/relationships/hyperlink" Target="https://leetcode.com/problems/increasing-triplet-subsequence/" TargetMode="External"/><Relationship Id="rId491" Type="http://schemas.openxmlformats.org/officeDocument/2006/relationships/hyperlink" Target="https://leetcode.com/problems/rotate-string/" TargetMode="External"/><Relationship Id="rId505" Type="http://schemas.openxmlformats.org/officeDocument/2006/relationships/hyperlink" Target="https://leetcode.com/problems/keys-and-rooms/" TargetMode="External"/><Relationship Id="rId712" Type="http://schemas.openxmlformats.org/officeDocument/2006/relationships/hyperlink" Target="https://leetcode.com/problems/maximum-absolute-sum-of-any-subarray/" TargetMode="External"/><Relationship Id="rId37" Type="http://schemas.openxmlformats.org/officeDocument/2006/relationships/hyperlink" Target="https://leetcode.com/problems/sudoku-solver/" TargetMode="External"/><Relationship Id="rId79" Type="http://schemas.openxmlformats.org/officeDocument/2006/relationships/hyperlink" Target="https://leetcode.com/problems/word-search/" TargetMode="External"/><Relationship Id="rId102" Type="http://schemas.openxmlformats.org/officeDocument/2006/relationships/hyperlink" Target="https://leetcode.com/problems/binary-tree-zigzag-level-order-traversal/" TargetMode="External"/><Relationship Id="rId144" Type="http://schemas.openxmlformats.org/officeDocument/2006/relationships/hyperlink" Target="https://leetcode.com/problems/evaluate-reverse-polish-notation/" TargetMode="External"/><Relationship Id="rId547" Type="http://schemas.openxmlformats.org/officeDocument/2006/relationships/hyperlink" Target="https://leetcode.com/problems/verifying-an-alien-dictionary/" TargetMode="External"/><Relationship Id="rId589" Type="http://schemas.openxmlformats.org/officeDocument/2006/relationships/hyperlink" Target="https://leetcode.com/problems/delete-nodes-and-return-forest/" TargetMode="External"/><Relationship Id="rId754" Type="http://schemas.openxmlformats.org/officeDocument/2006/relationships/hyperlink" Target="https://leetcode.com/problems/minimized-maximum-of-products-distributed-to-any-store/" TargetMode="External"/><Relationship Id="rId796" Type="http://schemas.openxmlformats.org/officeDocument/2006/relationships/hyperlink" Target="https://leetcode.com/problems/counter/" TargetMode="External"/><Relationship Id="rId90" Type="http://schemas.openxmlformats.org/officeDocument/2006/relationships/hyperlink" Target="https://leetcode.com/problems/decode-ways/" TargetMode="External"/><Relationship Id="rId186" Type="http://schemas.openxmlformats.org/officeDocument/2006/relationships/hyperlink" Target="https://leetcode.com/problems/binary-tree-right-side-view/" TargetMode="External"/><Relationship Id="rId351" Type="http://schemas.openxmlformats.org/officeDocument/2006/relationships/hyperlink" Target="https://leetcode.com/problems/sort-characters-by-frequency/" TargetMode="External"/><Relationship Id="rId393" Type="http://schemas.openxmlformats.org/officeDocument/2006/relationships/hyperlink" Target="https://leetcode.com/problems/number-of-provinces/" TargetMode="External"/><Relationship Id="rId407" Type="http://schemas.openxmlformats.org/officeDocument/2006/relationships/hyperlink" Target="https://leetcode.com/problems/employee-bonus/" TargetMode="External"/><Relationship Id="rId449" Type="http://schemas.openxmlformats.org/officeDocument/2006/relationships/hyperlink" Target="https://leetcode.com/problems/design-hashmap/" TargetMode="External"/><Relationship Id="rId614" Type="http://schemas.openxmlformats.org/officeDocument/2006/relationships/hyperlink" Target="https://leetcode.com/problems/web-crawler/" TargetMode="External"/><Relationship Id="rId656" Type="http://schemas.openxmlformats.org/officeDocument/2006/relationships/hyperlink" Target="https://leetcode.com/problems/longest-continuous-subarray-with-absolute-diff-less-than-or-equal-to-limit/" TargetMode="External"/><Relationship Id="rId821" Type="http://schemas.openxmlformats.org/officeDocument/2006/relationships/hyperlink" Target="https://leetcode.com/problems/maximum-good-subarray-sum/" TargetMode="External"/><Relationship Id="rId863" Type="http://schemas.openxmlformats.org/officeDocument/2006/relationships/hyperlink" Target="https://leetcode.com/problems/longest-balanced-subarray-i/" TargetMode="External"/><Relationship Id="rId211" Type="http://schemas.openxmlformats.org/officeDocument/2006/relationships/hyperlink" Target="https://leetcode.com/problems/basic-calculator-ii/" TargetMode="External"/><Relationship Id="rId253" Type="http://schemas.openxmlformats.org/officeDocument/2006/relationships/hyperlink" Target="https://leetcode.com/problems/word-pattern/" TargetMode="External"/><Relationship Id="rId295" Type="http://schemas.openxmlformats.org/officeDocument/2006/relationships/hyperlink" Target="https://leetcode.com/problems/top-k-frequent-elements/" TargetMode="External"/><Relationship Id="rId309" Type="http://schemas.openxmlformats.org/officeDocument/2006/relationships/hyperlink" Target="https://leetcode.com/problems/kth-smallest-element-in-a-sorted-matrix/" TargetMode="External"/><Relationship Id="rId460" Type="http://schemas.openxmlformats.org/officeDocument/2006/relationships/hyperlink" Target="https://leetcode.com/problems/find-pivot-index/" TargetMode="External"/><Relationship Id="rId516" Type="http://schemas.openxmlformats.org/officeDocument/2006/relationships/hyperlink" Target="https://leetcode.com/problems/transpose-matrix/" TargetMode="External"/><Relationship Id="rId698" Type="http://schemas.openxmlformats.org/officeDocument/2006/relationships/hyperlink" Target="https://leetcode.com/problems/minimum-initial-energy-to-finish-tasks/" TargetMode="External"/><Relationship Id="rId48" Type="http://schemas.openxmlformats.org/officeDocument/2006/relationships/hyperlink" Target="https://leetcode.com/problems/rotate-image/" TargetMode="External"/><Relationship Id="rId113" Type="http://schemas.openxmlformats.org/officeDocument/2006/relationships/hyperlink" Target="https://leetcode.com/problems/flatten-binary-tree-to-linked-list/" TargetMode="External"/><Relationship Id="rId320" Type="http://schemas.openxmlformats.org/officeDocument/2006/relationships/hyperlink" Target="https://leetcode.com/problems/longest-substring-with-at-least-k-repeating-characters/" TargetMode="External"/><Relationship Id="rId558" Type="http://schemas.openxmlformats.org/officeDocument/2006/relationships/hyperlink" Target="https://leetcode.com/problems/time-based-key-value-store/" TargetMode="External"/><Relationship Id="rId723" Type="http://schemas.openxmlformats.org/officeDocument/2006/relationships/hyperlink" Target="https://leetcode.com/problems/frequency-of-the-most-frequent-element/" TargetMode="External"/><Relationship Id="rId765" Type="http://schemas.openxmlformats.org/officeDocument/2006/relationships/hyperlink" Target="https://leetcode.com/problems/maximum-candies-allocated-to-k-children/" TargetMode="External"/><Relationship Id="rId155" Type="http://schemas.openxmlformats.org/officeDocument/2006/relationships/hyperlink" Target="https://leetcode.com/problems/missing-ranges/" TargetMode="External"/><Relationship Id="rId197" Type="http://schemas.openxmlformats.org/officeDocument/2006/relationships/hyperlink" Target="https://leetcode.com/problems/add-and-search-word-data-structure-design/" TargetMode="External"/><Relationship Id="rId362" Type="http://schemas.openxmlformats.org/officeDocument/2006/relationships/hyperlink" Target="https://leetcode.com/problems/sliding-window-median/" TargetMode="External"/><Relationship Id="rId418" Type="http://schemas.openxmlformats.org/officeDocument/2006/relationships/hyperlink" Target="https://leetcode.com/problems/maximum-product-of-three-numbers/" TargetMode="External"/><Relationship Id="rId625" Type="http://schemas.openxmlformats.org/officeDocument/2006/relationships/hyperlink" Target="https://leetcode.com/problems/students-and-examinations/" TargetMode="External"/><Relationship Id="rId832" Type="http://schemas.openxmlformats.org/officeDocument/2006/relationships/hyperlink" Target="https://leetcode.com/problems/minimum-number-of-seconds-to-make-mountain-height-zero/" TargetMode="External"/><Relationship Id="rId222" Type="http://schemas.openxmlformats.org/officeDocument/2006/relationships/hyperlink" Target="https://leetcode.com/problems/sliding-window-maximum/" TargetMode="External"/><Relationship Id="rId264" Type="http://schemas.openxmlformats.org/officeDocument/2006/relationships/hyperlink" Target="https://leetcode.com/problems/range-sum-query-2d-mutable/" TargetMode="External"/><Relationship Id="rId471" Type="http://schemas.openxmlformats.org/officeDocument/2006/relationships/hyperlink" Target="https://leetcode.com/problems/find-smallest-letter-greater-than-target/" TargetMode="External"/><Relationship Id="rId667" Type="http://schemas.openxmlformats.org/officeDocument/2006/relationships/hyperlink" Target="https://leetcode.com/problems/can-make-arithmetic-progression-from-sequence/" TargetMode="External"/><Relationship Id="rId874" Type="http://schemas.openxmlformats.org/officeDocument/2006/relationships/hyperlink" Target="https://leetcode.com/problems/final-element-after-subarray-deletions/" TargetMode="External"/><Relationship Id="rId17" Type="http://schemas.openxmlformats.org/officeDocument/2006/relationships/hyperlink" Target="https://leetcode.com/problems/letter-combinations-of-a-phone-number/" TargetMode="External"/><Relationship Id="rId59" Type="http://schemas.openxmlformats.org/officeDocument/2006/relationships/hyperlink" Target="https://leetcode.com/problems/spiral-matrix-ii/" TargetMode="External"/><Relationship Id="rId124" Type="http://schemas.openxmlformats.org/officeDocument/2006/relationships/hyperlink" Target="https://leetcode.com/problems/word-ladder-ii/" TargetMode="External"/><Relationship Id="rId527" Type="http://schemas.openxmlformats.org/officeDocument/2006/relationships/hyperlink" Target="https://leetcode.com/problems/construct-binary-tree-from-preorder-and-postorder-traversal/" TargetMode="External"/><Relationship Id="rId569" Type="http://schemas.openxmlformats.org/officeDocument/2006/relationships/hyperlink" Target="https://leetcode.com/problems/capacity-to-ship-packages-within-d-days/" TargetMode="External"/><Relationship Id="rId734" Type="http://schemas.openxmlformats.org/officeDocument/2006/relationships/hyperlink" Target="https://leetcode.com/problems/largest-magic-square/" TargetMode="External"/><Relationship Id="rId776" Type="http://schemas.openxmlformats.org/officeDocument/2006/relationships/hyperlink" Target="https://leetcode.com/problems/amount-of-time-for-binary-tree-to-be-infected/" TargetMode="External"/><Relationship Id="rId70" Type="http://schemas.openxmlformats.org/officeDocument/2006/relationships/hyperlink" Target="https://leetcode.com/problems/climbing-stairs/" TargetMode="External"/><Relationship Id="rId166" Type="http://schemas.openxmlformats.org/officeDocument/2006/relationships/hyperlink" Target="https://leetcode.com/problems/second-highest-salary/" TargetMode="External"/><Relationship Id="rId331" Type="http://schemas.openxmlformats.org/officeDocument/2006/relationships/hyperlink" Target="https://leetcode.com/problems/arithmetic-slices/" TargetMode="External"/><Relationship Id="rId373" Type="http://schemas.openxmlformats.org/officeDocument/2006/relationships/hyperlink" Target="https://leetcode.com/problems/next-greater-element-ii/" TargetMode="External"/><Relationship Id="rId429" Type="http://schemas.openxmlformats.org/officeDocument/2006/relationships/hyperlink" Target="https://leetcode.com/problems/find-k-closest-elements/" TargetMode="External"/><Relationship Id="rId580" Type="http://schemas.openxmlformats.org/officeDocument/2006/relationships/hyperlink" Target="https://leetcode.com/problems/last-stone-weight/" TargetMode="External"/><Relationship Id="rId636" Type="http://schemas.openxmlformats.org/officeDocument/2006/relationships/hyperlink" Target="https://leetcode.com/problems/number-of-steps-to-reduce-a-number-to-zero/" TargetMode="External"/><Relationship Id="rId801" Type="http://schemas.openxmlformats.org/officeDocument/2006/relationships/hyperlink" Target="https://leetcode.com/problems/return-length-of-arguments-passed/" TargetMode="External"/><Relationship Id="rId1" Type="http://schemas.openxmlformats.org/officeDocument/2006/relationships/hyperlink" Target="https://leetcode.com/problems/two-sum/" TargetMode="External"/><Relationship Id="rId233" Type="http://schemas.openxmlformats.org/officeDocument/2006/relationships/hyperlink" Target="https://leetcode.com/problems/add-digits/" TargetMode="External"/><Relationship Id="rId440" Type="http://schemas.openxmlformats.org/officeDocument/2006/relationships/hyperlink" Target="https://leetcode.com/problems/top-k-frequent-words/" TargetMode="External"/><Relationship Id="rId678" Type="http://schemas.openxmlformats.org/officeDocument/2006/relationships/hyperlink" Target="https://leetcode.com/problems/matrix-diagonal-sum/" TargetMode="External"/><Relationship Id="rId843" Type="http://schemas.openxmlformats.org/officeDocument/2006/relationships/hyperlink" Target="https://leetcode.com/problems/separate-squares-ii/" TargetMode="External"/><Relationship Id="rId28" Type="http://schemas.openxmlformats.org/officeDocument/2006/relationships/hyperlink" Target="https://leetcode.com/problems/find-the-index-of-the-first-occurrence-in-a-string/" TargetMode="External"/><Relationship Id="rId275" Type="http://schemas.openxmlformats.org/officeDocument/2006/relationships/hyperlink" Target="https://leetcode.com/problems/coin-change/" TargetMode="External"/><Relationship Id="rId300" Type="http://schemas.openxmlformats.org/officeDocument/2006/relationships/hyperlink" Target="https://leetcode.com/problems/design-twitter/" TargetMode="External"/><Relationship Id="rId482" Type="http://schemas.openxmlformats.org/officeDocument/2006/relationships/hyperlink" Target="https://leetcode.com/problems/sliding-puzzle/" TargetMode="External"/><Relationship Id="rId538" Type="http://schemas.openxmlformats.org/officeDocument/2006/relationships/hyperlink" Target="https://leetcode.com/problems/binary-subarrays-with-sum/" TargetMode="External"/><Relationship Id="rId703" Type="http://schemas.openxmlformats.org/officeDocument/2006/relationships/hyperlink" Target="https://leetcode.com/problems/sum-of-absolute-differences-in-a-sorted-array/" TargetMode="External"/><Relationship Id="rId745" Type="http://schemas.openxmlformats.org/officeDocument/2006/relationships/hyperlink" Target="https://leetcode.com/problems/maximum-number-of-weeks-for-which-you-can-work/" TargetMode="External"/><Relationship Id="rId81" Type="http://schemas.openxmlformats.org/officeDocument/2006/relationships/hyperlink" Target="https://leetcode.com/problems/search-in-rotated-sorted-array-ii/" TargetMode="External"/><Relationship Id="rId135" Type="http://schemas.openxmlformats.org/officeDocument/2006/relationships/hyperlink" Target="https://leetcode.com/problems/copy-list-with-random-pointer/" TargetMode="External"/><Relationship Id="rId177" Type="http://schemas.openxmlformats.org/officeDocument/2006/relationships/hyperlink" Target="https://leetcode.com/problems/repeated-dna-sequences/" TargetMode="External"/><Relationship Id="rId342" Type="http://schemas.openxmlformats.org/officeDocument/2006/relationships/hyperlink" Target="https://leetcode.com/problems/path-sum-iii/" TargetMode="External"/><Relationship Id="rId384" Type="http://schemas.openxmlformats.org/officeDocument/2006/relationships/hyperlink" Target="https://leetcode.com/problems/minesweeper/" TargetMode="External"/><Relationship Id="rId591" Type="http://schemas.openxmlformats.org/officeDocument/2006/relationships/hyperlink" Target="https://leetcode.com/problems/longest-common-subsequence/" TargetMode="External"/><Relationship Id="rId605" Type="http://schemas.openxmlformats.org/officeDocument/2006/relationships/hyperlink" Target="https://leetcode.com/problems/remove-all-adjacent-duplicates-in-string-ii/" TargetMode="External"/><Relationship Id="rId787" Type="http://schemas.openxmlformats.org/officeDocument/2006/relationships/hyperlink" Target="https://leetcode.com/problems/count-subarrays-with-median-k/" TargetMode="External"/><Relationship Id="rId812" Type="http://schemas.openxmlformats.org/officeDocument/2006/relationships/hyperlink" Target="https://leetcode.com/problems/minimum-number-of-groups-to-create-a-valid-assignment/" TargetMode="External"/><Relationship Id="rId202" Type="http://schemas.openxmlformats.org/officeDocument/2006/relationships/hyperlink" Target="https://leetcode.com/problems/combination-sum-iii/" TargetMode="External"/><Relationship Id="rId244" Type="http://schemas.openxmlformats.org/officeDocument/2006/relationships/hyperlink" Target="https://leetcode.com/problems/first-bad-version/" TargetMode="External"/><Relationship Id="rId647" Type="http://schemas.openxmlformats.org/officeDocument/2006/relationships/hyperlink" Target="https://leetcode.com/problems/design-a-stack-with-increment-operation/" TargetMode="External"/><Relationship Id="rId689" Type="http://schemas.openxmlformats.org/officeDocument/2006/relationships/hyperlink" Target="https://leetcode.com/problems/sort-array-by-increasing-frequency/" TargetMode="External"/><Relationship Id="rId854" Type="http://schemas.openxmlformats.org/officeDocument/2006/relationships/hyperlink" Target="https://leetcode.com/problems/minimum-cost-path-with-edge-reversals/" TargetMode="External"/><Relationship Id="rId39" Type="http://schemas.openxmlformats.org/officeDocument/2006/relationships/hyperlink" Target="https://leetcode.com/problems/combination-sum/" TargetMode="External"/><Relationship Id="rId286" Type="http://schemas.openxmlformats.org/officeDocument/2006/relationships/hyperlink" Target="https://leetcode.com/problems/house-robber-iii/" TargetMode="External"/><Relationship Id="rId451" Type="http://schemas.openxmlformats.org/officeDocument/2006/relationships/hyperlink" Target="https://leetcode.com/problems/insert-into-a-sorted-circular-linked-list/" TargetMode="External"/><Relationship Id="rId493" Type="http://schemas.openxmlformats.org/officeDocument/2006/relationships/hyperlink" Target="https://leetcode.com/problems/champagne-tower/" TargetMode="External"/><Relationship Id="rId507" Type="http://schemas.openxmlformats.org/officeDocument/2006/relationships/hyperlink" Target="https://leetcode.com/problems/backspace-string-compare/" TargetMode="External"/><Relationship Id="rId549" Type="http://schemas.openxmlformats.org/officeDocument/2006/relationships/hyperlink" Target="https://leetcode.com/problems/delete-columns-to-make-sorted-iii/" TargetMode="External"/><Relationship Id="rId714" Type="http://schemas.openxmlformats.org/officeDocument/2006/relationships/hyperlink" Target="https://leetcode.com/problems/recyclable-and-low-fat-products/" TargetMode="External"/><Relationship Id="rId756" Type="http://schemas.openxmlformats.org/officeDocument/2006/relationships/hyperlink" Target="https://leetcode.com/problems/maximum-number-of-tasks-you-can-assign/" TargetMode="External"/><Relationship Id="rId50" Type="http://schemas.openxmlformats.org/officeDocument/2006/relationships/hyperlink" Target="https://leetcode.com/problems/powx-n/" TargetMode="External"/><Relationship Id="rId104" Type="http://schemas.openxmlformats.org/officeDocument/2006/relationships/hyperlink" Target="https://leetcode.com/problems/construct-binary-tree-from-preorder-and-inorder-traversal/" TargetMode="External"/><Relationship Id="rId146" Type="http://schemas.openxmlformats.org/officeDocument/2006/relationships/hyperlink" Target="https://leetcode.com/problems/maximum-product-subarray/" TargetMode="External"/><Relationship Id="rId188" Type="http://schemas.openxmlformats.org/officeDocument/2006/relationships/hyperlink" Target="https://leetcode.com/problems/happy-number/" TargetMode="External"/><Relationship Id="rId311" Type="http://schemas.openxmlformats.org/officeDocument/2006/relationships/hyperlink" Target="https://leetcode.com/problems/ransom-note/" TargetMode="External"/><Relationship Id="rId353" Type="http://schemas.openxmlformats.org/officeDocument/2006/relationships/hyperlink" Target="https://leetcode.com/problems/132-pattern/" TargetMode="External"/><Relationship Id="rId395" Type="http://schemas.openxmlformats.org/officeDocument/2006/relationships/hyperlink" Target="https://leetcode.com/problems/game-play-analysis-iv/" TargetMode="External"/><Relationship Id="rId409" Type="http://schemas.openxmlformats.org/officeDocument/2006/relationships/hyperlink" Target="https://leetcode.com/problems/design-in-memory-file-system/" TargetMode="External"/><Relationship Id="rId560" Type="http://schemas.openxmlformats.org/officeDocument/2006/relationships/hyperlink" Target="https://leetcode.com/problems/interval-list-intersections/" TargetMode="External"/><Relationship Id="rId798" Type="http://schemas.openxmlformats.org/officeDocument/2006/relationships/hyperlink" Target="https://leetcode.com/problems/first-completely-painted-row-or-column/" TargetMode="External"/><Relationship Id="rId92" Type="http://schemas.openxmlformats.org/officeDocument/2006/relationships/hyperlink" Target="https://leetcode.com/problems/restore-ip-addresses/" TargetMode="External"/><Relationship Id="rId213" Type="http://schemas.openxmlformats.org/officeDocument/2006/relationships/hyperlink" Target="https://leetcode.com/problems/majority-element-ii/" TargetMode="External"/><Relationship Id="rId420" Type="http://schemas.openxmlformats.org/officeDocument/2006/relationships/hyperlink" Target="https://leetcode.com/problems/sum-of-square-numbers/" TargetMode="External"/><Relationship Id="rId616" Type="http://schemas.openxmlformats.org/officeDocument/2006/relationships/hyperlink" Target="https://leetcode.com/problems/web-crawler-multithreaded/" TargetMode="External"/><Relationship Id="rId658" Type="http://schemas.openxmlformats.org/officeDocument/2006/relationships/hyperlink" Target="https://leetcode.com/problems/maximum-number-of-vowels-in-a-substring-of-given-length/" TargetMode="External"/><Relationship Id="rId823" Type="http://schemas.openxmlformats.org/officeDocument/2006/relationships/hyperlink" Target="https://leetcode.com/problems/maximum-number-of-operations-with-the-same-score-ii/" TargetMode="External"/><Relationship Id="rId865" Type="http://schemas.openxmlformats.org/officeDocument/2006/relationships/hyperlink" Target="https://leetcode.com/problems/longest-balanced-subarray-ii/" TargetMode="External"/><Relationship Id="rId255" Type="http://schemas.openxmlformats.org/officeDocument/2006/relationships/hyperlink" Target="https://leetcode.com/problems/find-median-from-data-stream/" TargetMode="External"/><Relationship Id="rId297" Type="http://schemas.openxmlformats.org/officeDocument/2006/relationships/hyperlink" Target="https://leetcode.com/problems/intersection-of-two-arrays/" TargetMode="External"/><Relationship Id="rId462" Type="http://schemas.openxmlformats.org/officeDocument/2006/relationships/hyperlink" Target="https://leetcode.com/problems/number-of-atoms/" TargetMode="External"/><Relationship Id="rId518" Type="http://schemas.openxmlformats.org/officeDocument/2006/relationships/hyperlink" Target="https://leetcode.com/problems/minimum-number-of-refueling-stops/" TargetMode="External"/><Relationship Id="rId725" Type="http://schemas.openxmlformats.org/officeDocument/2006/relationships/hyperlink" Target="https://leetcode.com/problems/minimum-interval-to-include-each-query/" TargetMode="External"/><Relationship Id="rId115" Type="http://schemas.openxmlformats.org/officeDocument/2006/relationships/hyperlink" Target="https://leetcode.com/problems/populating-next-right-pointers-in-each-node/" TargetMode="External"/><Relationship Id="rId157" Type="http://schemas.openxmlformats.org/officeDocument/2006/relationships/hyperlink" Target="https://leetcode.com/problems/fraction-to-recurring-decimal/" TargetMode="External"/><Relationship Id="rId322" Type="http://schemas.openxmlformats.org/officeDocument/2006/relationships/hyperlink" Target="https://leetcode.com/problems/evaluate-division/" TargetMode="External"/><Relationship Id="rId364" Type="http://schemas.openxmlformats.org/officeDocument/2006/relationships/hyperlink" Target="https://leetcode.com/problems/predict-the-winner/" TargetMode="External"/><Relationship Id="rId767" Type="http://schemas.openxmlformats.org/officeDocument/2006/relationships/hyperlink" Target="https://leetcode.com/problems/find-resultant-array-after-removing-anagrams/" TargetMode="External"/><Relationship Id="rId61" Type="http://schemas.openxmlformats.org/officeDocument/2006/relationships/hyperlink" Target="https://leetcode.com/problems/rotate-list/" TargetMode="External"/><Relationship Id="rId199" Type="http://schemas.openxmlformats.org/officeDocument/2006/relationships/hyperlink" Target="https://leetcode.com/problems/house-robber-ii/" TargetMode="External"/><Relationship Id="rId571" Type="http://schemas.openxmlformats.org/officeDocument/2006/relationships/hyperlink" Target="https://leetcode.com/problems/next-greater-node-in-linked-list/" TargetMode="External"/><Relationship Id="rId627" Type="http://schemas.openxmlformats.org/officeDocument/2006/relationships/hyperlink" Target="https://leetcode.com/problems/maximum-side-length-of-a-square-with-sum-less-than-or-equal-to-threshold/" TargetMode="External"/><Relationship Id="rId669" Type="http://schemas.openxmlformats.org/officeDocument/2006/relationships/hyperlink" Target="https://leetcode.com/problems/number-of-nodes-in-the-sub-tree-with-the-same-label/" TargetMode="External"/><Relationship Id="rId834" Type="http://schemas.openxmlformats.org/officeDocument/2006/relationships/hyperlink" Target="https://leetcode.com/problems/construct-the-minimum-bitwise-array-ii/" TargetMode="External"/><Relationship Id="rId876" Type="http://schemas.openxmlformats.org/officeDocument/2006/relationships/hyperlink" Target="https://leetcode.com/problems/minimum-operations-to-sort-a-string/" TargetMode="External"/><Relationship Id="rId19" Type="http://schemas.openxmlformats.org/officeDocument/2006/relationships/hyperlink" Target="https://leetcode.com/problems/remove-nth-node-from-end-of-list/" TargetMode="External"/><Relationship Id="rId224" Type="http://schemas.openxmlformats.org/officeDocument/2006/relationships/hyperlink" Target="https://leetcode.com/problems/valid-anagram/" TargetMode="External"/><Relationship Id="rId266" Type="http://schemas.openxmlformats.org/officeDocument/2006/relationships/hyperlink" Target="https://leetcode.com/problems/minimum-height-trees/" TargetMode="External"/><Relationship Id="rId431" Type="http://schemas.openxmlformats.org/officeDocument/2006/relationships/hyperlink" Target="https://leetcode.com/problems/image-smoother/" TargetMode="External"/><Relationship Id="rId473" Type="http://schemas.openxmlformats.org/officeDocument/2006/relationships/hyperlink" Target="https://leetcode.com/problems/open-the-lock/" TargetMode="External"/><Relationship Id="rId529" Type="http://schemas.openxmlformats.org/officeDocument/2006/relationships/hyperlink" Target="https://leetcode.com/problems/monotonic-array/" TargetMode="External"/><Relationship Id="rId680" Type="http://schemas.openxmlformats.org/officeDocument/2006/relationships/hyperlink" Target="https://leetcode.com/problems/remove-max-number-of-edges-to-keep-graph-fully-traversable/" TargetMode="External"/><Relationship Id="rId736" Type="http://schemas.openxmlformats.org/officeDocument/2006/relationships/hyperlink" Target="https://leetcode.com/problems/find-a-peak-element-ii/" TargetMode="External"/><Relationship Id="rId30" Type="http://schemas.openxmlformats.org/officeDocument/2006/relationships/hyperlink" Target="https://leetcode.com/problems/substring-with-concatenation-of-all-words/" TargetMode="External"/><Relationship Id="rId126" Type="http://schemas.openxmlformats.org/officeDocument/2006/relationships/hyperlink" Target="https://leetcode.com/problems/longest-consecutive-sequence/" TargetMode="External"/><Relationship Id="rId168" Type="http://schemas.openxmlformats.org/officeDocument/2006/relationships/hyperlink" Target="https://leetcode.com/problems/rank-scores/" TargetMode="External"/><Relationship Id="rId333" Type="http://schemas.openxmlformats.org/officeDocument/2006/relationships/hyperlink" Target="https://leetcode.com/problems/partition-equal-subset-sum/" TargetMode="External"/><Relationship Id="rId540" Type="http://schemas.openxmlformats.org/officeDocument/2006/relationships/hyperlink" Target="https://leetcode.com/problems/number-of-recent-calls/" TargetMode="External"/><Relationship Id="rId778" Type="http://schemas.openxmlformats.org/officeDocument/2006/relationships/hyperlink" Target="https://leetcode.com/problems/maximum-rows-covered-by-columns/" TargetMode="External"/><Relationship Id="rId72" Type="http://schemas.openxmlformats.org/officeDocument/2006/relationships/hyperlink" Target="https://leetcode.com/problems/edit-distance/" TargetMode="External"/><Relationship Id="rId375" Type="http://schemas.openxmlformats.org/officeDocument/2006/relationships/hyperlink" Target="https://leetcode.com/problems/perfect-number/" TargetMode="External"/><Relationship Id="rId582" Type="http://schemas.openxmlformats.org/officeDocument/2006/relationships/hyperlink" Target="https://leetcode.com/problems/actors-and-directors-who-cooperated-at-least-three-times/" TargetMode="External"/><Relationship Id="rId638" Type="http://schemas.openxmlformats.org/officeDocument/2006/relationships/hyperlink" Target="https://leetcode.com/problems/count-negative-numbers-in-a-sorted-matrix/" TargetMode="External"/><Relationship Id="rId803" Type="http://schemas.openxmlformats.org/officeDocument/2006/relationships/hyperlink" Target="https://leetcode.com/problems/robot-collisions/" TargetMode="External"/><Relationship Id="rId845" Type="http://schemas.openxmlformats.org/officeDocument/2006/relationships/hyperlink" Target="https://leetcode.com/problems/unique-3-digit-even-numbers/" TargetMode="External"/><Relationship Id="rId3" Type="http://schemas.openxmlformats.org/officeDocument/2006/relationships/hyperlink" Target="https://leetcode.com/problems/longest-substring-without-repeating-characters/" TargetMode="External"/><Relationship Id="rId235" Type="http://schemas.openxmlformats.org/officeDocument/2006/relationships/hyperlink" Target="https://leetcode.com/problems/ugly-number/" TargetMode="External"/><Relationship Id="rId277" Type="http://schemas.openxmlformats.org/officeDocument/2006/relationships/hyperlink" Target="https://leetcode.com/problems/maximum-size-subarray-sum-equals-k/" TargetMode="External"/><Relationship Id="rId400" Type="http://schemas.openxmlformats.org/officeDocument/2006/relationships/hyperlink" Target="https://leetcode.com/problems/array-partition/" TargetMode="External"/><Relationship Id="rId442" Type="http://schemas.openxmlformats.org/officeDocument/2006/relationships/hyperlink" Target="https://leetcode.com/problems/max-area-of-island/" TargetMode="External"/><Relationship Id="rId484" Type="http://schemas.openxmlformats.org/officeDocument/2006/relationships/hyperlink" Target="https://leetcode.com/problems/swim-in-rising-water/" TargetMode="External"/><Relationship Id="rId705" Type="http://schemas.openxmlformats.org/officeDocument/2006/relationships/hyperlink" Target="https://leetcode.com/problems/maximum-height-by-stacking-cuboids/" TargetMode="External"/><Relationship Id="rId137" Type="http://schemas.openxmlformats.org/officeDocument/2006/relationships/hyperlink" Target="https://leetcode.com/problems/word-break-ii/" TargetMode="External"/><Relationship Id="rId302" Type="http://schemas.openxmlformats.org/officeDocument/2006/relationships/hyperlink" Target="https://leetcode.com/problems/design-hit-counter/" TargetMode="External"/><Relationship Id="rId344" Type="http://schemas.openxmlformats.org/officeDocument/2006/relationships/hyperlink" Target="https://leetcode.com/problems/arranging-coins/" TargetMode="External"/><Relationship Id="rId691" Type="http://schemas.openxmlformats.org/officeDocument/2006/relationships/hyperlink" Target="https://leetcode.com/problems/sell-diminishing-valued-colored-balls/" TargetMode="External"/><Relationship Id="rId747" Type="http://schemas.openxmlformats.org/officeDocument/2006/relationships/hyperlink" Target="https://leetcode.com/problems/maximum-matrix-sum/" TargetMode="External"/><Relationship Id="rId789" Type="http://schemas.openxmlformats.org/officeDocument/2006/relationships/hyperlink" Target="https://leetcode.com/problems/take-k-of-each-character-from-left-and-right/" TargetMode="External"/><Relationship Id="rId41" Type="http://schemas.openxmlformats.org/officeDocument/2006/relationships/hyperlink" Target="https://leetcode.com/problems/first-missing-positive/" TargetMode="External"/><Relationship Id="rId83" Type="http://schemas.openxmlformats.org/officeDocument/2006/relationships/hyperlink" Target="https://leetcode.com/problems/remove-duplicates-from-sorted-list/" TargetMode="External"/><Relationship Id="rId179" Type="http://schemas.openxmlformats.org/officeDocument/2006/relationships/hyperlink" Target="https://leetcode.com/problems/rotate-array/" TargetMode="External"/><Relationship Id="rId386" Type="http://schemas.openxmlformats.org/officeDocument/2006/relationships/hyperlink" Target="https://leetcode.com/problems/k-diff-pairs-in-an-array/" TargetMode="External"/><Relationship Id="rId551" Type="http://schemas.openxmlformats.org/officeDocument/2006/relationships/hyperlink" Target="https://leetcode.com/problems/maximum-width-ramp/" TargetMode="External"/><Relationship Id="rId593" Type="http://schemas.openxmlformats.org/officeDocument/2006/relationships/hyperlink" Target="https://leetcode.com/problems/article-views-i/" TargetMode="External"/><Relationship Id="rId607" Type="http://schemas.openxmlformats.org/officeDocument/2006/relationships/hyperlink" Target="https://leetcode.com/problems/intersection-of-three-sorted-arrays/" TargetMode="External"/><Relationship Id="rId649" Type="http://schemas.openxmlformats.org/officeDocument/2006/relationships/hyperlink" Target="https://leetcode.com/problems/longest-happy-prefix/" TargetMode="External"/><Relationship Id="rId814" Type="http://schemas.openxmlformats.org/officeDocument/2006/relationships/hyperlink" Target="https://leetcode.com/problems/matrix-similarity-after-cyclic-shifts/" TargetMode="External"/><Relationship Id="rId856" Type="http://schemas.openxmlformats.org/officeDocument/2006/relationships/hyperlink" Target="https://leetcode.com/problems/best-time-to-buy-and-sell-stock-using-strategy/" TargetMode="External"/><Relationship Id="rId190" Type="http://schemas.openxmlformats.org/officeDocument/2006/relationships/hyperlink" Target="https://leetcode.com/problems/count-primes/" TargetMode="External"/><Relationship Id="rId204" Type="http://schemas.openxmlformats.org/officeDocument/2006/relationships/hyperlink" Target="https://leetcode.com/problems/the-skyline-problem/" TargetMode="External"/><Relationship Id="rId246" Type="http://schemas.openxmlformats.org/officeDocument/2006/relationships/hyperlink" Target="https://leetcode.com/problems/expression-add-operators/" TargetMode="External"/><Relationship Id="rId288" Type="http://schemas.openxmlformats.org/officeDocument/2006/relationships/hyperlink" Target="https://leetcode.com/problems/nested-list-weight-sum/" TargetMode="External"/><Relationship Id="rId411" Type="http://schemas.openxmlformats.org/officeDocument/2006/relationships/hyperlink" Target="https://leetcode.com/problems/minimum-index-sum-of-two-lists/" TargetMode="External"/><Relationship Id="rId453" Type="http://schemas.openxmlformats.org/officeDocument/2006/relationships/hyperlink" Target="https://leetcode.com/problems/minimum-ascii-delete-sum-for-two-strings/" TargetMode="External"/><Relationship Id="rId509" Type="http://schemas.openxmlformats.org/officeDocument/2006/relationships/hyperlink" Target="https://leetcode.com/problems/maximize-distance-to-closest-person/" TargetMode="External"/><Relationship Id="rId660" Type="http://schemas.openxmlformats.org/officeDocument/2006/relationships/hyperlink" Target="https://leetcode.com/problems/check-if-a-string-contains-all-binary-codes-of-size-k/" TargetMode="External"/><Relationship Id="rId106" Type="http://schemas.openxmlformats.org/officeDocument/2006/relationships/hyperlink" Target="https://leetcode.com/problems/binary-tree-level-order-traversal-ii/" TargetMode="External"/><Relationship Id="rId313" Type="http://schemas.openxmlformats.org/officeDocument/2006/relationships/hyperlink" Target="https://leetcode.com/problems/mini-parser/" TargetMode="External"/><Relationship Id="rId495" Type="http://schemas.openxmlformats.org/officeDocument/2006/relationships/hyperlink" Target="https://leetcode.com/problems/unique-morse-code-words/" TargetMode="External"/><Relationship Id="rId716" Type="http://schemas.openxmlformats.org/officeDocument/2006/relationships/hyperlink" Target="https://leetcode.com/problems/buildings-with-an-ocean-view/" TargetMode="External"/><Relationship Id="rId758" Type="http://schemas.openxmlformats.org/officeDocument/2006/relationships/hyperlink" Target="https://leetcode.com/problems/detonate-the-maximum-bombs/" TargetMode="External"/><Relationship Id="rId10" Type="http://schemas.openxmlformats.org/officeDocument/2006/relationships/hyperlink" Target="https://leetcode.com/problems/regular-expression-matching/" TargetMode="External"/><Relationship Id="rId52" Type="http://schemas.openxmlformats.org/officeDocument/2006/relationships/hyperlink" Target="https://leetcode.com/problems/n-queens-ii/" TargetMode="External"/><Relationship Id="rId94" Type="http://schemas.openxmlformats.org/officeDocument/2006/relationships/hyperlink" Target="https://leetcode.com/problems/unique-binary-search-trees-ii/" TargetMode="External"/><Relationship Id="rId148" Type="http://schemas.openxmlformats.org/officeDocument/2006/relationships/hyperlink" Target="https://leetcode.com/problems/find-minimum-in-rotated-sorted-array-ii/" TargetMode="External"/><Relationship Id="rId355" Type="http://schemas.openxmlformats.org/officeDocument/2006/relationships/hyperlink" Target="https://leetcode.com/problems/island-perimeter/" TargetMode="External"/><Relationship Id="rId397" Type="http://schemas.openxmlformats.org/officeDocument/2006/relationships/hyperlink" Target="https://leetcode.com/problems/next-greater-element-iii/" TargetMode="External"/><Relationship Id="rId520" Type="http://schemas.openxmlformats.org/officeDocument/2006/relationships/hyperlink" Target="https://leetcode.com/problems/koko-eating-bananas/" TargetMode="External"/><Relationship Id="rId562" Type="http://schemas.openxmlformats.org/officeDocument/2006/relationships/hyperlink" Target="https://leetcode.com/problems/smallest-string-starting-from-leaf/" TargetMode="External"/><Relationship Id="rId618" Type="http://schemas.openxmlformats.org/officeDocument/2006/relationships/hyperlink" Target="https://leetcode.com/problems/minimum-remove-to-make-valid-parentheses/" TargetMode="External"/><Relationship Id="rId825" Type="http://schemas.openxmlformats.org/officeDocument/2006/relationships/hyperlink" Target="https://leetcode.com/problems/maximize-happiness-of-selected-children/" TargetMode="External"/><Relationship Id="rId215" Type="http://schemas.openxmlformats.org/officeDocument/2006/relationships/hyperlink" Target="https://leetcode.com/problems/power-of-two/" TargetMode="External"/><Relationship Id="rId257" Type="http://schemas.openxmlformats.org/officeDocument/2006/relationships/hyperlink" Target="https://leetcode.com/problems/binary-tree-longest-consecutive-sequence/" TargetMode="External"/><Relationship Id="rId422" Type="http://schemas.openxmlformats.org/officeDocument/2006/relationships/hyperlink" Target="https://leetcode.com/problems/exclusive-time-of-functions/" TargetMode="External"/><Relationship Id="rId464" Type="http://schemas.openxmlformats.org/officeDocument/2006/relationships/hyperlink" Target="https://leetcode.com/problems/my-calendar-ii/" TargetMode="External"/><Relationship Id="rId867" Type="http://schemas.openxmlformats.org/officeDocument/2006/relationships/hyperlink" Target="https://leetcode.com/problems/minimum-distance-between-three-equal-elements-i/" TargetMode="External"/><Relationship Id="rId299" Type="http://schemas.openxmlformats.org/officeDocument/2006/relationships/hyperlink" Target="https://leetcode.com/problems/russian-doll-envelopes/" TargetMode="External"/><Relationship Id="rId727" Type="http://schemas.openxmlformats.org/officeDocument/2006/relationships/hyperlink" Target="https://leetcode.com/problems/maximum-subarray-min-product/" TargetMode="External"/><Relationship Id="rId63" Type="http://schemas.openxmlformats.org/officeDocument/2006/relationships/hyperlink" Target="https://leetcode.com/problems/unique-paths-ii/" TargetMode="External"/><Relationship Id="rId159" Type="http://schemas.openxmlformats.org/officeDocument/2006/relationships/hyperlink" Target="https://leetcode.com/problems/excel-sheet-column-title/" TargetMode="External"/><Relationship Id="rId366" Type="http://schemas.openxmlformats.org/officeDocument/2006/relationships/hyperlink" Target="https://leetcode.com/problems/the-maze/" TargetMode="External"/><Relationship Id="rId573" Type="http://schemas.openxmlformats.org/officeDocument/2006/relationships/hyperlink" Target="https://leetcode.com/problems/divisor-game/" TargetMode="External"/><Relationship Id="rId780" Type="http://schemas.openxmlformats.org/officeDocument/2006/relationships/hyperlink" Target="https://leetcode.com/problems/meeting-rooms-iii/" TargetMode="External"/><Relationship Id="rId226" Type="http://schemas.openxmlformats.org/officeDocument/2006/relationships/hyperlink" Target="https://leetcode.com/problems/strobogrammatic-number/" TargetMode="External"/><Relationship Id="rId433" Type="http://schemas.openxmlformats.org/officeDocument/2006/relationships/hyperlink" Target="https://leetcode.com/problems/maximum-swap/" TargetMode="External"/><Relationship Id="rId878" Type="http://schemas.openxmlformats.org/officeDocument/2006/relationships/hyperlink" Target="https://leetcode.com/problems/minimum-operations-to-make-array-non-decreasing/" TargetMode="External"/><Relationship Id="rId640" Type="http://schemas.openxmlformats.org/officeDocument/2006/relationships/hyperlink" Target="https://leetcode.com/problems/maximum-number-of-events-that-can-be-attended/" TargetMode="External"/><Relationship Id="rId738" Type="http://schemas.openxmlformats.org/officeDocument/2006/relationships/hyperlink" Target="https://leetcode.com/problems/count-salary-categories/" TargetMode="External"/><Relationship Id="rId74" Type="http://schemas.openxmlformats.org/officeDocument/2006/relationships/hyperlink" Target="https://leetcode.com/problems/search-a-2d-matrix/" TargetMode="External"/><Relationship Id="rId377" Type="http://schemas.openxmlformats.org/officeDocument/2006/relationships/hyperlink" Target="https://leetcode.com/problems/freedom-trail/" TargetMode="External"/><Relationship Id="rId500" Type="http://schemas.openxmlformats.org/officeDocument/2006/relationships/hyperlink" Target="https://leetcode.com/problems/friends-of-appropriate-ages/" TargetMode="External"/><Relationship Id="rId584" Type="http://schemas.openxmlformats.org/officeDocument/2006/relationships/hyperlink" Target="https://leetcode.com/problems/greatest-common-divisor-of-strings/" TargetMode="External"/><Relationship Id="rId805" Type="http://schemas.openxmlformats.org/officeDocument/2006/relationships/hyperlink" Target="https://leetcode.com/problems/split-strings-by-separator/" TargetMode="External"/><Relationship Id="rId5" Type="http://schemas.openxmlformats.org/officeDocument/2006/relationships/hyperlink" Target="https://leetcode.com/problems/longest-palindromic-substring/" TargetMode="External"/><Relationship Id="rId237" Type="http://schemas.openxmlformats.org/officeDocument/2006/relationships/hyperlink" Target="https://leetcode.com/problems/missing-number/" TargetMode="External"/><Relationship Id="rId791" Type="http://schemas.openxmlformats.org/officeDocument/2006/relationships/hyperlink" Target="https://leetcode.com/problems/kth-largest-sum-in-a-binary-tree/" TargetMode="External"/><Relationship Id="rId444" Type="http://schemas.openxmlformats.org/officeDocument/2006/relationships/hyperlink" Target="https://leetcode.com/problems/partition-to-k-equal-sum-subsets/" TargetMode="External"/><Relationship Id="rId651" Type="http://schemas.openxmlformats.org/officeDocument/2006/relationships/hyperlink" Target="https://leetcode.com/problems/number-of-steps-to-reduce-a-number-in-binary-representation-to-one/" TargetMode="External"/><Relationship Id="rId749" Type="http://schemas.openxmlformats.org/officeDocument/2006/relationships/hyperlink" Target="https://leetcode.com/problems/detect-squares/" TargetMode="External"/><Relationship Id="rId290" Type="http://schemas.openxmlformats.org/officeDocument/2006/relationships/hyperlink" Target="https://leetcode.com/problems/flatten-nested-list-iterator/" TargetMode="External"/><Relationship Id="rId304" Type="http://schemas.openxmlformats.org/officeDocument/2006/relationships/hyperlink" Target="https://leetcode.com/problems/water-and-jug-problem/" TargetMode="External"/><Relationship Id="rId388" Type="http://schemas.openxmlformats.org/officeDocument/2006/relationships/hyperlink" Target="https://leetcode.com/problems/single-element-in-a-sorted-array/" TargetMode="External"/><Relationship Id="rId511" Type="http://schemas.openxmlformats.org/officeDocument/2006/relationships/hyperlink" Target="https://leetcode.com/problems/car-fleet/" TargetMode="External"/><Relationship Id="rId609" Type="http://schemas.openxmlformats.org/officeDocument/2006/relationships/hyperlink" Target="https://leetcode.com/problems/path-with-maximum-gold/" TargetMode="External"/><Relationship Id="rId85" Type="http://schemas.openxmlformats.org/officeDocument/2006/relationships/hyperlink" Target="https://leetcode.com/problems/maximal-rectangle/" TargetMode="External"/><Relationship Id="rId150" Type="http://schemas.openxmlformats.org/officeDocument/2006/relationships/hyperlink" Target="https://leetcode.com/problems/read-n-characters-given-read4/" TargetMode="External"/><Relationship Id="rId595" Type="http://schemas.openxmlformats.org/officeDocument/2006/relationships/hyperlink" Target="https://leetcode.com/problems/maximum-level-sum-of-a-binary-tree/" TargetMode="External"/><Relationship Id="rId816" Type="http://schemas.openxmlformats.org/officeDocument/2006/relationships/hyperlink" Target="https://leetcode.com/problems/count-the-number-of-incremovable-subarrays-i/" TargetMode="External"/><Relationship Id="rId248" Type="http://schemas.openxmlformats.org/officeDocument/2006/relationships/hyperlink" Target="https://leetcode.com/problems/peeking-iterator/" TargetMode="External"/><Relationship Id="rId455" Type="http://schemas.openxmlformats.org/officeDocument/2006/relationships/hyperlink" Target="https://leetcode.com/problems/best-time-to-buy-and-sell-stock-with-transaction-fee/" TargetMode="External"/><Relationship Id="rId662" Type="http://schemas.openxmlformats.org/officeDocument/2006/relationships/hyperlink" Target="https://leetcode.com/problems/shuffle-the-array/" TargetMode="External"/><Relationship Id="rId12" Type="http://schemas.openxmlformats.org/officeDocument/2006/relationships/hyperlink" Target="https://leetcode.com/problems/integer-to-roman/" TargetMode="External"/><Relationship Id="rId108" Type="http://schemas.openxmlformats.org/officeDocument/2006/relationships/hyperlink" Target="https://leetcode.com/problems/convert-sorted-list-to-binary-search-tree/" TargetMode="External"/><Relationship Id="rId315" Type="http://schemas.openxmlformats.org/officeDocument/2006/relationships/hyperlink" Target="https://leetcode.com/problems/find-the-difference/" TargetMode="External"/><Relationship Id="rId522" Type="http://schemas.openxmlformats.org/officeDocument/2006/relationships/hyperlink" Target="https://leetcode.com/problems/nth-magical-number/" TargetMode="External"/><Relationship Id="rId96" Type="http://schemas.openxmlformats.org/officeDocument/2006/relationships/hyperlink" Target="https://leetcode.com/problems/interleaving-string/" TargetMode="External"/><Relationship Id="rId161" Type="http://schemas.openxmlformats.org/officeDocument/2006/relationships/hyperlink" Target="https://leetcode.com/problems/excel-sheet-column-number/" TargetMode="External"/><Relationship Id="rId399" Type="http://schemas.openxmlformats.org/officeDocument/2006/relationships/hyperlink" Target="https://leetcode.com/problems/subarray-sum-equals-k/" TargetMode="External"/><Relationship Id="rId827" Type="http://schemas.openxmlformats.org/officeDocument/2006/relationships/hyperlink" Target="https://leetcode.com/problems/find-all-possible-stable-binary-arrays-ii/" TargetMode="External"/><Relationship Id="rId259" Type="http://schemas.openxmlformats.org/officeDocument/2006/relationships/hyperlink" Target="https://leetcode.com/problems/longest-increasing-subsequence/" TargetMode="External"/><Relationship Id="rId466" Type="http://schemas.openxmlformats.org/officeDocument/2006/relationships/hyperlink" Target="https://leetcode.com/problems/asteroid-collision/" TargetMode="External"/><Relationship Id="rId673" Type="http://schemas.openxmlformats.org/officeDocument/2006/relationships/hyperlink" Target="https://leetcode.com/problems/minimum-cost-to-cut-a-stick/" TargetMode="External"/><Relationship Id="rId880" Type="http://schemas.openxmlformats.org/officeDocument/2006/relationships/hyperlink" Target="https://leetcode.com/problems/minimum-cost-to-buy-apples-ii/" TargetMode="External"/><Relationship Id="rId23" Type="http://schemas.openxmlformats.org/officeDocument/2006/relationships/hyperlink" Target="https://leetcode.com/problems/merge-k-sorted-lists/" TargetMode="External"/><Relationship Id="rId119" Type="http://schemas.openxmlformats.org/officeDocument/2006/relationships/hyperlink" Target="https://leetcode.com/problems/best-time-to-buy-and-sell-stock/" TargetMode="External"/><Relationship Id="rId326" Type="http://schemas.openxmlformats.org/officeDocument/2006/relationships/hyperlink" Target="https://leetcode.com/problems/trapping-rain-water-ii/" TargetMode="External"/><Relationship Id="rId533" Type="http://schemas.openxmlformats.org/officeDocument/2006/relationships/hyperlink" Target="https://leetcode.com/problems/sum-of-subarray-minimums/" TargetMode="External"/><Relationship Id="rId740" Type="http://schemas.openxmlformats.org/officeDocument/2006/relationships/hyperlink" Target="https://leetcode.com/problems/build-array-from-permutation/" TargetMode="External"/><Relationship Id="rId838" Type="http://schemas.openxmlformats.org/officeDocument/2006/relationships/hyperlink" Target="https://leetcode.com/problems/design-task-manager/" TargetMode="External"/><Relationship Id="rId172" Type="http://schemas.openxmlformats.org/officeDocument/2006/relationships/hyperlink" Target="https://leetcode.com/problems/duplicate-emails/" TargetMode="External"/><Relationship Id="rId477" Type="http://schemas.openxmlformats.org/officeDocument/2006/relationships/hyperlink" Target="https://leetcode.com/problems/partition-labels/" TargetMode="External"/><Relationship Id="rId600" Type="http://schemas.openxmlformats.org/officeDocument/2006/relationships/hyperlink" Target="https://leetcode.com/problems/immediate-food-delivery-ii/" TargetMode="External"/><Relationship Id="rId684" Type="http://schemas.openxmlformats.org/officeDocument/2006/relationships/hyperlink" Target="https://leetcode.com/problems/design-parking-system/" TargetMode="External"/><Relationship Id="rId337" Type="http://schemas.openxmlformats.org/officeDocument/2006/relationships/hyperlink" Target="https://leetcode.com/problems/convert-binary-search-tree-to-sorted-doubly-linked-list/" TargetMode="External"/><Relationship Id="rId34" Type="http://schemas.openxmlformats.org/officeDocument/2006/relationships/hyperlink" Target="https://leetcode.com/problems/find-first-and-last-position-of-element-in-sorted-array/" TargetMode="External"/><Relationship Id="rId544" Type="http://schemas.openxmlformats.org/officeDocument/2006/relationships/hyperlink" Target="https://leetcode.com/problems/minimum-increment-to-make-array-unique/" TargetMode="External"/><Relationship Id="rId751" Type="http://schemas.openxmlformats.org/officeDocument/2006/relationships/hyperlink" Target="https://leetcode.com/problems/minimum-operations-to-make-a-uni-value-grid/" TargetMode="External"/><Relationship Id="rId849" Type="http://schemas.openxmlformats.org/officeDocument/2006/relationships/hyperlink" Target="https://leetcode.com/problems/minimum-absolute-difference-in-sliding-submatrix/" TargetMode="External"/><Relationship Id="rId183" Type="http://schemas.openxmlformats.org/officeDocument/2006/relationships/hyperlink" Target="https://leetcode.com/problems/delete-duplicate-emails/" TargetMode="External"/><Relationship Id="rId390" Type="http://schemas.openxmlformats.org/officeDocument/2006/relationships/hyperlink" Target="https://leetcode.com/problems/01-matrix/" TargetMode="External"/><Relationship Id="rId404" Type="http://schemas.openxmlformats.org/officeDocument/2006/relationships/hyperlink" Target="https://leetcode.com/problems/median-employee-salary/" TargetMode="External"/><Relationship Id="rId611" Type="http://schemas.openxmlformats.org/officeDocument/2006/relationships/hyperlink" Target="https://leetcode.com/problems/missing-number-in-arithmetic-progression/" TargetMode="External"/><Relationship Id="rId250" Type="http://schemas.openxmlformats.org/officeDocument/2006/relationships/hyperlink" Target="https://leetcode.com/problems/walls-and-gates/" TargetMode="External"/><Relationship Id="rId488" Type="http://schemas.openxmlformats.org/officeDocument/2006/relationships/hyperlink" Target="https://leetcode.com/problems/domino-and-tromino-tiling/" TargetMode="External"/><Relationship Id="rId695" Type="http://schemas.openxmlformats.org/officeDocument/2006/relationships/hyperlink" Target="https://leetcode.com/problems/minimum-operations-to-reduce-x-to-zero/" TargetMode="External"/><Relationship Id="rId709" Type="http://schemas.openxmlformats.org/officeDocument/2006/relationships/hyperlink" Target="https://leetcode.com/problems/largest-submatrix-with-rearrangements/" TargetMode="External"/><Relationship Id="rId45" Type="http://schemas.openxmlformats.org/officeDocument/2006/relationships/hyperlink" Target="https://leetcode.com/problems/jump-game-ii/" TargetMode="External"/><Relationship Id="rId110" Type="http://schemas.openxmlformats.org/officeDocument/2006/relationships/hyperlink" Target="https://leetcode.com/problems/minimum-depth-of-binary-tree/" TargetMode="External"/><Relationship Id="rId348" Type="http://schemas.openxmlformats.org/officeDocument/2006/relationships/hyperlink" Target="https://leetcode.com/problems/find-all-numbers-disappeared-in-an-array/" TargetMode="External"/><Relationship Id="rId555" Type="http://schemas.openxmlformats.org/officeDocument/2006/relationships/hyperlink" Target="https://leetcode.com/problems/squares-of-a-sorted-array/" TargetMode="External"/><Relationship Id="rId762" Type="http://schemas.openxmlformats.org/officeDocument/2006/relationships/hyperlink" Target="https://leetcode.com/problems/rearrange-array-elements-by-sign/" TargetMode="External"/><Relationship Id="rId194" Type="http://schemas.openxmlformats.org/officeDocument/2006/relationships/hyperlink" Target="https://leetcode.com/problems/implement-trie-prefix-tree/" TargetMode="External"/><Relationship Id="rId208" Type="http://schemas.openxmlformats.org/officeDocument/2006/relationships/hyperlink" Target="https://leetcode.com/problems/basic-calculator/" TargetMode="External"/><Relationship Id="rId415" Type="http://schemas.openxmlformats.org/officeDocument/2006/relationships/hyperlink" Target="https://leetcode.com/problems/task-scheduler/" TargetMode="External"/><Relationship Id="rId622" Type="http://schemas.openxmlformats.org/officeDocument/2006/relationships/hyperlink" Target="https://leetcode.com/problems/search-suggestions-system/" TargetMode="External"/><Relationship Id="rId261" Type="http://schemas.openxmlformats.org/officeDocument/2006/relationships/hyperlink" Target="https://leetcode.com/problems/range-sum-query-immutable/" TargetMode="External"/><Relationship Id="rId499" Type="http://schemas.openxmlformats.org/officeDocument/2006/relationships/hyperlink" Target="https://leetcode.com/problems/goat-latin/" TargetMode="External"/><Relationship Id="rId56" Type="http://schemas.openxmlformats.org/officeDocument/2006/relationships/hyperlink" Target="https://leetcode.com/problems/merge-intervals/" TargetMode="External"/><Relationship Id="rId359" Type="http://schemas.openxmlformats.org/officeDocument/2006/relationships/hyperlink" Target="https://leetcode.com/problems/matchsticks-to-square/" TargetMode="External"/><Relationship Id="rId566" Type="http://schemas.openxmlformats.org/officeDocument/2006/relationships/hyperlink" Target="https://leetcode.com/problems/number-of-squareful-arrays/" TargetMode="External"/><Relationship Id="rId773" Type="http://schemas.openxmlformats.org/officeDocument/2006/relationships/hyperlink" Target="https://leetcode.com/problems/make-array-zero-by-subtracting-equal-amounts/" TargetMode="External"/><Relationship Id="rId121" Type="http://schemas.openxmlformats.org/officeDocument/2006/relationships/hyperlink" Target="https://leetcode.com/problems/best-time-to-buy-and-sell-stock-iii/" TargetMode="External"/><Relationship Id="rId219" Type="http://schemas.openxmlformats.org/officeDocument/2006/relationships/hyperlink" Target="https://leetcode.com/problems/lowest-common-ancestor-of-a-binary-tree/" TargetMode="External"/><Relationship Id="rId426" Type="http://schemas.openxmlformats.org/officeDocument/2006/relationships/hyperlink" Target="https://leetcode.com/problems/palindromic-substrings/" TargetMode="External"/><Relationship Id="rId633" Type="http://schemas.openxmlformats.org/officeDocument/2006/relationships/hyperlink" Target="https://leetcode.com/problems/minimum-number-of-taps-to-open-to-water-a-garden/" TargetMode="External"/><Relationship Id="rId840" Type="http://schemas.openxmlformats.org/officeDocument/2006/relationships/hyperlink" Target="https://leetcode.com/problems/count-partitions-with-even-sum-difference/" TargetMode="External"/><Relationship Id="rId67" Type="http://schemas.openxmlformats.org/officeDocument/2006/relationships/hyperlink" Target="https://leetcode.com/problems/add-binary/" TargetMode="External"/><Relationship Id="rId272" Type="http://schemas.openxmlformats.org/officeDocument/2006/relationships/hyperlink" Target="https://leetcode.com/problems/remove-duplicate-letters/" TargetMode="External"/><Relationship Id="rId577" Type="http://schemas.openxmlformats.org/officeDocument/2006/relationships/hyperlink" Target="https://leetcode.com/problems/stream-of-characters/" TargetMode="External"/><Relationship Id="rId700" Type="http://schemas.openxmlformats.org/officeDocument/2006/relationships/hyperlink" Target="https://leetcode.com/problems/minimum-moves-to-make-array-complementary/" TargetMode="External"/><Relationship Id="rId132" Type="http://schemas.openxmlformats.org/officeDocument/2006/relationships/hyperlink" Target="https://leetcode.com/problems/candy/" TargetMode="External"/><Relationship Id="rId784" Type="http://schemas.openxmlformats.org/officeDocument/2006/relationships/hyperlink" Target="https://leetcode.com/problems/maximum-sum-of-distinct-subarrays-with-length-k/" TargetMode="External"/><Relationship Id="rId437" Type="http://schemas.openxmlformats.org/officeDocument/2006/relationships/hyperlink" Target="https://leetcode.com/problems/redundant-connection/" TargetMode="External"/><Relationship Id="rId644" Type="http://schemas.openxmlformats.org/officeDocument/2006/relationships/hyperlink" Target="https://leetcode.com/problems/time-needed-to-inform-all-employees/" TargetMode="External"/><Relationship Id="rId851" Type="http://schemas.openxmlformats.org/officeDocument/2006/relationships/hyperlink" Target="https://leetcode.com/problems/minimum-jumps-to-reach-end-via-prime-teleportation/" TargetMode="External"/><Relationship Id="rId283" Type="http://schemas.openxmlformats.org/officeDocument/2006/relationships/hyperlink" Target="https://leetcode.com/problems/reconstruct-itinerary/" TargetMode="External"/><Relationship Id="rId490" Type="http://schemas.openxmlformats.org/officeDocument/2006/relationships/hyperlink" Target="https://leetcode.com/problems/number-of-matching-subsequences/" TargetMode="External"/><Relationship Id="rId504" Type="http://schemas.openxmlformats.org/officeDocument/2006/relationships/hyperlink" Target="https://leetcode.com/problems/magic-squares-in-grid/" TargetMode="External"/><Relationship Id="rId711" Type="http://schemas.openxmlformats.org/officeDocument/2006/relationships/hyperlink" Target="https://leetcode.com/problems/shortest-path-to-get-food/" TargetMode="External"/><Relationship Id="rId78" Type="http://schemas.openxmlformats.org/officeDocument/2006/relationships/hyperlink" Target="https://leetcode.com/problems/subsets/" TargetMode="External"/><Relationship Id="rId143" Type="http://schemas.openxmlformats.org/officeDocument/2006/relationships/hyperlink" Target="https://leetcode.com/problems/max-points-on-a-line/" TargetMode="External"/><Relationship Id="rId350" Type="http://schemas.openxmlformats.org/officeDocument/2006/relationships/hyperlink" Target="https://leetcode.com/problems/delete-node-in-a-bst/" TargetMode="External"/><Relationship Id="rId588" Type="http://schemas.openxmlformats.org/officeDocument/2006/relationships/hyperlink" Target="https://leetcode.com/problems/the-earliest-moment-when-everyone-become-friends/" TargetMode="External"/><Relationship Id="rId795" Type="http://schemas.openxmlformats.org/officeDocument/2006/relationships/hyperlink" Target="https://leetcode.com/problems/array-prototype-last/" TargetMode="External"/><Relationship Id="rId809" Type="http://schemas.openxmlformats.org/officeDocument/2006/relationships/hyperlink" Target="https://leetcode.com/problems/happy-students/" TargetMode="External"/><Relationship Id="rId9" Type="http://schemas.openxmlformats.org/officeDocument/2006/relationships/hyperlink" Target="https://leetcode.com/problems/palindrome-number/" TargetMode="External"/><Relationship Id="rId210" Type="http://schemas.openxmlformats.org/officeDocument/2006/relationships/hyperlink" Target="https://leetcode.com/problems/invert-binary-tree/" TargetMode="External"/><Relationship Id="rId448" Type="http://schemas.openxmlformats.org/officeDocument/2006/relationships/hyperlink" Target="https://leetcode.com/problems/binary-search/" TargetMode="External"/><Relationship Id="rId655" Type="http://schemas.openxmlformats.org/officeDocument/2006/relationships/hyperlink" Target="https://leetcode.com/problems/first-unique-number/" TargetMode="External"/><Relationship Id="rId862" Type="http://schemas.openxmlformats.org/officeDocument/2006/relationships/hyperlink" Target="https://leetcode.com/problems/longest-balanced-substring-ii/" TargetMode="External"/><Relationship Id="rId294" Type="http://schemas.openxmlformats.org/officeDocument/2006/relationships/hyperlink" Target="https://leetcode.com/problems/moving-average-from-data-stream/" TargetMode="External"/><Relationship Id="rId308" Type="http://schemas.openxmlformats.org/officeDocument/2006/relationships/hyperlink" Target="https://leetcode.com/problems/combination-sum-iv/" TargetMode="External"/><Relationship Id="rId515" Type="http://schemas.openxmlformats.org/officeDocument/2006/relationships/hyperlink" Target="https://leetcode.com/problems/smallest-subtree-with-all-the-deepest-nodes/" TargetMode="External"/><Relationship Id="rId722" Type="http://schemas.openxmlformats.org/officeDocument/2006/relationships/hyperlink" Target="https://leetcode.com/problems/sign-of-the-product-of-an-array/" TargetMode="External"/><Relationship Id="rId89" Type="http://schemas.openxmlformats.org/officeDocument/2006/relationships/hyperlink" Target="https://leetcode.com/problems/subsets-ii/" TargetMode="External"/><Relationship Id="rId154" Type="http://schemas.openxmlformats.org/officeDocument/2006/relationships/hyperlink" Target="https://leetcode.com/problems/find-peak-element/" TargetMode="External"/><Relationship Id="rId361" Type="http://schemas.openxmlformats.org/officeDocument/2006/relationships/hyperlink" Target="https://leetcode.com/problems/total-hamming-distance/" TargetMode="External"/><Relationship Id="rId599" Type="http://schemas.openxmlformats.org/officeDocument/2006/relationships/hyperlink" Target="https://leetcode.com/problems/remove-zero-sum-consecutive-nodes-from-linked-list/" TargetMode="External"/><Relationship Id="rId459" Type="http://schemas.openxmlformats.org/officeDocument/2006/relationships/hyperlink" Target="https://leetcode.com/problems/candy-crush/" TargetMode="External"/><Relationship Id="rId666" Type="http://schemas.openxmlformats.org/officeDocument/2006/relationships/hyperlink" Target="https://leetcode.com/problems/minimum-number-of-days-to-make-m-bouquets/" TargetMode="External"/><Relationship Id="rId873" Type="http://schemas.openxmlformats.org/officeDocument/2006/relationships/hyperlink" Target="https://leetcode.com/problems/maximum-bitwise-and-after-increment-operations/" TargetMode="External"/><Relationship Id="rId16" Type="http://schemas.openxmlformats.org/officeDocument/2006/relationships/hyperlink" Target="https://leetcode.com/problems/3sum-closest/" TargetMode="External"/><Relationship Id="rId221" Type="http://schemas.openxmlformats.org/officeDocument/2006/relationships/hyperlink" Target="https://leetcode.com/problems/product-of-array-except-self/" TargetMode="External"/><Relationship Id="rId319" Type="http://schemas.openxmlformats.org/officeDocument/2006/relationships/hyperlink" Target="https://leetcode.com/problems/decode-string/" TargetMode="External"/><Relationship Id="rId526" Type="http://schemas.openxmlformats.org/officeDocument/2006/relationships/hyperlink" Target="https://leetcode.com/problems/fair-candy-swap/" TargetMode="External"/><Relationship Id="rId733" Type="http://schemas.openxmlformats.org/officeDocument/2006/relationships/hyperlink" Target="https://leetcode.com/problems/minimum-number-of-flips-to-make-the-binary-string-alternating/" TargetMode="External"/><Relationship Id="rId165" Type="http://schemas.openxmlformats.org/officeDocument/2006/relationships/hyperlink" Target="https://leetcode.com/problems/combine-two-tables/" TargetMode="External"/><Relationship Id="rId372" Type="http://schemas.openxmlformats.org/officeDocument/2006/relationships/hyperlink" Target="https://leetcode.com/problems/ipo/" TargetMode="External"/><Relationship Id="rId677" Type="http://schemas.openxmlformats.org/officeDocument/2006/relationships/hyperlink" Target="https://leetcode.com/problems/dot-product-of-two-sparse-vectors/" TargetMode="External"/><Relationship Id="rId800" Type="http://schemas.openxmlformats.org/officeDocument/2006/relationships/hyperlink" Target="https://leetcode.com/problems/number-of-distinct-colors-among-the-balls/" TargetMode="External"/><Relationship Id="rId232" Type="http://schemas.openxmlformats.org/officeDocument/2006/relationships/hyperlink" Target="https://leetcode.com/problems/binary-tree-paths/" TargetMode="External"/><Relationship Id="rId27" Type="http://schemas.openxmlformats.org/officeDocument/2006/relationships/hyperlink" Target="https://leetcode.com/problems/remove-element/" TargetMode="External"/><Relationship Id="rId537" Type="http://schemas.openxmlformats.org/officeDocument/2006/relationships/hyperlink" Target="https://leetcode.com/problems/minimum-add-to-make-parentheses-valid/" TargetMode="External"/><Relationship Id="rId744" Type="http://schemas.openxmlformats.org/officeDocument/2006/relationships/hyperlink" Target="https://leetcode.com/problems/number-of-visible-people-in-a-queue/" TargetMode="External"/><Relationship Id="rId80" Type="http://schemas.openxmlformats.org/officeDocument/2006/relationships/hyperlink" Target="https://leetcode.com/problems/remove-duplicates-from-sorted-array-ii/" TargetMode="External"/><Relationship Id="rId176" Type="http://schemas.openxmlformats.org/officeDocument/2006/relationships/hyperlink" Target="https://leetcode.com/problems/reverse-words-in-a-string-ii/" TargetMode="External"/><Relationship Id="rId383" Type="http://schemas.openxmlformats.org/officeDocument/2006/relationships/hyperlink" Target="https://leetcode.com/problems/random-pick-with-weight/" TargetMode="External"/><Relationship Id="rId590" Type="http://schemas.openxmlformats.org/officeDocument/2006/relationships/hyperlink" Target="https://leetcode.com/problems/parallel-courses/" TargetMode="External"/><Relationship Id="rId604" Type="http://schemas.openxmlformats.org/officeDocument/2006/relationships/hyperlink" Target="https://leetcode.com/problems/unique-number-of-occurrences/" TargetMode="External"/><Relationship Id="rId811" Type="http://schemas.openxmlformats.org/officeDocument/2006/relationships/hyperlink" Target="https://leetcode.com/problems/construct-product-matrix/" TargetMode="External"/><Relationship Id="rId243" Type="http://schemas.openxmlformats.org/officeDocument/2006/relationships/hyperlink" Target="https://leetcode.com/problems/find-the-celebrity/" TargetMode="External"/><Relationship Id="rId450" Type="http://schemas.openxmlformats.org/officeDocument/2006/relationships/hyperlink" Target="https://leetcode.com/problems/design-linked-list/" TargetMode="External"/><Relationship Id="rId688" Type="http://schemas.openxmlformats.org/officeDocument/2006/relationships/hyperlink" Target="https://leetcode.com/problems/path-with-minimum-effort/" TargetMode="External"/><Relationship Id="rId38" Type="http://schemas.openxmlformats.org/officeDocument/2006/relationships/hyperlink" Target="https://leetcode.com/problems/count-and-say/" TargetMode="External"/><Relationship Id="rId103" Type="http://schemas.openxmlformats.org/officeDocument/2006/relationships/hyperlink" Target="https://leetcode.com/problems/maximum-depth-of-binary-tree/" TargetMode="External"/><Relationship Id="rId310" Type="http://schemas.openxmlformats.org/officeDocument/2006/relationships/hyperlink" Target="https://leetcode.com/problems/insert-delete-getrandom-o1/" TargetMode="External"/><Relationship Id="rId548" Type="http://schemas.openxmlformats.org/officeDocument/2006/relationships/hyperlink" Target="https://leetcode.com/problems/delete-columns-to-make-sorted-ii/" TargetMode="External"/><Relationship Id="rId755" Type="http://schemas.openxmlformats.org/officeDocument/2006/relationships/hyperlink" Target="https://leetcode.com/problems/maximum-path-quality-of-a-graph/" TargetMode="External"/><Relationship Id="rId91" Type="http://schemas.openxmlformats.org/officeDocument/2006/relationships/hyperlink" Target="https://leetcode.com/problems/reverse-linked-list-ii/" TargetMode="External"/><Relationship Id="rId187" Type="http://schemas.openxmlformats.org/officeDocument/2006/relationships/hyperlink" Target="https://leetcode.com/problems/number-of-islands/" TargetMode="External"/><Relationship Id="rId394" Type="http://schemas.openxmlformats.org/officeDocument/2006/relationships/hyperlink" Target="https://leetcode.com/problems/binary-tree-longest-consecutive-sequence-ii/" TargetMode="External"/><Relationship Id="rId408" Type="http://schemas.openxmlformats.org/officeDocument/2006/relationships/hyperlink" Target="https://leetcode.com/problems/find-customer-referee/" TargetMode="External"/><Relationship Id="rId615" Type="http://schemas.openxmlformats.org/officeDocument/2006/relationships/hyperlink" Target="https://leetcode.com/problems/maximum-length-of-a-concatenated-string-with-unique-characters/" TargetMode="External"/><Relationship Id="rId822" Type="http://schemas.openxmlformats.org/officeDocument/2006/relationships/hyperlink" Target="https://leetcode.com/problems/find-the-grid-of-region-average/" TargetMode="External"/><Relationship Id="rId254" Type="http://schemas.openxmlformats.org/officeDocument/2006/relationships/hyperlink" Target="https://leetcode.com/problems/word-pattern-ii/" TargetMode="External"/><Relationship Id="rId699" Type="http://schemas.openxmlformats.org/officeDocument/2006/relationships/hyperlink" Target="https://leetcode.com/problems/fix-names-in-a-table/" TargetMode="External"/><Relationship Id="rId49" Type="http://schemas.openxmlformats.org/officeDocument/2006/relationships/hyperlink" Target="https://leetcode.com/problems/group-anagrams/" TargetMode="External"/><Relationship Id="rId114" Type="http://schemas.openxmlformats.org/officeDocument/2006/relationships/hyperlink" Target="https://leetcode.com/problems/distinct-subsequences/" TargetMode="External"/><Relationship Id="rId461" Type="http://schemas.openxmlformats.org/officeDocument/2006/relationships/hyperlink" Target="https://leetcode.com/problems/split-linked-list-in-parts/" TargetMode="External"/><Relationship Id="rId559" Type="http://schemas.openxmlformats.org/officeDocument/2006/relationships/hyperlink" Target="https://leetcode.com/problems/minimum-cost-for-tickets/" TargetMode="External"/><Relationship Id="rId766" Type="http://schemas.openxmlformats.org/officeDocument/2006/relationships/hyperlink" Target="https://leetcode.com/problems/add-two-integers/" TargetMode="External"/><Relationship Id="rId198" Type="http://schemas.openxmlformats.org/officeDocument/2006/relationships/hyperlink" Target="https://leetcode.com/problems/word-search-ii/" TargetMode="External"/><Relationship Id="rId321" Type="http://schemas.openxmlformats.org/officeDocument/2006/relationships/hyperlink" Target="https://leetcode.com/problems/rotate-function/" TargetMode="External"/><Relationship Id="rId419" Type="http://schemas.openxmlformats.org/officeDocument/2006/relationships/hyperlink" Target="https://leetcode.com/problems/smallest-range-covering-elements-from-k-lists/" TargetMode="External"/><Relationship Id="rId626" Type="http://schemas.openxmlformats.org/officeDocument/2006/relationships/hyperlink" Target="https://leetcode.com/problems/find-the-smallest-divisor-given-a-threshold/" TargetMode="External"/><Relationship Id="rId833" Type="http://schemas.openxmlformats.org/officeDocument/2006/relationships/hyperlink" Target="https://leetcode.com/problems/construct-the-minimum-bitwise-array-i/" TargetMode="External"/><Relationship Id="rId265" Type="http://schemas.openxmlformats.org/officeDocument/2006/relationships/hyperlink" Target="https://leetcode.com/problems/best-time-to-buy-and-sell-stock-with-cooldown/" TargetMode="External"/><Relationship Id="rId472" Type="http://schemas.openxmlformats.org/officeDocument/2006/relationships/hyperlink" Target="https://leetcode.com/problems/min-cost-climbing-stairs/" TargetMode="External"/><Relationship Id="rId125" Type="http://schemas.openxmlformats.org/officeDocument/2006/relationships/hyperlink" Target="https://leetcode.com/problems/word-ladder/" TargetMode="External"/><Relationship Id="rId332" Type="http://schemas.openxmlformats.org/officeDocument/2006/relationships/hyperlink" Target="https://leetcode.com/problems/add-strings/" TargetMode="External"/><Relationship Id="rId777" Type="http://schemas.openxmlformats.org/officeDocument/2006/relationships/hyperlink" Target="https://leetcode.com/problems/strictly-palindromic-number/" TargetMode="External"/><Relationship Id="rId637" Type="http://schemas.openxmlformats.org/officeDocument/2006/relationships/hyperlink" Target="https://leetcode.com/problems/angle-between-hands-of-a-clock/" TargetMode="External"/><Relationship Id="rId844" Type="http://schemas.openxmlformats.org/officeDocument/2006/relationships/hyperlink" Target="https://leetcode.com/problems/maximum-sum-with-at-most-k-elements/" TargetMode="External"/><Relationship Id="rId276" Type="http://schemas.openxmlformats.org/officeDocument/2006/relationships/hyperlink" Target="https://leetcode.com/problems/number-of-connected-components-in-an-undirected-graph/" TargetMode="External"/><Relationship Id="rId483" Type="http://schemas.openxmlformats.org/officeDocument/2006/relationships/hyperlink" Target="https://leetcode.com/problems/swap-adjacent-in-lr-string/" TargetMode="External"/><Relationship Id="rId690" Type="http://schemas.openxmlformats.org/officeDocument/2006/relationships/hyperlink" Target="https://leetcode.com/problems/furthest-building-you-can-reach/" TargetMode="External"/><Relationship Id="rId704" Type="http://schemas.openxmlformats.org/officeDocument/2006/relationships/hyperlink" Target="https://leetcode.com/problems/partitioning-into-minimum-number-of-deci-binary-numbers/" TargetMode="External"/><Relationship Id="rId40" Type="http://schemas.openxmlformats.org/officeDocument/2006/relationships/hyperlink" Target="https://leetcode.com/problems/combination-sum-ii/" TargetMode="External"/><Relationship Id="rId136" Type="http://schemas.openxmlformats.org/officeDocument/2006/relationships/hyperlink" Target="https://leetcode.com/problems/word-break/" TargetMode="External"/><Relationship Id="rId343" Type="http://schemas.openxmlformats.org/officeDocument/2006/relationships/hyperlink" Target="https://leetcode.com/problems/find-all-anagrams-in-a-string/" TargetMode="External"/><Relationship Id="rId550" Type="http://schemas.openxmlformats.org/officeDocument/2006/relationships/hyperlink" Target="https://leetcode.com/problems/n-repeated-element-in-size-2n-array/" TargetMode="External"/><Relationship Id="rId788" Type="http://schemas.openxmlformats.org/officeDocument/2006/relationships/hyperlink" Target="https://leetcode.com/problems/design-memory-allocator/" TargetMode="External"/><Relationship Id="rId203" Type="http://schemas.openxmlformats.org/officeDocument/2006/relationships/hyperlink" Target="https://leetcode.com/problems/contains-duplicate/" TargetMode="External"/><Relationship Id="rId648" Type="http://schemas.openxmlformats.org/officeDocument/2006/relationships/hyperlink" Target="https://leetcode.com/problems/balance-a-binary-search-tree/" TargetMode="External"/><Relationship Id="rId855" Type="http://schemas.openxmlformats.org/officeDocument/2006/relationships/hyperlink" Target="https://leetcode.com/problems/minimum-cost-path-with-teleportations/" TargetMode="External"/><Relationship Id="rId287" Type="http://schemas.openxmlformats.org/officeDocument/2006/relationships/hyperlink" Target="https://leetcode.com/problems/counting-bits/" TargetMode="External"/><Relationship Id="rId410" Type="http://schemas.openxmlformats.org/officeDocument/2006/relationships/hyperlink" Target="https://leetcode.com/problems/big-countries/" TargetMode="External"/><Relationship Id="rId494" Type="http://schemas.openxmlformats.org/officeDocument/2006/relationships/hyperlink" Target="https://leetcode.com/problems/find-eventual-safe-states/" TargetMode="External"/><Relationship Id="rId508" Type="http://schemas.openxmlformats.org/officeDocument/2006/relationships/hyperlink" Target="https://leetcode.com/problems/hand-of-straights/" TargetMode="External"/><Relationship Id="rId715" Type="http://schemas.openxmlformats.org/officeDocument/2006/relationships/hyperlink" Target="https://leetcode.com/problems/minimum-changes-to-make-alternating-binary-string/" TargetMode="External"/><Relationship Id="rId147" Type="http://schemas.openxmlformats.org/officeDocument/2006/relationships/hyperlink" Target="https://leetcode.com/problems/find-minimum-in-rotated-sorted-array/" TargetMode="External"/><Relationship Id="rId354" Type="http://schemas.openxmlformats.org/officeDocument/2006/relationships/hyperlink" Target="https://leetcode.com/problems/lfu-cache/" TargetMode="External"/><Relationship Id="rId799" Type="http://schemas.openxmlformats.org/officeDocument/2006/relationships/hyperlink" Target="https://leetcode.com/problems/create-hello-world-function/" TargetMode="External"/><Relationship Id="rId51" Type="http://schemas.openxmlformats.org/officeDocument/2006/relationships/hyperlink" Target="https://leetcode.com/problems/n-queens/" TargetMode="External"/><Relationship Id="rId561" Type="http://schemas.openxmlformats.org/officeDocument/2006/relationships/hyperlink" Target="https://leetcode.com/problems/vertical-order-traversal-of-a-binary-tree/" TargetMode="External"/><Relationship Id="rId659" Type="http://schemas.openxmlformats.org/officeDocument/2006/relationships/hyperlink" Target="https://leetcode.com/problems/max-dot-product-of-two-subsequences/" TargetMode="External"/><Relationship Id="rId866" Type="http://schemas.openxmlformats.org/officeDocument/2006/relationships/hyperlink" Target="https://leetcode.com/problems/minimum-time-to-complete-all-deliveries/" TargetMode="External"/><Relationship Id="rId214" Type="http://schemas.openxmlformats.org/officeDocument/2006/relationships/hyperlink" Target="https://leetcode.com/problems/kth-smallest-element-in-a-bst/" TargetMode="External"/><Relationship Id="rId298" Type="http://schemas.openxmlformats.org/officeDocument/2006/relationships/hyperlink" Target="https://leetcode.com/problems/intersection-of-two-arrays-ii/" TargetMode="External"/><Relationship Id="rId421" Type="http://schemas.openxmlformats.org/officeDocument/2006/relationships/hyperlink" Target="https://leetcode.com/problems/design-log-storage-system/" TargetMode="External"/><Relationship Id="rId519" Type="http://schemas.openxmlformats.org/officeDocument/2006/relationships/hyperlink" Target="https://leetcode.com/problems/walking-robot-simulation/" TargetMode="External"/><Relationship Id="rId158" Type="http://schemas.openxmlformats.org/officeDocument/2006/relationships/hyperlink" Target="https://leetcode.com/problems/two-sum-ii-input-array-is-sorted/" TargetMode="External"/><Relationship Id="rId726" Type="http://schemas.openxmlformats.org/officeDocument/2006/relationships/hyperlink" Target="https://leetcode.com/problems/maximum-population-year/" TargetMode="External"/><Relationship Id="rId62" Type="http://schemas.openxmlformats.org/officeDocument/2006/relationships/hyperlink" Target="https://leetcode.com/problems/unique-paths/" TargetMode="External"/><Relationship Id="rId365" Type="http://schemas.openxmlformats.org/officeDocument/2006/relationships/hyperlink" Target="https://leetcode.com/problems/robot-room-cleaner/" TargetMode="External"/><Relationship Id="rId572" Type="http://schemas.openxmlformats.org/officeDocument/2006/relationships/hyperlink" Target="https://leetcode.com/problems/remove-outermost-parentheses/" TargetMode="External"/><Relationship Id="rId225" Type="http://schemas.openxmlformats.org/officeDocument/2006/relationships/hyperlink" Target="https://leetcode.com/problems/shortest-word-distance/" TargetMode="External"/><Relationship Id="rId432" Type="http://schemas.openxmlformats.org/officeDocument/2006/relationships/hyperlink" Target="https://leetcode.com/problems/maximum-width-of-binary-tree/" TargetMode="External"/><Relationship Id="rId877" Type="http://schemas.openxmlformats.org/officeDocument/2006/relationships/hyperlink" Target="https://leetcode.com/problems/longest-arithmetic-sequence-after-changing-at-most-one-element/" TargetMode="External"/><Relationship Id="rId737" Type="http://schemas.openxmlformats.org/officeDocument/2006/relationships/hyperlink" Target="https://leetcode.com/problems/largest-odd-number-in-string/" TargetMode="External"/><Relationship Id="rId73" Type="http://schemas.openxmlformats.org/officeDocument/2006/relationships/hyperlink" Target="https://leetcode.com/problems/set-matrix-zeroes/" TargetMode="External"/><Relationship Id="rId169" Type="http://schemas.openxmlformats.org/officeDocument/2006/relationships/hyperlink" Target="https://leetcode.com/problems/largest-number/" TargetMode="External"/><Relationship Id="rId376" Type="http://schemas.openxmlformats.org/officeDocument/2006/relationships/hyperlink" Target="https://leetcode.com/problems/fibonacci-number/" TargetMode="External"/><Relationship Id="rId583" Type="http://schemas.openxmlformats.org/officeDocument/2006/relationships/hyperlink" Target="https://leetcode.com/problems/product-sales-analysis-iii/" TargetMode="External"/><Relationship Id="rId790" Type="http://schemas.openxmlformats.org/officeDocument/2006/relationships/hyperlink" Target="https://leetcode.com/problems/rearranging-fruits/" TargetMode="External"/><Relationship Id="rId804" Type="http://schemas.openxmlformats.org/officeDocument/2006/relationships/hyperlink" Target="https://leetcode.com/problems/maximum-number-of-jumps-to-reach-the-last-index/" TargetMode="External"/><Relationship Id="rId4" Type="http://schemas.openxmlformats.org/officeDocument/2006/relationships/hyperlink" Target="https://leetcode.com/problems/median-of-two-sorted-arrays/" TargetMode="External"/><Relationship Id="rId236" Type="http://schemas.openxmlformats.org/officeDocument/2006/relationships/hyperlink" Target="https://leetcode.com/problems/palindrome-permutation/" TargetMode="External"/><Relationship Id="rId443" Type="http://schemas.openxmlformats.org/officeDocument/2006/relationships/hyperlink" Target="https://leetcode.com/problems/count-binary-substrings/" TargetMode="External"/><Relationship Id="rId650" Type="http://schemas.openxmlformats.org/officeDocument/2006/relationships/hyperlink" Target="https://leetcode.com/problems/construct-k-palindrome-strings/" TargetMode="External"/><Relationship Id="rId303" Type="http://schemas.openxmlformats.org/officeDocument/2006/relationships/hyperlink" Target="https://leetcode.com/problems/max-sum-of-rectangle-no-larger-than-k/" TargetMode="External"/><Relationship Id="rId748" Type="http://schemas.openxmlformats.org/officeDocument/2006/relationships/hyperlink" Target="https://leetcode.com/problems/find-unique-binary-string/" TargetMode="External"/><Relationship Id="rId84" Type="http://schemas.openxmlformats.org/officeDocument/2006/relationships/hyperlink" Target="https://leetcode.com/problems/largest-rectangle-in-histogram/" TargetMode="External"/><Relationship Id="rId387" Type="http://schemas.openxmlformats.org/officeDocument/2006/relationships/hyperlink" Target="https://leetcode.com/problems/encode-and-decode-tinyurl/" TargetMode="External"/><Relationship Id="rId510" Type="http://schemas.openxmlformats.org/officeDocument/2006/relationships/hyperlink" Target="https://leetcode.com/problems/peak-index-in-a-mountain-array/" TargetMode="External"/><Relationship Id="rId594" Type="http://schemas.openxmlformats.org/officeDocument/2006/relationships/hyperlink" Target="https://leetcode.com/problems/analyze-user-website-visit-pattern/" TargetMode="External"/><Relationship Id="rId608" Type="http://schemas.openxmlformats.org/officeDocument/2006/relationships/hyperlink" Target="https://leetcode.com/problems/valid-palindrome-iii/" TargetMode="External"/><Relationship Id="rId815" Type="http://schemas.openxmlformats.org/officeDocument/2006/relationships/hyperlink" Target="https://leetcode.com/problems/find-missing-and-repeated-values/" TargetMode="External"/><Relationship Id="rId247" Type="http://schemas.openxmlformats.org/officeDocument/2006/relationships/hyperlink" Target="https://leetcode.com/problems/move-zeroes/" TargetMode="External"/><Relationship Id="rId107" Type="http://schemas.openxmlformats.org/officeDocument/2006/relationships/hyperlink" Target="https://leetcode.com/problems/convert-sorted-array-to-binary-search-tree/" TargetMode="External"/><Relationship Id="rId454" Type="http://schemas.openxmlformats.org/officeDocument/2006/relationships/hyperlink" Target="https://leetcode.com/problems/subarray-product-less-than-k/" TargetMode="External"/><Relationship Id="rId661" Type="http://schemas.openxmlformats.org/officeDocument/2006/relationships/hyperlink" Target="https://leetcode.com/problems/course-schedule-iv/" TargetMode="External"/><Relationship Id="rId759" Type="http://schemas.openxmlformats.org/officeDocument/2006/relationships/hyperlink" Target="https://leetcode.com/problems/sum-of-subarray-ranges/" TargetMode="External"/><Relationship Id="rId11" Type="http://schemas.openxmlformats.org/officeDocument/2006/relationships/hyperlink" Target="https://leetcode.com/problems/container-with-most-water/" TargetMode="External"/><Relationship Id="rId314" Type="http://schemas.openxmlformats.org/officeDocument/2006/relationships/hyperlink" Target="https://leetcode.com/problems/first-unique-character-in-a-string/" TargetMode="External"/><Relationship Id="rId398" Type="http://schemas.openxmlformats.org/officeDocument/2006/relationships/hyperlink" Target="https://leetcode.com/problems/reverse-words-in-a-string-iii/" TargetMode="External"/><Relationship Id="rId521" Type="http://schemas.openxmlformats.org/officeDocument/2006/relationships/hyperlink" Target="https://leetcode.com/problems/middle-of-the-linked-list/" TargetMode="External"/><Relationship Id="rId619" Type="http://schemas.openxmlformats.org/officeDocument/2006/relationships/hyperlink" Target="https://leetcode.com/problems/average-selling-price/" TargetMode="External"/><Relationship Id="rId95" Type="http://schemas.openxmlformats.org/officeDocument/2006/relationships/hyperlink" Target="https://leetcode.com/problems/unique-binary-search-trees/" TargetMode="External"/><Relationship Id="rId160" Type="http://schemas.openxmlformats.org/officeDocument/2006/relationships/hyperlink" Target="https://leetcode.com/problems/majority-element/" TargetMode="External"/><Relationship Id="rId826" Type="http://schemas.openxmlformats.org/officeDocument/2006/relationships/hyperlink" Target="https://leetcode.com/problems/find-all-possible-stable-binary-arrays-i/" TargetMode="External"/><Relationship Id="rId258" Type="http://schemas.openxmlformats.org/officeDocument/2006/relationships/hyperlink" Target="https://leetcode.com/problems/bulls-and-cows/" TargetMode="External"/><Relationship Id="rId465" Type="http://schemas.openxmlformats.org/officeDocument/2006/relationships/hyperlink" Target="https://leetcode.com/problems/flood-fill/" TargetMode="External"/><Relationship Id="rId672" Type="http://schemas.openxmlformats.org/officeDocument/2006/relationships/hyperlink" Target="https://leetcode.com/problems/find-kth-bit-in-nth-binary-string/" TargetMode="External"/><Relationship Id="rId22" Type="http://schemas.openxmlformats.org/officeDocument/2006/relationships/hyperlink" Target="https://leetcode.com/problems/generate-parentheses/" TargetMode="External"/><Relationship Id="rId118" Type="http://schemas.openxmlformats.org/officeDocument/2006/relationships/hyperlink" Target="https://leetcode.com/problems/triangle/" TargetMode="External"/><Relationship Id="rId325" Type="http://schemas.openxmlformats.org/officeDocument/2006/relationships/hyperlink" Target="https://leetcode.com/problems/queue-reconstruction-by-height/" TargetMode="External"/><Relationship Id="rId532" Type="http://schemas.openxmlformats.org/officeDocument/2006/relationships/hyperlink" Target="https://leetcode.com/problems/sort-array-by-parity/" TargetMode="External"/><Relationship Id="rId171" Type="http://schemas.openxmlformats.org/officeDocument/2006/relationships/hyperlink" Target="https://leetcode.com/problems/employees-earning-more-than-their-managers/" TargetMode="External"/><Relationship Id="rId837" Type="http://schemas.openxmlformats.org/officeDocument/2006/relationships/hyperlink" Target="https://leetcode.com/problems/maximum-subarray-sum-with-length-divisible-by-k/" TargetMode="External"/><Relationship Id="rId269" Type="http://schemas.openxmlformats.org/officeDocument/2006/relationships/hyperlink" Target="https://leetcode.com/problems/super-ugly-number/" TargetMode="External"/><Relationship Id="rId476" Type="http://schemas.openxmlformats.org/officeDocument/2006/relationships/hyperlink" Target="https://leetcode.com/problems/special-binary-string/" TargetMode="External"/><Relationship Id="rId683" Type="http://schemas.openxmlformats.org/officeDocument/2006/relationships/hyperlink" Target="https://leetcode.com/problems/maximum-non-negative-product-in-a-matrix/" TargetMode="External"/><Relationship Id="rId33" Type="http://schemas.openxmlformats.org/officeDocument/2006/relationships/hyperlink" Target="https://leetcode.com/problems/search-in-rotated-sorted-array/" TargetMode="External"/><Relationship Id="rId129" Type="http://schemas.openxmlformats.org/officeDocument/2006/relationships/hyperlink" Target="https://leetcode.com/problems/palindrome-partitioning/" TargetMode="External"/><Relationship Id="rId336" Type="http://schemas.openxmlformats.org/officeDocument/2006/relationships/hyperlink" Target="https://leetcode.com/problems/longest-repeating-character-replacement/" TargetMode="External"/><Relationship Id="rId543" Type="http://schemas.openxmlformats.org/officeDocument/2006/relationships/hyperlink" Target="https://leetcode.com/problems/valid-mountain-array/" TargetMode="External"/><Relationship Id="rId182" Type="http://schemas.openxmlformats.org/officeDocument/2006/relationships/hyperlink" Target="https://leetcode.com/problems/valid-phone-numbers/" TargetMode="External"/><Relationship Id="rId403" Type="http://schemas.openxmlformats.org/officeDocument/2006/relationships/hyperlink" Target="https://leetcode.com/problems/permutation-in-string/" TargetMode="External"/><Relationship Id="rId750" Type="http://schemas.openxmlformats.org/officeDocument/2006/relationships/hyperlink" Target="https://leetcode.com/problems/number-of-pairs-of-strings-with-concatenation-equal-to-target/" TargetMode="External"/><Relationship Id="rId848" Type="http://schemas.openxmlformats.org/officeDocument/2006/relationships/hyperlink" Target="https://leetcode.com/problems/minimum-pair-removal-to-sort-array-ii/" TargetMode="External"/><Relationship Id="rId487" Type="http://schemas.openxmlformats.org/officeDocument/2006/relationships/hyperlink" Target="https://leetcode.com/problems/rotated-digits/" TargetMode="External"/><Relationship Id="rId610" Type="http://schemas.openxmlformats.org/officeDocument/2006/relationships/hyperlink" Target="https://leetcode.com/problems/split-a-string-in-balanced-strings/" TargetMode="External"/><Relationship Id="rId694" Type="http://schemas.openxmlformats.org/officeDocument/2006/relationships/hyperlink" Target="https://leetcode.com/problems/determine-if-two-strings-are-close/" TargetMode="External"/><Relationship Id="rId708" Type="http://schemas.openxmlformats.org/officeDocument/2006/relationships/hyperlink" Target="https://leetcode.com/problems/swapping-nodes-in-a-linked-list/" TargetMode="External"/><Relationship Id="rId347" Type="http://schemas.openxmlformats.org/officeDocument/2006/relationships/hyperlink" Target="https://leetcode.com/problems/add-two-numbers-ii/" TargetMode="External"/><Relationship Id="rId44" Type="http://schemas.openxmlformats.org/officeDocument/2006/relationships/hyperlink" Target="https://leetcode.com/problems/wildcard-matching/" TargetMode="External"/><Relationship Id="rId554" Type="http://schemas.openxmlformats.org/officeDocument/2006/relationships/hyperlink" Target="https://leetcode.com/problems/subarray-sums-divisible-by-k/" TargetMode="External"/><Relationship Id="rId761" Type="http://schemas.openxmlformats.org/officeDocument/2006/relationships/hyperlink" Target="https://leetcode.com/problems/maximum-running-time-of-n-computers/" TargetMode="External"/><Relationship Id="rId859" Type="http://schemas.openxmlformats.org/officeDocument/2006/relationships/hyperlink" Target="https://leetcode.com/problems/maximum-walls-destroyed-by-robots/" TargetMode="External"/><Relationship Id="rId193" Type="http://schemas.openxmlformats.org/officeDocument/2006/relationships/hyperlink" Target="https://leetcode.com/problems/course-schedule/" TargetMode="External"/><Relationship Id="rId207" Type="http://schemas.openxmlformats.org/officeDocument/2006/relationships/hyperlink" Target="https://leetcode.com/problems/rectangle-area/" TargetMode="External"/><Relationship Id="rId414" Type="http://schemas.openxmlformats.org/officeDocument/2006/relationships/hyperlink" Target="https://leetcode.com/problems/not-boring-movies/" TargetMode="External"/><Relationship Id="rId498" Type="http://schemas.openxmlformats.org/officeDocument/2006/relationships/hyperlink" Target="https://leetcode.com/problems/short-encoding-of-words/" TargetMode="External"/><Relationship Id="rId621" Type="http://schemas.openxmlformats.org/officeDocument/2006/relationships/hyperlink" Target="https://leetcode.com/problems/minimum-time-visiting-all-points/" TargetMode="External"/><Relationship Id="rId260" Type="http://schemas.openxmlformats.org/officeDocument/2006/relationships/hyperlink" Target="https://leetcode.com/problems/remove-invalid-parentheses/" TargetMode="External"/><Relationship Id="rId719" Type="http://schemas.openxmlformats.org/officeDocument/2006/relationships/hyperlink" Target="https://leetcode.com/problems/sum-of-beauty-of-all-substrings/" TargetMode="External"/><Relationship Id="rId55" Type="http://schemas.openxmlformats.org/officeDocument/2006/relationships/hyperlink" Target="https://leetcode.com/problems/jump-game/" TargetMode="External"/><Relationship Id="rId120" Type="http://schemas.openxmlformats.org/officeDocument/2006/relationships/hyperlink" Target="https://leetcode.com/problems/best-time-to-buy-and-sell-stock-ii/" TargetMode="External"/><Relationship Id="rId358" Type="http://schemas.openxmlformats.org/officeDocument/2006/relationships/hyperlink" Target="https://leetcode.com/problems/concatenated-words/" TargetMode="External"/><Relationship Id="rId565" Type="http://schemas.openxmlformats.org/officeDocument/2006/relationships/hyperlink" Target="https://leetcode.com/problems/rotting-oranges/" TargetMode="External"/><Relationship Id="rId772" Type="http://schemas.openxmlformats.org/officeDocument/2006/relationships/hyperlink" Target="https://leetcode.com/problems/first-letter-to-appear-twice/" TargetMode="External"/><Relationship Id="rId218" Type="http://schemas.openxmlformats.org/officeDocument/2006/relationships/hyperlink" Target="https://leetcode.com/problems/lowest-common-ancestor-of-a-binary-search-tree/" TargetMode="External"/><Relationship Id="rId425" Type="http://schemas.openxmlformats.org/officeDocument/2006/relationships/hyperlink" Target="https://leetcode.com/problems/set-mismatch/" TargetMode="External"/><Relationship Id="rId632" Type="http://schemas.openxmlformats.org/officeDocument/2006/relationships/hyperlink" Target="https://leetcode.com/problems/number-of-operations-to-make-network-connected/" TargetMode="External"/><Relationship Id="rId271" Type="http://schemas.openxmlformats.org/officeDocument/2006/relationships/hyperlink" Target="https://leetcode.com/problems/count-of-smaller-numbers-after-self/" TargetMode="External"/><Relationship Id="rId66" Type="http://schemas.openxmlformats.org/officeDocument/2006/relationships/hyperlink" Target="https://leetcode.com/problems/plus-one/" TargetMode="External"/><Relationship Id="rId131" Type="http://schemas.openxmlformats.org/officeDocument/2006/relationships/hyperlink" Target="https://leetcode.com/problems/gas-station/" TargetMode="External"/><Relationship Id="rId369" Type="http://schemas.openxmlformats.org/officeDocument/2006/relationships/hyperlink" Target="https://leetcode.com/problems/next-greater-element-i/" TargetMode="External"/><Relationship Id="rId576" Type="http://schemas.openxmlformats.org/officeDocument/2006/relationships/hyperlink" Target="https://leetcode.com/problems/two-city-scheduling/" TargetMode="External"/><Relationship Id="rId783" Type="http://schemas.openxmlformats.org/officeDocument/2006/relationships/hyperlink" Target="https://leetcode.com/problems/minimum-cost-to-make-array-equal/" TargetMode="External"/><Relationship Id="rId229" Type="http://schemas.openxmlformats.org/officeDocument/2006/relationships/hyperlink" Target="https://leetcode.com/problems/meeting-rooms-ii/" TargetMode="External"/><Relationship Id="rId436" Type="http://schemas.openxmlformats.org/officeDocument/2006/relationships/hyperlink" Target="https://leetcode.com/problems/baseball-game/" TargetMode="External"/><Relationship Id="rId643" Type="http://schemas.openxmlformats.org/officeDocument/2006/relationships/hyperlink" Target="https://leetcode.com/problems/maximum-sum-bst-in-binary-tree/" TargetMode="External"/><Relationship Id="rId850" Type="http://schemas.openxmlformats.org/officeDocument/2006/relationships/hyperlink" Target="https://leetcode.com/problems/maximize-spanning-tree-stability-with-upgrades/" TargetMode="External"/><Relationship Id="rId77" Type="http://schemas.openxmlformats.org/officeDocument/2006/relationships/hyperlink" Target="https://leetcode.com/problems/combinations/" TargetMode="External"/><Relationship Id="rId282" Type="http://schemas.openxmlformats.org/officeDocument/2006/relationships/hyperlink" Target="https://leetcode.com/problems/patching-array/" TargetMode="External"/><Relationship Id="rId503" Type="http://schemas.openxmlformats.org/officeDocument/2006/relationships/hyperlink" Target="https://leetcode.com/problems/similar-string-groups/" TargetMode="External"/><Relationship Id="rId587" Type="http://schemas.openxmlformats.org/officeDocument/2006/relationships/hyperlink" Target="https://leetcode.com/problems/car-pooling/" TargetMode="External"/><Relationship Id="rId710" Type="http://schemas.openxmlformats.org/officeDocument/2006/relationships/hyperlink" Target="https://leetcode.com/problems/find-followers-count/" TargetMode="External"/><Relationship Id="rId808" Type="http://schemas.openxmlformats.org/officeDocument/2006/relationships/hyperlink" Target="https://leetcode.com/problems/minimum-edge-reversals-so-every-node-is-reachable/" TargetMode="External"/><Relationship Id="rId8" Type="http://schemas.openxmlformats.org/officeDocument/2006/relationships/hyperlink" Target="https://leetcode.com/problems/string-to-integer-atoi/" TargetMode="External"/><Relationship Id="rId142" Type="http://schemas.openxmlformats.org/officeDocument/2006/relationships/hyperlink" Target="https://leetcode.com/problems/sort-list/" TargetMode="External"/><Relationship Id="rId447" Type="http://schemas.openxmlformats.org/officeDocument/2006/relationships/hyperlink" Target="https://leetcode.com/problems/kth-largest-element-in-a-stream/" TargetMode="External"/><Relationship Id="rId794" Type="http://schemas.openxmlformats.org/officeDocument/2006/relationships/hyperlink" Target="https://leetcode.com/problems/sum-of-distances/" TargetMode="External"/><Relationship Id="rId654" Type="http://schemas.openxmlformats.org/officeDocument/2006/relationships/hyperlink" Target="https://leetcode.com/problems/diagonal-traverse-ii/" TargetMode="External"/><Relationship Id="rId861" Type="http://schemas.openxmlformats.org/officeDocument/2006/relationships/hyperlink" Target="https://leetcode.com/problems/longest-balanced-substring-i/" TargetMode="External"/><Relationship Id="rId293" Type="http://schemas.openxmlformats.org/officeDocument/2006/relationships/hyperlink" Target="https://leetcode.com/problems/reverse-vowels-of-a-string/" TargetMode="External"/><Relationship Id="rId307" Type="http://schemas.openxmlformats.org/officeDocument/2006/relationships/hyperlink" Target="https://leetcode.com/problems/find-k-pairs-with-smallest-sums/" TargetMode="External"/><Relationship Id="rId514" Type="http://schemas.openxmlformats.org/officeDocument/2006/relationships/hyperlink" Target="https://leetcode.com/problems/all-nodes-distance-k-in-binary-tree/" TargetMode="External"/><Relationship Id="rId721" Type="http://schemas.openxmlformats.org/officeDocument/2006/relationships/hyperlink" Target="https://leetcode.com/problems/find-center-of-star-graph/" TargetMode="External"/><Relationship Id="rId88" Type="http://schemas.openxmlformats.org/officeDocument/2006/relationships/hyperlink" Target="https://leetcode.com/problems/gray-code/" TargetMode="External"/><Relationship Id="rId153" Type="http://schemas.openxmlformats.org/officeDocument/2006/relationships/hyperlink" Target="https://leetcode.com/problems/one-edit-distance/" TargetMode="External"/><Relationship Id="rId360" Type="http://schemas.openxmlformats.org/officeDocument/2006/relationships/hyperlink" Target="https://leetcode.com/problems/ones-and-zeroes/" TargetMode="External"/><Relationship Id="rId598" Type="http://schemas.openxmlformats.org/officeDocument/2006/relationships/hyperlink" Target="https://leetcode.com/problems/optimize-water-distribution-in-a-village/" TargetMode="External"/><Relationship Id="rId819" Type="http://schemas.openxmlformats.org/officeDocument/2006/relationships/hyperlink" Target="https://leetcode.com/problems/divide-an-array-into-subarrays-with-minimum-cost-i/"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leetcode.com/problems/kth-smallest-element-in-a-bst/" TargetMode="External"/><Relationship Id="rId21" Type="http://schemas.openxmlformats.org/officeDocument/2006/relationships/hyperlink" Target="https://leetcode.com/problems/merge-k-sorted-lists/" TargetMode="External"/><Relationship Id="rId42" Type="http://schemas.openxmlformats.org/officeDocument/2006/relationships/hyperlink" Target="https://leetcode.com/problems/spiral-matrix/" TargetMode="External"/><Relationship Id="rId63" Type="http://schemas.openxmlformats.org/officeDocument/2006/relationships/hyperlink" Target="https://leetcode.com/problems/binary-tree-level-order-traversal/" TargetMode="External"/><Relationship Id="rId84" Type="http://schemas.openxmlformats.org/officeDocument/2006/relationships/hyperlink" Target="https://leetcode.com/problems/lru-cache/" TargetMode="External"/><Relationship Id="rId138" Type="http://schemas.openxmlformats.org/officeDocument/2006/relationships/hyperlink" Target="https://leetcode.com/problems/find-median-from-data-stream/" TargetMode="External"/><Relationship Id="rId159" Type="http://schemas.openxmlformats.org/officeDocument/2006/relationships/hyperlink" Target="https://leetcode.com/problems/longest-palindrome/" TargetMode="External"/><Relationship Id="rId107" Type="http://schemas.openxmlformats.org/officeDocument/2006/relationships/hyperlink" Target="https://leetcode.com/problems/word-search-ii/" TargetMode="External"/><Relationship Id="rId11" Type="http://schemas.openxmlformats.org/officeDocument/2006/relationships/hyperlink" Target="https://leetcode.com/problems/roman-to-integer/" TargetMode="External"/><Relationship Id="rId32" Type="http://schemas.openxmlformats.org/officeDocument/2006/relationships/hyperlink" Target="https://leetcode.com/problems/combination-sum/" TargetMode="External"/><Relationship Id="rId53" Type="http://schemas.openxmlformats.org/officeDocument/2006/relationships/hyperlink" Target="https://leetcode.com/problems/sort-colors/" TargetMode="External"/><Relationship Id="rId74" Type="http://schemas.openxmlformats.org/officeDocument/2006/relationships/hyperlink" Target="https://leetcode.com/problems/binary-tree-maximum-path-sum/" TargetMode="External"/><Relationship Id="rId128" Type="http://schemas.openxmlformats.org/officeDocument/2006/relationships/hyperlink" Target="https://leetcode.com/problems/graph-valid-tree/" TargetMode="External"/><Relationship Id="rId149" Type="http://schemas.openxmlformats.org/officeDocument/2006/relationships/hyperlink" Target="https://leetcode.com/problems/counting-bits/" TargetMode="External"/><Relationship Id="rId5" Type="http://schemas.openxmlformats.org/officeDocument/2006/relationships/hyperlink" Target="https://leetcode.com/problems/longest-palindromic-substring/" TargetMode="External"/><Relationship Id="rId95" Type="http://schemas.openxmlformats.org/officeDocument/2006/relationships/hyperlink" Target="https://leetcode.com/problems/rotate-array/" TargetMode="External"/><Relationship Id="rId160" Type="http://schemas.openxmlformats.org/officeDocument/2006/relationships/hyperlink" Target="https://leetcode.com/problems/partition-equal-subset-sum/" TargetMode="External"/><Relationship Id="rId22" Type="http://schemas.openxmlformats.org/officeDocument/2006/relationships/hyperlink" Target="https://leetcode.com/problems/swap-nodes-in-pairs/" TargetMode="External"/><Relationship Id="rId43" Type="http://schemas.openxmlformats.org/officeDocument/2006/relationships/hyperlink" Target="https://leetcode.com/problems/jump-game/" TargetMode="External"/><Relationship Id="rId64" Type="http://schemas.openxmlformats.org/officeDocument/2006/relationships/hyperlink" Target="https://leetcode.com/problems/binary-tree-zigzag-level-order-traversal/" TargetMode="External"/><Relationship Id="rId118" Type="http://schemas.openxmlformats.org/officeDocument/2006/relationships/hyperlink" Target="https://leetcode.com/problems/implement-queue-using-stacks/" TargetMode="External"/><Relationship Id="rId139" Type="http://schemas.openxmlformats.org/officeDocument/2006/relationships/hyperlink" Target="https://leetcode.com/problems/serialize-and-deserialize-binary-tree/" TargetMode="External"/><Relationship Id="rId85" Type="http://schemas.openxmlformats.org/officeDocument/2006/relationships/hyperlink" Target="https://leetcode.com/problems/find-k-closest-elements/" TargetMode="External"/><Relationship Id="rId150" Type="http://schemas.openxmlformats.org/officeDocument/2006/relationships/hyperlink" Target="https://leetcode.com/problems/design-hit-counter/" TargetMode="External"/><Relationship Id="rId12" Type="http://schemas.openxmlformats.org/officeDocument/2006/relationships/hyperlink" Target="https://leetcode.com/problems/longest-common-prefix/" TargetMode="External"/><Relationship Id="rId33" Type="http://schemas.openxmlformats.org/officeDocument/2006/relationships/hyperlink" Target="https://leetcode.com/problems/first-missing-positive/" TargetMode="External"/><Relationship Id="rId108" Type="http://schemas.openxmlformats.org/officeDocument/2006/relationships/hyperlink" Target="https://leetcode.com/problems/kth-largest-element-in-an-array/" TargetMode="External"/><Relationship Id="rId129" Type="http://schemas.openxmlformats.org/officeDocument/2006/relationships/hyperlink" Target="https://leetcode.com/problems/missing-number/" TargetMode="External"/><Relationship Id="rId54" Type="http://schemas.openxmlformats.org/officeDocument/2006/relationships/hyperlink" Target="https://leetcode.com/problems/minimum-window-substring/" TargetMode="External"/><Relationship Id="rId70" Type="http://schemas.openxmlformats.org/officeDocument/2006/relationships/hyperlink" Target="https://leetcode.com/problems/path-sum-ii/" TargetMode="External"/><Relationship Id="rId75" Type="http://schemas.openxmlformats.org/officeDocument/2006/relationships/hyperlink" Target="https://leetcode.com/problems/valid-palindrome/" TargetMode="External"/><Relationship Id="rId91" Type="http://schemas.openxmlformats.org/officeDocument/2006/relationships/hyperlink" Target="https://leetcode.com/problems/min-stack/" TargetMode="External"/><Relationship Id="rId96" Type="http://schemas.openxmlformats.org/officeDocument/2006/relationships/hyperlink" Target="https://leetcode.com/problems/reverse-bits/" TargetMode="External"/><Relationship Id="rId140" Type="http://schemas.openxmlformats.org/officeDocument/2006/relationships/hyperlink" Target="https://leetcode.com/problems/longest-increasing-subsequence/" TargetMode="External"/><Relationship Id="rId145" Type="http://schemas.openxmlformats.org/officeDocument/2006/relationships/hyperlink" Target="https://leetcode.com/problems/odd-even-linked-list/" TargetMode="External"/><Relationship Id="rId161" Type="http://schemas.openxmlformats.org/officeDocument/2006/relationships/hyperlink" Target="https://leetcode.com/problems/pacific-atlantic-water-flow/" TargetMode="External"/><Relationship Id="rId166" Type="http://schemas.openxmlformats.org/officeDocument/2006/relationships/hyperlink" Target="https://leetcode.com/problems/find-all-anagrams-in-a-string/" TargetMode="External"/><Relationship Id="rId1" Type="http://schemas.openxmlformats.org/officeDocument/2006/relationships/hyperlink" Target="https://leetcode.com/problems/two-sum/" TargetMode="External"/><Relationship Id="rId6" Type="http://schemas.openxmlformats.org/officeDocument/2006/relationships/hyperlink" Target="https://leetcode.com/problems/reverse-integer/" TargetMode="External"/><Relationship Id="rId23" Type="http://schemas.openxmlformats.org/officeDocument/2006/relationships/hyperlink" Target="https://leetcode.com/problems/reverse-nodes-in-k-group/" TargetMode="External"/><Relationship Id="rId28" Type="http://schemas.openxmlformats.org/officeDocument/2006/relationships/hyperlink" Target="https://leetcode.com/problems/diameter-of-binary-tree/" TargetMode="External"/><Relationship Id="rId49" Type="http://schemas.openxmlformats.org/officeDocument/2006/relationships/hyperlink" Target="https://leetcode.com/problems/add-binary/" TargetMode="External"/><Relationship Id="rId114" Type="http://schemas.openxmlformats.org/officeDocument/2006/relationships/hyperlink" Target="https://leetcode.com/problems/invert-binary-tree/" TargetMode="External"/><Relationship Id="rId119" Type="http://schemas.openxmlformats.org/officeDocument/2006/relationships/hyperlink" Target="https://leetcode.com/problems/palindrome-linked-list/" TargetMode="External"/><Relationship Id="rId44" Type="http://schemas.openxmlformats.org/officeDocument/2006/relationships/hyperlink" Target="https://leetcode.com/problems/merge-intervals/" TargetMode="External"/><Relationship Id="rId60" Type="http://schemas.openxmlformats.org/officeDocument/2006/relationships/hyperlink" Target="https://leetcode.com/problems/validate-binary-search-tree/" TargetMode="External"/><Relationship Id="rId65" Type="http://schemas.openxmlformats.org/officeDocument/2006/relationships/hyperlink" Target="https://leetcode.com/problems/maximum-depth-of-binary-tree/" TargetMode="External"/><Relationship Id="rId81" Type="http://schemas.openxmlformats.org/officeDocument/2006/relationships/hyperlink" Target="https://leetcode.com/problems/word-break/" TargetMode="External"/><Relationship Id="rId86" Type="http://schemas.openxmlformats.org/officeDocument/2006/relationships/hyperlink" Target="https://leetcode.com/problems/sort-list/" TargetMode="External"/><Relationship Id="rId130" Type="http://schemas.openxmlformats.org/officeDocument/2006/relationships/hyperlink" Target="https://leetcode.com/problems/alien-dictionary/" TargetMode="External"/><Relationship Id="rId135" Type="http://schemas.openxmlformats.org/officeDocument/2006/relationships/hyperlink" Target="https://leetcode.com/problems/inorder-successor-in-bst/" TargetMode="External"/><Relationship Id="rId151" Type="http://schemas.openxmlformats.org/officeDocument/2006/relationships/hyperlink" Target="https://leetcode.com/problems/backspace-string-compare/" TargetMode="External"/><Relationship Id="rId156" Type="http://schemas.openxmlformats.org/officeDocument/2006/relationships/hyperlink" Target="https://leetcode.com/problems/decode-string/" TargetMode="External"/><Relationship Id="rId13" Type="http://schemas.openxmlformats.org/officeDocument/2006/relationships/hyperlink" Target="https://leetcode.com/problems/3sum/" TargetMode="External"/><Relationship Id="rId18" Type="http://schemas.openxmlformats.org/officeDocument/2006/relationships/hyperlink" Target="https://leetcode.com/problems/valid-parentheses/" TargetMode="External"/><Relationship Id="rId39" Type="http://schemas.openxmlformats.org/officeDocument/2006/relationships/hyperlink" Target="https://leetcode.com/problems/n-queens/" TargetMode="External"/><Relationship Id="rId109" Type="http://schemas.openxmlformats.org/officeDocument/2006/relationships/hyperlink" Target="https://leetcode.com/problems/contains-duplicate/" TargetMode="External"/><Relationship Id="rId34" Type="http://schemas.openxmlformats.org/officeDocument/2006/relationships/hyperlink" Target="https://leetcode.com/problems/trapping-rain-water/" TargetMode="External"/><Relationship Id="rId50" Type="http://schemas.openxmlformats.org/officeDocument/2006/relationships/hyperlink" Target="https://leetcode.com/problems/climbing-stairs/" TargetMode="External"/><Relationship Id="rId55" Type="http://schemas.openxmlformats.org/officeDocument/2006/relationships/hyperlink" Target="https://leetcode.com/problems/design-in-memory-file-system/" TargetMode="External"/><Relationship Id="rId76" Type="http://schemas.openxmlformats.org/officeDocument/2006/relationships/hyperlink" Target="https://leetcode.com/problems/word-ladder/" TargetMode="External"/><Relationship Id="rId97" Type="http://schemas.openxmlformats.org/officeDocument/2006/relationships/hyperlink" Target="https://leetcode.com/problems/number-of-1-bits/" TargetMode="External"/><Relationship Id="rId104" Type="http://schemas.openxmlformats.org/officeDocument/2006/relationships/hyperlink" Target="https://leetcode.com/problems/accounts-merge/" TargetMode="External"/><Relationship Id="rId120" Type="http://schemas.openxmlformats.org/officeDocument/2006/relationships/hyperlink" Target="https://leetcode.com/problems/lowest-common-ancestor-of-a-binary-search-tree/" TargetMode="External"/><Relationship Id="rId125" Type="http://schemas.openxmlformats.org/officeDocument/2006/relationships/hyperlink" Target="https://leetcode.com/problems/employee-free-time/" TargetMode="External"/><Relationship Id="rId141" Type="http://schemas.openxmlformats.org/officeDocument/2006/relationships/hyperlink" Target="https://leetcode.com/problems/minimum-height-trees/" TargetMode="External"/><Relationship Id="rId146" Type="http://schemas.openxmlformats.org/officeDocument/2006/relationships/hyperlink" Target="https://leetcode.com/problems/longest-increasing-path-in-a-matrix/" TargetMode="External"/><Relationship Id="rId167" Type="http://schemas.openxmlformats.org/officeDocument/2006/relationships/hyperlink" Target="https://leetcode.com/problems/k-closest-points-to-origin/" TargetMode="External"/><Relationship Id="rId7" Type="http://schemas.openxmlformats.org/officeDocument/2006/relationships/hyperlink" Target="https://leetcode.com/problems/string-to-integer-atoi/" TargetMode="External"/><Relationship Id="rId71" Type="http://schemas.openxmlformats.org/officeDocument/2006/relationships/hyperlink" Target="https://leetcode.com/problems/minimum-knight-moves/" TargetMode="External"/><Relationship Id="rId92" Type="http://schemas.openxmlformats.org/officeDocument/2006/relationships/hyperlink" Target="https://leetcode.com/problems/majority-element/" TargetMode="External"/><Relationship Id="rId162" Type="http://schemas.openxmlformats.org/officeDocument/2006/relationships/hyperlink" Target="https://leetcode.com/problems/maximum-frequency-stack/" TargetMode="External"/><Relationship Id="rId2" Type="http://schemas.openxmlformats.org/officeDocument/2006/relationships/hyperlink" Target="https://leetcode.com/problems/add-two-numbers/" TargetMode="External"/><Relationship Id="rId29" Type="http://schemas.openxmlformats.org/officeDocument/2006/relationships/hyperlink" Target="https://leetcode.com/problems/valid-sudoku/" TargetMode="External"/><Relationship Id="rId24" Type="http://schemas.openxmlformats.org/officeDocument/2006/relationships/hyperlink" Target="https://leetcode.com/problems/01-matrix/" TargetMode="External"/><Relationship Id="rId40" Type="http://schemas.openxmlformats.org/officeDocument/2006/relationships/hyperlink" Target="https://leetcode.com/problems/subarray-sum-equals-k/" TargetMode="External"/><Relationship Id="rId45" Type="http://schemas.openxmlformats.org/officeDocument/2006/relationships/hyperlink" Target="https://leetcode.com/problems/insert-interval/" TargetMode="External"/><Relationship Id="rId66" Type="http://schemas.openxmlformats.org/officeDocument/2006/relationships/hyperlink" Target="https://leetcode.com/problems/construct-binary-tree-from-preorder-and-inorder-traversal/" TargetMode="External"/><Relationship Id="rId87" Type="http://schemas.openxmlformats.org/officeDocument/2006/relationships/hyperlink" Target="https://leetcode.com/problems/evaluate-reverse-polish-notation/" TargetMode="External"/><Relationship Id="rId110" Type="http://schemas.openxmlformats.org/officeDocument/2006/relationships/hyperlink" Target="https://leetcode.com/problems/maximal-square/" TargetMode="External"/><Relationship Id="rId115" Type="http://schemas.openxmlformats.org/officeDocument/2006/relationships/hyperlink" Target="https://leetcode.com/problems/basic-calculator-ii/" TargetMode="External"/><Relationship Id="rId131" Type="http://schemas.openxmlformats.org/officeDocument/2006/relationships/hyperlink" Target="https://leetcode.com/problems/encode-and-decode-strings/" TargetMode="External"/><Relationship Id="rId136" Type="http://schemas.openxmlformats.org/officeDocument/2006/relationships/hyperlink" Target="https://leetcode.com/problems/find-the-duplicate-number/" TargetMode="External"/><Relationship Id="rId157" Type="http://schemas.openxmlformats.org/officeDocument/2006/relationships/hyperlink" Target="https://leetcode.com/problems/middle-of-the-linked-list/" TargetMode="External"/><Relationship Id="rId61" Type="http://schemas.openxmlformats.org/officeDocument/2006/relationships/hyperlink" Target="https://leetcode.com/problems/same-tree/" TargetMode="External"/><Relationship Id="rId82" Type="http://schemas.openxmlformats.org/officeDocument/2006/relationships/hyperlink" Target="https://leetcode.com/problems/linked-list-cycle/" TargetMode="External"/><Relationship Id="rId152" Type="http://schemas.openxmlformats.org/officeDocument/2006/relationships/hyperlink" Target="https://leetcode.com/problems/combination-sum-iv/" TargetMode="External"/><Relationship Id="rId19" Type="http://schemas.openxmlformats.org/officeDocument/2006/relationships/hyperlink" Target="https://leetcode.com/problems/merge-two-sorted-lists/" TargetMode="External"/><Relationship Id="rId14" Type="http://schemas.openxmlformats.org/officeDocument/2006/relationships/hyperlink" Target="https://leetcode.com/problems/3sum-closest/" TargetMode="External"/><Relationship Id="rId30" Type="http://schemas.openxmlformats.org/officeDocument/2006/relationships/hyperlink" Target="https://leetcode.com/problems/sudoku-solver/" TargetMode="External"/><Relationship Id="rId35" Type="http://schemas.openxmlformats.org/officeDocument/2006/relationships/hyperlink" Target="https://leetcode.com/problems/permutations/" TargetMode="External"/><Relationship Id="rId56" Type="http://schemas.openxmlformats.org/officeDocument/2006/relationships/hyperlink" Target="https://leetcode.com/problems/subsets/" TargetMode="External"/><Relationship Id="rId77" Type="http://schemas.openxmlformats.org/officeDocument/2006/relationships/hyperlink" Target="https://leetcode.com/problems/longest-consecutive-sequence/" TargetMode="External"/><Relationship Id="rId100" Type="http://schemas.openxmlformats.org/officeDocument/2006/relationships/hyperlink" Target="https://leetcode.com/problems/number-of-islands/" TargetMode="External"/><Relationship Id="rId105" Type="http://schemas.openxmlformats.org/officeDocument/2006/relationships/hyperlink" Target="https://leetcode.com/problems/course-schedule-ii/" TargetMode="External"/><Relationship Id="rId126" Type="http://schemas.openxmlformats.org/officeDocument/2006/relationships/hyperlink" Target="https://leetcode.com/problems/meeting-rooms/" TargetMode="External"/><Relationship Id="rId147" Type="http://schemas.openxmlformats.org/officeDocument/2006/relationships/hyperlink" Target="https://leetcode.com/problems/maximum-profit-in-job-scheduling/" TargetMode="External"/><Relationship Id="rId168" Type="http://schemas.openxmlformats.org/officeDocument/2006/relationships/hyperlink" Target="https://leetcode.com/problems/squares-of-a-sorted-array/" TargetMode="External"/><Relationship Id="rId8" Type="http://schemas.openxmlformats.org/officeDocument/2006/relationships/hyperlink" Target="https://leetcode.com/problems/palindrome-number/" TargetMode="External"/><Relationship Id="rId51" Type="http://schemas.openxmlformats.org/officeDocument/2006/relationships/hyperlink" Target="https://leetcode.com/problems/set-matrix-zeroes/" TargetMode="External"/><Relationship Id="rId72" Type="http://schemas.openxmlformats.org/officeDocument/2006/relationships/hyperlink" Target="https://leetcode.com/problems/smallest-range-covering-elements-from-k-lists/" TargetMode="External"/><Relationship Id="rId93" Type="http://schemas.openxmlformats.org/officeDocument/2006/relationships/hyperlink" Target="https://leetcode.com/problems/largest-number/" TargetMode="External"/><Relationship Id="rId98" Type="http://schemas.openxmlformats.org/officeDocument/2006/relationships/hyperlink" Target="https://leetcode.com/problems/house-robber/" TargetMode="External"/><Relationship Id="rId121" Type="http://schemas.openxmlformats.org/officeDocument/2006/relationships/hyperlink" Target="https://leetcode.com/problems/lowest-common-ancestor-of-a-binary-tree/" TargetMode="External"/><Relationship Id="rId142" Type="http://schemas.openxmlformats.org/officeDocument/2006/relationships/hyperlink" Target="https://leetcode.com/problems/bus-routes/" TargetMode="External"/><Relationship Id="rId163" Type="http://schemas.openxmlformats.org/officeDocument/2006/relationships/hyperlink" Target="https://leetcode.com/problems/longest-repeating-character-replacement/" TargetMode="External"/><Relationship Id="rId3" Type="http://schemas.openxmlformats.org/officeDocument/2006/relationships/hyperlink" Target="https://leetcode.com/problems/longest-substring-without-repeating-characters/" TargetMode="External"/><Relationship Id="rId25" Type="http://schemas.openxmlformats.org/officeDocument/2006/relationships/hyperlink" Target="https://leetcode.com/problems/next-permutation/" TargetMode="External"/><Relationship Id="rId46" Type="http://schemas.openxmlformats.org/officeDocument/2006/relationships/hyperlink" Target="https://leetcode.com/problems/subtree-of-another-tree/" TargetMode="External"/><Relationship Id="rId67" Type="http://schemas.openxmlformats.org/officeDocument/2006/relationships/hyperlink" Target="https://leetcode.com/problems/convert-sorted-array-to-binary-search-tree/" TargetMode="External"/><Relationship Id="rId116" Type="http://schemas.openxmlformats.org/officeDocument/2006/relationships/hyperlink" Target="https://leetcode.com/problems/daily-temperatures/" TargetMode="External"/><Relationship Id="rId137" Type="http://schemas.openxmlformats.org/officeDocument/2006/relationships/hyperlink" Target="https://leetcode.com/problems/cheapest-flights-within-k-stops/" TargetMode="External"/><Relationship Id="rId158" Type="http://schemas.openxmlformats.org/officeDocument/2006/relationships/hyperlink" Target="https://leetcode.com/problems/random-pick-with-weight/" TargetMode="External"/><Relationship Id="rId20" Type="http://schemas.openxmlformats.org/officeDocument/2006/relationships/hyperlink" Target="https://leetcode.com/problems/generate-parentheses/" TargetMode="External"/><Relationship Id="rId41" Type="http://schemas.openxmlformats.org/officeDocument/2006/relationships/hyperlink" Target="https://leetcode.com/problems/maximum-subarray/" TargetMode="External"/><Relationship Id="rId62" Type="http://schemas.openxmlformats.org/officeDocument/2006/relationships/hyperlink" Target="https://leetcode.com/problems/symmetric-tree/" TargetMode="External"/><Relationship Id="rId83" Type="http://schemas.openxmlformats.org/officeDocument/2006/relationships/hyperlink" Target="https://leetcode.com/problems/reorder-list/" TargetMode="External"/><Relationship Id="rId88" Type="http://schemas.openxmlformats.org/officeDocument/2006/relationships/hyperlink" Target="https://leetcode.com/problems/maximum-width-of-binary-tree/" TargetMode="External"/><Relationship Id="rId111" Type="http://schemas.openxmlformats.org/officeDocument/2006/relationships/hyperlink" Target="https://leetcode.com/problems/flood-fill/" TargetMode="External"/><Relationship Id="rId132" Type="http://schemas.openxmlformats.org/officeDocument/2006/relationships/hyperlink" Target="https://leetcode.com/problems/first-bad-version/" TargetMode="External"/><Relationship Id="rId153" Type="http://schemas.openxmlformats.org/officeDocument/2006/relationships/hyperlink" Target="https://leetcode.com/problems/insert-delete-getrandom-o1/" TargetMode="External"/><Relationship Id="rId15" Type="http://schemas.openxmlformats.org/officeDocument/2006/relationships/hyperlink" Target="https://leetcode.com/problems/letter-combinations-of-a-phone-number/" TargetMode="External"/><Relationship Id="rId36" Type="http://schemas.openxmlformats.org/officeDocument/2006/relationships/hyperlink" Target="https://leetcode.com/problems/rotate-image/" TargetMode="External"/><Relationship Id="rId57" Type="http://schemas.openxmlformats.org/officeDocument/2006/relationships/hyperlink" Target="https://leetcode.com/problems/word-search/" TargetMode="External"/><Relationship Id="rId106" Type="http://schemas.openxmlformats.org/officeDocument/2006/relationships/hyperlink" Target="https://leetcode.com/problems/add-and-search-word-data-structure-design/" TargetMode="External"/><Relationship Id="rId127" Type="http://schemas.openxmlformats.org/officeDocument/2006/relationships/hyperlink" Target="https://leetcode.com/problems/meeting-rooms-ii/" TargetMode="External"/><Relationship Id="rId10" Type="http://schemas.openxmlformats.org/officeDocument/2006/relationships/hyperlink" Target="https://leetcode.com/problems/rotting-oranges/" TargetMode="External"/><Relationship Id="rId31" Type="http://schemas.openxmlformats.org/officeDocument/2006/relationships/hyperlink" Target="https://leetcode.com/problems/shortest-path-to-get-food/" TargetMode="External"/><Relationship Id="rId52" Type="http://schemas.openxmlformats.org/officeDocument/2006/relationships/hyperlink" Target="https://leetcode.com/problems/search-a-2d-matrix/" TargetMode="External"/><Relationship Id="rId73" Type="http://schemas.openxmlformats.org/officeDocument/2006/relationships/hyperlink" Target="https://leetcode.com/problems/best-time-to-buy-and-sell-stock/" TargetMode="External"/><Relationship Id="rId78" Type="http://schemas.openxmlformats.org/officeDocument/2006/relationships/hyperlink" Target="https://leetcode.com/problems/clone-graph/" TargetMode="External"/><Relationship Id="rId94" Type="http://schemas.openxmlformats.org/officeDocument/2006/relationships/hyperlink" Target="https://leetcode.com/problems/top-k-frequent-words/" TargetMode="External"/><Relationship Id="rId99" Type="http://schemas.openxmlformats.org/officeDocument/2006/relationships/hyperlink" Target="https://leetcode.com/problems/binary-tree-right-side-view/" TargetMode="External"/><Relationship Id="rId101" Type="http://schemas.openxmlformats.org/officeDocument/2006/relationships/hyperlink" Target="https://leetcode.com/problems/reverse-linked-list/" TargetMode="External"/><Relationship Id="rId122" Type="http://schemas.openxmlformats.org/officeDocument/2006/relationships/hyperlink" Target="https://leetcode.com/problems/product-of-array-except-self/" TargetMode="External"/><Relationship Id="rId143" Type="http://schemas.openxmlformats.org/officeDocument/2006/relationships/hyperlink" Target="https://leetcode.com/problems/coin-change/" TargetMode="External"/><Relationship Id="rId148" Type="http://schemas.openxmlformats.org/officeDocument/2006/relationships/hyperlink" Target="https://leetcode.com/problems/palindrome-pairs/" TargetMode="External"/><Relationship Id="rId164" Type="http://schemas.openxmlformats.org/officeDocument/2006/relationships/hyperlink" Target="https://leetcode.com/problems/non-overlapping-intervals/" TargetMode="External"/><Relationship Id="rId169" Type="http://schemas.openxmlformats.org/officeDocument/2006/relationships/hyperlink" Target="https://leetcode.com/problems/time-based-key-value-store/" TargetMode="External"/><Relationship Id="rId4" Type="http://schemas.openxmlformats.org/officeDocument/2006/relationships/hyperlink" Target="https://leetcode.com/problems/median-of-two-sorted-arrays/" TargetMode="External"/><Relationship Id="rId9" Type="http://schemas.openxmlformats.org/officeDocument/2006/relationships/hyperlink" Target="https://leetcode.com/problems/container-with-most-water/" TargetMode="External"/><Relationship Id="rId26" Type="http://schemas.openxmlformats.org/officeDocument/2006/relationships/hyperlink" Target="https://leetcode.com/problems/longest-valid-parentheses/" TargetMode="External"/><Relationship Id="rId47" Type="http://schemas.openxmlformats.org/officeDocument/2006/relationships/hyperlink" Target="https://leetcode.com/problems/rotate-list/" TargetMode="External"/><Relationship Id="rId68" Type="http://schemas.openxmlformats.org/officeDocument/2006/relationships/hyperlink" Target="https://leetcode.com/problems/task-scheduler/" TargetMode="External"/><Relationship Id="rId89" Type="http://schemas.openxmlformats.org/officeDocument/2006/relationships/hyperlink" Target="https://leetcode.com/problems/maximum-product-subarray/" TargetMode="External"/><Relationship Id="rId112" Type="http://schemas.openxmlformats.org/officeDocument/2006/relationships/hyperlink" Target="https://leetcode.com/problems/asteroid-collision/" TargetMode="External"/><Relationship Id="rId133" Type="http://schemas.openxmlformats.org/officeDocument/2006/relationships/hyperlink" Target="https://leetcode.com/problems/binary-search/" TargetMode="External"/><Relationship Id="rId154" Type="http://schemas.openxmlformats.org/officeDocument/2006/relationships/hyperlink" Target="https://leetcode.com/problems/all-nodes-distance-k-in-binary-tree/" TargetMode="External"/><Relationship Id="rId16" Type="http://schemas.openxmlformats.org/officeDocument/2006/relationships/hyperlink" Target="https://leetcode.com/problems/contiguous-array/" TargetMode="External"/><Relationship Id="rId37" Type="http://schemas.openxmlformats.org/officeDocument/2006/relationships/hyperlink" Target="https://leetcode.com/problems/group-anagrams/" TargetMode="External"/><Relationship Id="rId58" Type="http://schemas.openxmlformats.org/officeDocument/2006/relationships/hyperlink" Target="https://leetcode.com/problems/largest-rectangle-in-histogram/" TargetMode="External"/><Relationship Id="rId79" Type="http://schemas.openxmlformats.org/officeDocument/2006/relationships/hyperlink" Target="https://leetcode.com/problems/gas-station/" TargetMode="External"/><Relationship Id="rId102" Type="http://schemas.openxmlformats.org/officeDocument/2006/relationships/hyperlink" Target="https://leetcode.com/problems/course-schedule/" TargetMode="External"/><Relationship Id="rId123" Type="http://schemas.openxmlformats.org/officeDocument/2006/relationships/hyperlink" Target="https://leetcode.com/problems/sliding-window-maximum/" TargetMode="External"/><Relationship Id="rId144" Type="http://schemas.openxmlformats.org/officeDocument/2006/relationships/hyperlink" Target="https://leetcode.com/problems/number-of-connected-components-in-an-undirected-graph/" TargetMode="External"/><Relationship Id="rId90" Type="http://schemas.openxmlformats.org/officeDocument/2006/relationships/hyperlink" Target="https://leetcode.com/problems/find-minimum-in-rotated-sorted-array/" TargetMode="External"/><Relationship Id="rId165" Type="http://schemas.openxmlformats.org/officeDocument/2006/relationships/hyperlink" Target="https://leetcode.com/problems/path-sum-iii/" TargetMode="External"/><Relationship Id="rId27" Type="http://schemas.openxmlformats.org/officeDocument/2006/relationships/hyperlink" Target="https://leetcode.com/problems/search-in-rotated-sorted-array/" TargetMode="External"/><Relationship Id="rId48" Type="http://schemas.openxmlformats.org/officeDocument/2006/relationships/hyperlink" Target="https://leetcode.com/problems/unique-paths/" TargetMode="External"/><Relationship Id="rId69" Type="http://schemas.openxmlformats.org/officeDocument/2006/relationships/hyperlink" Target="https://leetcode.com/problems/balanced-binary-tree/" TargetMode="External"/><Relationship Id="rId113" Type="http://schemas.openxmlformats.org/officeDocument/2006/relationships/hyperlink" Target="https://leetcode.com/problems/basic-calculator/" TargetMode="External"/><Relationship Id="rId134" Type="http://schemas.openxmlformats.org/officeDocument/2006/relationships/hyperlink" Target="https://leetcode.com/problems/move-zeroes/" TargetMode="External"/><Relationship Id="rId80" Type="http://schemas.openxmlformats.org/officeDocument/2006/relationships/hyperlink" Target="https://leetcode.com/problems/single-number/" TargetMode="External"/><Relationship Id="rId155" Type="http://schemas.openxmlformats.org/officeDocument/2006/relationships/hyperlink" Target="https://leetcode.com/problems/ransom-note/" TargetMode="External"/><Relationship Id="rId17" Type="http://schemas.openxmlformats.org/officeDocument/2006/relationships/hyperlink" Target="https://leetcode.com/problems/remove-nth-node-from-end-of-list/" TargetMode="External"/><Relationship Id="rId38" Type="http://schemas.openxmlformats.org/officeDocument/2006/relationships/hyperlink" Target="https://leetcode.com/problems/powx-n/" TargetMode="External"/><Relationship Id="rId59" Type="http://schemas.openxmlformats.org/officeDocument/2006/relationships/hyperlink" Target="https://leetcode.com/problems/decode-ways/" TargetMode="External"/><Relationship Id="rId103" Type="http://schemas.openxmlformats.org/officeDocument/2006/relationships/hyperlink" Target="https://leetcode.com/problems/implement-trie-prefix-tree/" TargetMode="External"/><Relationship Id="rId124" Type="http://schemas.openxmlformats.org/officeDocument/2006/relationships/hyperlink" Target="https://leetcode.com/problems/valid-anagram/"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leetcode.com/problems/partition-equal-subset-sum/" TargetMode="External"/><Relationship Id="rId21" Type="http://schemas.openxmlformats.org/officeDocument/2006/relationships/hyperlink" Target="https://leetcode.com/problems/binary-search/" TargetMode="External"/><Relationship Id="rId42" Type="http://schemas.openxmlformats.org/officeDocument/2006/relationships/hyperlink" Target="https://leetcode.com/problems/add-binary/" TargetMode="External"/><Relationship Id="rId47" Type="http://schemas.openxmlformats.org/officeDocument/2006/relationships/hyperlink" Target="https://leetcode.com/problems/sort-colors/" TargetMode="External"/><Relationship Id="rId63" Type="http://schemas.openxmlformats.org/officeDocument/2006/relationships/hyperlink" Target="https://leetcode.com/problems/maximum-depth-of-binary-tree/" TargetMode="External"/><Relationship Id="rId68" Type="http://schemas.openxmlformats.org/officeDocument/2006/relationships/hyperlink" Target="https://leetcode.com/problems/task-scheduler/" TargetMode="External"/><Relationship Id="rId2" Type="http://schemas.openxmlformats.org/officeDocument/2006/relationships/hyperlink" Target="https://leetcode.com/problems/longest-substring-without-repeating-characters/" TargetMode="External"/><Relationship Id="rId16" Type="http://schemas.openxmlformats.org/officeDocument/2006/relationships/hyperlink" Target="https://leetcode.com/problems/merge-two-sorted-lists/" TargetMode="External"/><Relationship Id="rId29" Type="http://schemas.openxmlformats.org/officeDocument/2006/relationships/hyperlink" Target="https://leetcode.com/problems/find-median-from-data-stream/" TargetMode="External"/><Relationship Id="rId11" Type="http://schemas.openxmlformats.org/officeDocument/2006/relationships/hyperlink" Target="https://leetcode.com/problems/3sum/" TargetMode="External"/><Relationship Id="rId24" Type="http://schemas.openxmlformats.org/officeDocument/2006/relationships/hyperlink" Target="https://leetcode.com/problems/01-matrix/" TargetMode="External"/><Relationship Id="rId32" Type="http://schemas.openxmlformats.org/officeDocument/2006/relationships/hyperlink" Target="https://leetcode.com/problems/serialize-and-deserialize-binary-tree/" TargetMode="External"/><Relationship Id="rId37" Type="http://schemas.openxmlformats.org/officeDocument/2006/relationships/hyperlink" Target="https://leetcode.com/problems/merge-intervals/" TargetMode="External"/><Relationship Id="rId40" Type="http://schemas.openxmlformats.org/officeDocument/2006/relationships/hyperlink" Target="https://leetcode.com/problems/unique-paths/" TargetMode="External"/><Relationship Id="rId45" Type="http://schemas.openxmlformats.org/officeDocument/2006/relationships/hyperlink" Target="https://leetcode.com/problems/number-of-islands/" TargetMode="External"/><Relationship Id="rId53" Type="http://schemas.openxmlformats.org/officeDocument/2006/relationships/hyperlink" Target="https://leetcode.com/problems/implement-trie-prefix-tree/" TargetMode="External"/><Relationship Id="rId58" Type="http://schemas.openxmlformats.org/officeDocument/2006/relationships/hyperlink" Target="https://leetcode.com/problems/basic-calculator/" TargetMode="External"/><Relationship Id="rId66" Type="http://schemas.openxmlformats.org/officeDocument/2006/relationships/hyperlink" Target="https://leetcode.com/problems/lowest-common-ancestor-of-a-binary-search-tree/" TargetMode="External"/><Relationship Id="rId74" Type="http://schemas.openxmlformats.org/officeDocument/2006/relationships/hyperlink" Target="https://leetcode.com/problems/valid-palindrome/" TargetMode="External"/><Relationship Id="rId5" Type="http://schemas.openxmlformats.org/officeDocument/2006/relationships/hyperlink" Target="https://leetcode.com/problems/ransom-note/" TargetMode="External"/><Relationship Id="rId61" Type="http://schemas.openxmlformats.org/officeDocument/2006/relationships/hyperlink" Target="https://leetcode.com/problems/binary-tree-level-order-traversal/" TargetMode="External"/><Relationship Id="rId19" Type="http://schemas.openxmlformats.org/officeDocument/2006/relationships/hyperlink" Target="https://leetcode.com/problems/first-bad-version/" TargetMode="External"/><Relationship Id="rId14" Type="http://schemas.openxmlformats.org/officeDocument/2006/relationships/hyperlink" Target="https://leetcode.com/problems/lru-cache/" TargetMode="External"/><Relationship Id="rId22" Type="http://schemas.openxmlformats.org/officeDocument/2006/relationships/hyperlink" Target="https://leetcode.com/problems/min-stack/" TargetMode="External"/><Relationship Id="rId27" Type="http://schemas.openxmlformats.org/officeDocument/2006/relationships/hyperlink" Target="https://leetcode.com/problems/search-in-rotated-sorted-array/" TargetMode="External"/><Relationship Id="rId30" Type="http://schemas.openxmlformats.org/officeDocument/2006/relationships/hyperlink" Target="https://leetcode.com/problems/majority-element/" TargetMode="External"/><Relationship Id="rId35" Type="http://schemas.openxmlformats.org/officeDocument/2006/relationships/hyperlink" Target="https://leetcode.com/problems/spiral-matrix/" TargetMode="External"/><Relationship Id="rId43" Type="http://schemas.openxmlformats.org/officeDocument/2006/relationships/hyperlink" Target="https://leetcode.com/problems/climbing-stairs/" TargetMode="External"/><Relationship Id="rId48" Type="http://schemas.openxmlformats.org/officeDocument/2006/relationships/hyperlink" Target="https://leetcode.com/problems/minimum-window-substring/" TargetMode="External"/><Relationship Id="rId56" Type="http://schemas.openxmlformats.org/officeDocument/2006/relationships/hyperlink" Target="https://leetcode.com/problems/contains-duplicate/" TargetMode="External"/><Relationship Id="rId64" Type="http://schemas.openxmlformats.org/officeDocument/2006/relationships/hyperlink" Target="https://leetcode.com/problems/construct-binary-tree-from-preorder-and-inorder-traversal/" TargetMode="External"/><Relationship Id="rId69" Type="http://schemas.openxmlformats.org/officeDocument/2006/relationships/hyperlink" Target="https://leetcode.com/problems/balanced-binary-tree/" TargetMode="External"/><Relationship Id="rId8" Type="http://schemas.openxmlformats.org/officeDocument/2006/relationships/hyperlink" Target="https://leetcode.com/problems/word-break/" TargetMode="External"/><Relationship Id="rId51" Type="http://schemas.openxmlformats.org/officeDocument/2006/relationships/hyperlink" Target="https://leetcode.com/problems/reverse-linked-list/" TargetMode="External"/><Relationship Id="rId72" Type="http://schemas.openxmlformats.org/officeDocument/2006/relationships/hyperlink" Target="https://leetcode.com/problems/k-closest-points-to-origin/" TargetMode="External"/><Relationship Id="rId3" Type="http://schemas.openxmlformats.org/officeDocument/2006/relationships/hyperlink" Target="https://leetcode.com/problems/longest-palindromic-substring/" TargetMode="External"/><Relationship Id="rId12" Type="http://schemas.openxmlformats.org/officeDocument/2006/relationships/hyperlink" Target="https://leetcode.com/problems/rotting-oranges/" TargetMode="External"/><Relationship Id="rId17" Type="http://schemas.openxmlformats.org/officeDocument/2006/relationships/hyperlink" Target="https://leetcode.com/problems/evaluate-reverse-polish-notation/" TargetMode="External"/><Relationship Id="rId25" Type="http://schemas.openxmlformats.org/officeDocument/2006/relationships/hyperlink" Target="https://leetcode.com/problems/diameter-of-binary-tree/" TargetMode="External"/><Relationship Id="rId33" Type="http://schemas.openxmlformats.org/officeDocument/2006/relationships/hyperlink" Target="https://leetcode.com/problems/permutations/" TargetMode="External"/><Relationship Id="rId38" Type="http://schemas.openxmlformats.org/officeDocument/2006/relationships/hyperlink" Target="https://leetcode.com/problems/insert-interval/" TargetMode="External"/><Relationship Id="rId46" Type="http://schemas.openxmlformats.org/officeDocument/2006/relationships/hyperlink" Target="https://leetcode.com/problems/maximum-profit-in-job-scheduling/" TargetMode="External"/><Relationship Id="rId59" Type="http://schemas.openxmlformats.org/officeDocument/2006/relationships/hyperlink" Target="https://leetcode.com/problems/validate-binary-search-tree/" TargetMode="External"/><Relationship Id="rId67" Type="http://schemas.openxmlformats.org/officeDocument/2006/relationships/hyperlink" Target="https://leetcode.com/problems/lowest-common-ancestor-of-a-binary-tree/" TargetMode="External"/><Relationship Id="rId20" Type="http://schemas.openxmlformats.org/officeDocument/2006/relationships/hyperlink" Target="https://leetcode.com/problems/longest-palindrome/" TargetMode="External"/><Relationship Id="rId41" Type="http://schemas.openxmlformats.org/officeDocument/2006/relationships/hyperlink" Target="https://leetcode.com/problems/coin-change/" TargetMode="External"/><Relationship Id="rId54" Type="http://schemas.openxmlformats.org/officeDocument/2006/relationships/hyperlink" Target="https://leetcode.com/problems/accounts-merge/" TargetMode="External"/><Relationship Id="rId62" Type="http://schemas.openxmlformats.org/officeDocument/2006/relationships/hyperlink" Target="https://leetcode.com/problems/kth-smallest-element-in-a-bst/" TargetMode="External"/><Relationship Id="rId70" Type="http://schemas.openxmlformats.org/officeDocument/2006/relationships/hyperlink" Target="https://leetcode.com/problems/product-of-array-except-self/" TargetMode="External"/><Relationship Id="rId75" Type="http://schemas.openxmlformats.org/officeDocument/2006/relationships/hyperlink" Target="https://leetcode.com/problems/word-ladder/" TargetMode="External"/><Relationship Id="rId1" Type="http://schemas.openxmlformats.org/officeDocument/2006/relationships/hyperlink" Target="https://leetcode.com/problems/two-sum/" TargetMode="External"/><Relationship Id="rId6" Type="http://schemas.openxmlformats.org/officeDocument/2006/relationships/hyperlink" Target="https://leetcode.com/problems/string-to-integer-atoi/" TargetMode="External"/><Relationship Id="rId15" Type="http://schemas.openxmlformats.org/officeDocument/2006/relationships/hyperlink" Target="https://leetcode.com/problems/valid-parentheses/" TargetMode="External"/><Relationship Id="rId23" Type="http://schemas.openxmlformats.org/officeDocument/2006/relationships/hyperlink" Target="https://leetcode.com/problems/time-based-key-value-store/" TargetMode="External"/><Relationship Id="rId28" Type="http://schemas.openxmlformats.org/officeDocument/2006/relationships/hyperlink" Target="https://leetcode.com/problems/combination-sum/" TargetMode="External"/><Relationship Id="rId36" Type="http://schemas.openxmlformats.org/officeDocument/2006/relationships/hyperlink" Target="https://leetcode.com/problems/minimum-height-trees/" TargetMode="External"/><Relationship Id="rId49" Type="http://schemas.openxmlformats.org/officeDocument/2006/relationships/hyperlink" Target="https://leetcode.com/problems/subsets/" TargetMode="External"/><Relationship Id="rId57" Type="http://schemas.openxmlformats.org/officeDocument/2006/relationships/hyperlink" Target="https://leetcode.com/problems/flood-fill/" TargetMode="External"/><Relationship Id="rId10" Type="http://schemas.openxmlformats.org/officeDocument/2006/relationships/hyperlink" Target="https://leetcode.com/problems/middle-of-the-linked-list/" TargetMode="External"/><Relationship Id="rId31" Type="http://schemas.openxmlformats.org/officeDocument/2006/relationships/hyperlink" Target="https://leetcode.com/problems/trapping-rain-water/" TargetMode="External"/><Relationship Id="rId44" Type="http://schemas.openxmlformats.org/officeDocument/2006/relationships/hyperlink" Target="https://leetcode.com/problems/binary-tree-right-side-view/" TargetMode="External"/><Relationship Id="rId52" Type="http://schemas.openxmlformats.org/officeDocument/2006/relationships/hyperlink" Target="https://leetcode.com/problems/course-schedule/" TargetMode="External"/><Relationship Id="rId60" Type="http://schemas.openxmlformats.org/officeDocument/2006/relationships/hyperlink" Target="https://leetcode.com/problems/invert-binary-tree/" TargetMode="External"/><Relationship Id="rId65" Type="http://schemas.openxmlformats.org/officeDocument/2006/relationships/hyperlink" Target="https://leetcode.com/problems/implement-queue-using-stacks/" TargetMode="External"/><Relationship Id="rId73" Type="http://schemas.openxmlformats.org/officeDocument/2006/relationships/hyperlink" Target="https://leetcode.com/problems/best-time-to-buy-and-sell-stock/" TargetMode="External"/><Relationship Id="rId4" Type="http://schemas.openxmlformats.org/officeDocument/2006/relationships/hyperlink" Target="https://leetcode.com/problems/clone-graph/" TargetMode="External"/><Relationship Id="rId9" Type="http://schemas.openxmlformats.org/officeDocument/2006/relationships/hyperlink" Target="https://leetcode.com/problems/linked-list-cycle/" TargetMode="External"/><Relationship Id="rId13" Type="http://schemas.openxmlformats.org/officeDocument/2006/relationships/hyperlink" Target="https://leetcode.com/problems/letter-combinations-of-a-phone-number/" TargetMode="External"/><Relationship Id="rId18" Type="http://schemas.openxmlformats.org/officeDocument/2006/relationships/hyperlink" Target="https://leetcode.com/problems/merge-k-sorted-lists/" TargetMode="External"/><Relationship Id="rId39" Type="http://schemas.openxmlformats.org/officeDocument/2006/relationships/hyperlink" Target="https://leetcode.com/problems/find-all-anagrams-in-a-string/" TargetMode="External"/><Relationship Id="rId34" Type="http://schemas.openxmlformats.org/officeDocument/2006/relationships/hyperlink" Target="https://leetcode.com/problems/maximum-subarray/" TargetMode="External"/><Relationship Id="rId50" Type="http://schemas.openxmlformats.org/officeDocument/2006/relationships/hyperlink" Target="https://leetcode.com/problems/word-search/" TargetMode="External"/><Relationship Id="rId55" Type="http://schemas.openxmlformats.org/officeDocument/2006/relationships/hyperlink" Target="https://leetcode.com/problems/largest-rectangle-in-histogram/" TargetMode="External"/><Relationship Id="rId7" Type="http://schemas.openxmlformats.org/officeDocument/2006/relationships/hyperlink" Target="https://leetcode.com/problems/container-with-most-water/" TargetMode="External"/><Relationship Id="rId71" Type="http://schemas.openxmlformats.org/officeDocument/2006/relationships/hyperlink" Target="https://leetcode.com/problems/valid-anagram/"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leetcode.com/problems/regular-expression-matching/" TargetMode="External"/><Relationship Id="rId21" Type="http://schemas.openxmlformats.org/officeDocument/2006/relationships/hyperlink" Target="https://leetcode.com/problems/valid-parentheses/" TargetMode="External"/><Relationship Id="rId42" Type="http://schemas.openxmlformats.org/officeDocument/2006/relationships/hyperlink" Target="https://leetcode.com/problems/lru-cache/" TargetMode="External"/><Relationship Id="rId63" Type="http://schemas.openxmlformats.org/officeDocument/2006/relationships/hyperlink" Target="https://leetcode.com/problems/kth-largest-element-in-a-stream/" TargetMode="External"/><Relationship Id="rId84" Type="http://schemas.openxmlformats.org/officeDocument/2006/relationships/hyperlink" Target="https://leetcode.com/problems/pacific-atlantic-water-flow/" TargetMode="External"/><Relationship Id="rId138" Type="http://schemas.openxmlformats.org/officeDocument/2006/relationships/hyperlink" Target="https://leetcode.com/problems/counting-bits/" TargetMode="External"/><Relationship Id="rId107" Type="http://schemas.openxmlformats.org/officeDocument/2006/relationships/hyperlink" Target="https://leetcode.com/problems/unique-paths/" TargetMode="External"/><Relationship Id="rId11" Type="http://schemas.openxmlformats.org/officeDocument/2006/relationships/hyperlink" Target="https://leetcode.com/problems/two-sum-ii-input-array-is-sorted/" TargetMode="External"/><Relationship Id="rId32" Type="http://schemas.openxmlformats.org/officeDocument/2006/relationships/hyperlink" Target="https://leetcode.com/problems/search-in-rotated-sorted-array/" TargetMode="External"/><Relationship Id="rId37" Type="http://schemas.openxmlformats.org/officeDocument/2006/relationships/hyperlink" Target="https://leetcode.com/problems/linked-list-cycle/" TargetMode="External"/><Relationship Id="rId53" Type="http://schemas.openxmlformats.org/officeDocument/2006/relationships/hyperlink" Target="https://leetcode.com/problems/binary-tree-right-side-view/" TargetMode="External"/><Relationship Id="rId58" Type="http://schemas.openxmlformats.org/officeDocument/2006/relationships/hyperlink" Target="https://leetcode.com/problems/binary-tree-maximum-path-sum/" TargetMode="External"/><Relationship Id="rId74" Type="http://schemas.openxmlformats.org/officeDocument/2006/relationships/hyperlink" Target="https://leetcode.com/problems/subsets-ii/" TargetMode="External"/><Relationship Id="rId79" Type="http://schemas.openxmlformats.org/officeDocument/2006/relationships/hyperlink" Target="https://leetcode.com/problems/number-of-islands/" TargetMode="External"/><Relationship Id="rId102" Type="http://schemas.openxmlformats.org/officeDocument/2006/relationships/hyperlink" Target="https://leetcode.com/problems/decode-ways/" TargetMode="External"/><Relationship Id="rId123" Type="http://schemas.openxmlformats.org/officeDocument/2006/relationships/hyperlink" Target="https://leetcode.com/problems/merge-triplets-to-form-target-triplet/" TargetMode="External"/><Relationship Id="rId128" Type="http://schemas.openxmlformats.org/officeDocument/2006/relationships/hyperlink" Target="https://leetcode.com/problems/non-overlapping-intervals/" TargetMode="External"/><Relationship Id="rId5" Type="http://schemas.openxmlformats.org/officeDocument/2006/relationships/hyperlink" Target="https://leetcode.com/problems/top-k-frequent-elements/" TargetMode="External"/><Relationship Id="rId90" Type="http://schemas.openxmlformats.org/officeDocument/2006/relationships/hyperlink" Target="https://leetcode.com/problems/network-delay-time/" TargetMode="External"/><Relationship Id="rId95" Type="http://schemas.openxmlformats.org/officeDocument/2006/relationships/hyperlink" Target="https://leetcode.com/problems/reconstruct-itinerary/" TargetMode="External"/><Relationship Id="rId22" Type="http://schemas.openxmlformats.org/officeDocument/2006/relationships/hyperlink" Target="https://leetcode.com/problems/min-stack/" TargetMode="External"/><Relationship Id="rId27" Type="http://schemas.openxmlformats.org/officeDocument/2006/relationships/hyperlink" Target="https://leetcode.com/problems/largest-rectangle-in-histogram/" TargetMode="External"/><Relationship Id="rId43" Type="http://schemas.openxmlformats.org/officeDocument/2006/relationships/hyperlink" Target="https://leetcode.com/problems/merge-k-sorted-lists/" TargetMode="External"/><Relationship Id="rId48" Type="http://schemas.openxmlformats.org/officeDocument/2006/relationships/hyperlink" Target="https://leetcode.com/problems/balanced-binary-tree/" TargetMode="External"/><Relationship Id="rId64" Type="http://schemas.openxmlformats.org/officeDocument/2006/relationships/hyperlink" Target="https://leetcode.com/problems/last-stone-weight/" TargetMode="External"/><Relationship Id="rId69" Type="http://schemas.openxmlformats.org/officeDocument/2006/relationships/hyperlink" Target="https://leetcode.com/problems/find-median-from-data-stream/" TargetMode="External"/><Relationship Id="rId113" Type="http://schemas.openxmlformats.org/officeDocument/2006/relationships/hyperlink" Target="https://leetcode.com/problems/longest-increasing-path-in-a-matrix/" TargetMode="External"/><Relationship Id="rId118" Type="http://schemas.openxmlformats.org/officeDocument/2006/relationships/hyperlink" Target="https://leetcode.com/problems/maximum-subarray/" TargetMode="External"/><Relationship Id="rId134" Type="http://schemas.openxmlformats.org/officeDocument/2006/relationships/hyperlink" Target="https://leetcode.com/problems/set-matrix-zeroes/" TargetMode="External"/><Relationship Id="rId139" Type="http://schemas.openxmlformats.org/officeDocument/2006/relationships/hyperlink" Target="https://leetcode.com/problems/reverse-bits/" TargetMode="External"/><Relationship Id="rId80" Type="http://schemas.openxmlformats.org/officeDocument/2006/relationships/hyperlink" Target="https://leetcode.com/problems/max-area-of-island/" TargetMode="External"/><Relationship Id="rId85" Type="http://schemas.openxmlformats.org/officeDocument/2006/relationships/hyperlink" Target="https://leetcode.com/problems/surrounded-regions/" TargetMode="External"/><Relationship Id="rId12" Type="http://schemas.openxmlformats.org/officeDocument/2006/relationships/hyperlink" Target="https://leetcode.com/problems/3sum/" TargetMode="External"/><Relationship Id="rId17" Type="http://schemas.openxmlformats.org/officeDocument/2006/relationships/hyperlink" Target="https://leetcode.com/problems/longest-repeating-character-replacement/" TargetMode="External"/><Relationship Id="rId33" Type="http://schemas.openxmlformats.org/officeDocument/2006/relationships/hyperlink" Target="https://leetcode.com/problems/time-based-key-value-store/" TargetMode="External"/><Relationship Id="rId38" Type="http://schemas.openxmlformats.org/officeDocument/2006/relationships/hyperlink" Target="https://leetcode.com/problems/reorder-list/" TargetMode="External"/><Relationship Id="rId59" Type="http://schemas.openxmlformats.org/officeDocument/2006/relationships/hyperlink" Target="https://leetcode.com/problems/serialize-and-deserialize-binary-tree/" TargetMode="External"/><Relationship Id="rId103" Type="http://schemas.openxmlformats.org/officeDocument/2006/relationships/hyperlink" Target="https://leetcode.com/problems/coin-change/" TargetMode="External"/><Relationship Id="rId108" Type="http://schemas.openxmlformats.org/officeDocument/2006/relationships/hyperlink" Target="https://leetcode.com/problems/longest-common-subsequence/" TargetMode="External"/><Relationship Id="rId124" Type="http://schemas.openxmlformats.org/officeDocument/2006/relationships/hyperlink" Target="https://leetcode.com/problems/partition-labels/" TargetMode="External"/><Relationship Id="rId129" Type="http://schemas.openxmlformats.org/officeDocument/2006/relationships/hyperlink" Target="https://leetcode.com/problems/meeting-rooms/" TargetMode="External"/><Relationship Id="rId54" Type="http://schemas.openxmlformats.org/officeDocument/2006/relationships/hyperlink" Target="https://leetcode.com/problems/count-good-nodes-in-binary-tree/" TargetMode="External"/><Relationship Id="rId70" Type="http://schemas.openxmlformats.org/officeDocument/2006/relationships/hyperlink" Target="https://leetcode.com/problems/subsets/" TargetMode="External"/><Relationship Id="rId75" Type="http://schemas.openxmlformats.org/officeDocument/2006/relationships/hyperlink" Target="https://leetcode.com/problems/word-search/" TargetMode="External"/><Relationship Id="rId91" Type="http://schemas.openxmlformats.org/officeDocument/2006/relationships/hyperlink" Target="https://leetcode.com/problems/min-cost-to-connect-all-points/" TargetMode="External"/><Relationship Id="rId96" Type="http://schemas.openxmlformats.org/officeDocument/2006/relationships/hyperlink" Target="https://leetcode.com/problems/climbing-stairs/" TargetMode="External"/><Relationship Id="rId140" Type="http://schemas.openxmlformats.org/officeDocument/2006/relationships/hyperlink" Target="https://leetcode.com/problems/missing-number/" TargetMode="External"/><Relationship Id="rId1" Type="http://schemas.openxmlformats.org/officeDocument/2006/relationships/hyperlink" Target="https://leetcode.com/problems/contains-duplicate/" TargetMode="External"/><Relationship Id="rId6" Type="http://schemas.openxmlformats.org/officeDocument/2006/relationships/hyperlink" Target="https://leetcode.com/problems/product-of-array-except-self/" TargetMode="External"/><Relationship Id="rId23" Type="http://schemas.openxmlformats.org/officeDocument/2006/relationships/hyperlink" Target="https://leetcode.com/problems/evaluate-reverse-polish-notation/" TargetMode="External"/><Relationship Id="rId28" Type="http://schemas.openxmlformats.org/officeDocument/2006/relationships/hyperlink" Target="https://leetcode.com/problems/binary-search/" TargetMode="External"/><Relationship Id="rId49" Type="http://schemas.openxmlformats.org/officeDocument/2006/relationships/hyperlink" Target="https://leetcode.com/problems/same-tree/" TargetMode="External"/><Relationship Id="rId114" Type="http://schemas.openxmlformats.org/officeDocument/2006/relationships/hyperlink" Target="https://leetcode.com/problems/distinct-subsequences/" TargetMode="External"/><Relationship Id="rId119" Type="http://schemas.openxmlformats.org/officeDocument/2006/relationships/hyperlink" Target="https://leetcode.com/problems/jump-game/" TargetMode="External"/><Relationship Id="rId44" Type="http://schemas.openxmlformats.org/officeDocument/2006/relationships/hyperlink" Target="https://leetcode.com/problems/reverse-nodes-in-k-group/" TargetMode="External"/><Relationship Id="rId60" Type="http://schemas.openxmlformats.org/officeDocument/2006/relationships/hyperlink" Target="https://leetcode.com/problems/implement-trie-prefix-tree/" TargetMode="External"/><Relationship Id="rId65" Type="http://schemas.openxmlformats.org/officeDocument/2006/relationships/hyperlink" Target="https://leetcode.com/problems/k-closest-points-to-origin/" TargetMode="External"/><Relationship Id="rId81" Type="http://schemas.openxmlformats.org/officeDocument/2006/relationships/hyperlink" Target="https://leetcode.com/problems/clone-graph/" TargetMode="External"/><Relationship Id="rId86" Type="http://schemas.openxmlformats.org/officeDocument/2006/relationships/hyperlink" Target="https://leetcode.com/problems/course-schedule/" TargetMode="External"/><Relationship Id="rId130" Type="http://schemas.openxmlformats.org/officeDocument/2006/relationships/hyperlink" Target="https://leetcode.com/problems/meeting-rooms-ii/" TargetMode="External"/><Relationship Id="rId135" Type="http://schemas.openxmlformats.org/officeDocument/2006/relationships/hyperlink" Target="https://leetcode.com/problems/detect-squares/" TargetMode="External"/><Relationship Id="rId13" Type="http://schemas.openxmlformats.org/officeDocument/2006/relationships/hyperlink" Target="https://leetcode.com/problems/container-with-most-water/" TargetMode="External"/><Relationship Id="rId18" Type="http://schemas.openxmlformats.org/officeDocument/2006/relationships/hyperlink" Target="https://leetcode.com/problems/permutation-in-string/" TargetMode="External"/><Relationship Id="rId39" Type="http://schemas.openxmlformats.org/officeDocument/2006/relationships/hyperlink" Target="https://leetcode.com/problems/remove-nth-node-from-end-of-list/" TargetMode="External"/><Relationship Id="rId109" Type="http://schemas.openxmlformats.org/officeDocument/2006/relationships/hyperlink" Target="https://leetcode.com/problems/best-time-to-buy-and-sell-stock-with-cooldown/" TargetMode="External"/><Relationship Id="rId34" Type="http://schemas.openxmlformats.org/officeDocument/2006/relationships/hyperlink" Target="https://leetcode.com/problems/median-of-two-sorted-arrays/" TargetMode="External"/><Relationship Id="rId50" Type="http://schemas.openxmlformats.org/officeDocument/2006/relationships/hyperlink" Target="https://leetcode.com/problems/subtree-of-another-tree/" TargetMode="External"/><Relationship Id="rId55" Type="http://schemas.openxmlformats.org/officeDocument/2006/relationships/hyperlink" Target="https://leetcode.com/problems/validate-binary-search-tree/" TargetMode="External"/><Relationship Id="rId76" Type="http://schemas.openxmlformats.org/officeDocument/2006/relationships/hyperlink" Target="https://leetcode.com/problems/palindrome-partitioning/" TargetMode="External"/><Relationship Id="rId97" Type="http://schemas.openxmlformats.org/officeDocument/2006/relationships/hyperlink" Target="https://leetcode.com/problems/min-cost-climbing-stairs/" TargetMode="External"/><Relationship Id="rId104" Type="http://schemas.openxmlformats.org/officeDocument/2006/relationships/hyperlink" Target="https://leetcode.com/problems/maximum-product-subarray/" TargetMode="External"/><Relationship Id="rId120" Type="http://schemas.openxmlformats.org/officeDocument/2006/relationships/hyperlink" Target="https://leetcode.com/problems/jump-game-ii/" TargetMode="External"/><Relationship Id="rId125" Type="http://schemas.openxmlformats.org/officeDocument/2006/relationships/hyperlink" Target="https://leetcode.com/problems/valid-parenthesis-string/" TargetMode="External"/><Relationship Id="rId141" Type="http://schemas.openxmlformats.org/officeDocument/2006/relationships/hyperlink" Target="https://leetcode.com/problems/sum-of-two-integers/" TargetMode="External"/><Relationship Id="rId7" Type="http://schemas.openxmlformats.org/officeDocument/2006/relationships/hyperlink" Target="https://leetcode.com/problems/valid-sudoku/" TargetMode="External"/><Relationship Id="rId71" Type="http://schemas.openxmlformats.org/officeDocument/2006/relationships/hyperlink" Target="https://leetcode.com/problems/combination-sum/" TargetMode="External"/><Relationship Id="rId92" Type="http://schemas.openxmlformats.org/officeDocument/2006/relationships/hyperlink" Target="https://leetcode.com/problems/swim-in-rising-water/" TargetMode="External"/><Relationship Id="rId2" Type="http://schemas.openxmlformats.org/officeDocument/2006/relationships/hyperlink" Target="https://leetcode.com/problems/valid-anagram/" TargetMode="External"/><Relationship Id="rId29" Type="http://schemas.openxmlformats.org/officeDocument/2006/relationships/hyperlink" Target="https://leetcode.com/problems/search-a-2d-matrix/" TargetMode="External"/><Relationship Id="rId24" Type="http://schemas.openxmlformats.org/officeDocument/2006/relationships/hyperlink" Target="https://leetcode.com/problems/generate-parentheses/" TargetMode="External"/><Relationship Id="rId40" Type="http://schemas.openxmlformats.org/officeDocument/2006/relationships/hyperlink" Target="https://leetcode.com/problems/copy-list-with-random-pointer/" TargetMode="External"/><Relationship Id="rId45" Type="http://schemas.openxmlformats.org/officeDocument/2006/relationships/hyperlink" Target="https://leetcode.com/problems/invert-binary-tree/" TargetMode="External"/><Relationship Id="rId66" Type="http://schemas.openxmlformats.org/officeDocument/2006/relationships/hyperlink" Target="https://leetcode.com/problems/kth-largest-element-in-an-array/" TargetMode="External"/><Relationship Id="rId87" Type="http://schemas.openxmlformats.org/officeDocument/2006/relationships/hyperlink" Target="https://leetcode.com/problems/course-schedule-ii/" TargetMode="External"/><Relationship Id="rId110" Type="http://schemas.openxmlformats.org/officeDocument/2006/relationships/hyperlink" Target="https://leetcode.com/problems/coin-change-ii/" TargetMode="External"/><Relationship Id="rId115" Type="http://schemas.openxmlformats.org/officeDocument/2006/relationships/hyperlink" Target="https://leetcode.com/problems/edit-distance/" TargetMode="External"/><Relationship Id="rId131" Type="http://schemas.openxmlformats.org/officeDocument/2006/relationships/hyperlink" Target="https://leetcode.com/problems/minimum-interval-to-include-each-query/" TargetMode="External"/><Relationship Id="rId136" Type="http://schemas.openxmlformats.org/officeDocument/2006/relationships/hyperlink" Target="https://leetcode.com/problems/single-number/" TargetMode="External"/><Relationship Id="rId61" Type="http://schemas.openxmlformats.org/officeDocument/2006/relationships/hyperlink" Target="https://leetcode.com/problems/add-and-search-word-data-structure-design/" TargetMode="External"/><Relationship Id="rId82" Type="http://schemas.openxmlformats.org/officeDocument/2006/relationships/hyperlink" Target="https://leetcode.com/problems/walls-and-gates/" TargetMode="External"/><Relationship Id="rId19" Type="http://schemas.openxmlformats.org/officeDocument/2006/relationships/hyperlink" Target="https://leetcode.com/problems/minimum-window-substring/" TargetMode="External"/><Relationship Id="rId14" Type="http://schemas.openxmlformats.org/officeDocument/2006/relationships/hyperlink" Target="https://leetcode.com/problems/trapping-rain-water/" TargetMode="External"/><Relationship Id="rId30" Type="http://schemas.openxmlformats.org/officeDocument/2006/relationships/hyperlink" Target="https://leetcode.com/problems/koko-eating-bananas/" TargetMode="External"/><Relationship Id="rId35" Type="http://schemas.openxmlformats.org/officeDocument/2006/relationships/hyperlink" Target="https://leetcode.com/problems/reverse-linked-list/" TargetMode="External"/><Relationship Id="rId56" Type="http://schemas.openxmlformats.org/officeDocument/2006/relationships/hyperlink" Target="https://leetcode.com/problems/kth-smallest-element-in-a-bst/" TargetMode="External"/><Relationship Id="rId77" Type="http://schemas.openxmlformats.org/officeDocument/2006/relationships/hyperlink" Target="https://leetcode.com/problems/letter-combinations-of-a-phone-number/" TargetMode="External"/><Relationship Id="rId100" Type="http://schemas.openxmlformats.org/officeDocument/2006/relationships/hyperlink" Target="https://leetcode.com/problems/longest-palindromic-substring/" TargetMode="External"/><Relationship Id="rId105" Type="http://schemas.openxmlformats.org/officeDocument/2006/relationships/hyperlink" Target="https://leetcode.com/problems/word-break/" TargetMode="External"/><Relationship Id="rId126" Type="http://schemas.openxmlformats.org/officeDocument/2006/relationships/hyperlink" Target="https://leetcode.com/problems/insert-interval/" TargetMode="External"/><Relationship Id="rId8" Type="http://schemas.openxmlformats.org/officeDocument/2006/relationships/hyperlink" Target="https://leetcode.com/problems/encode-and-decode-strings/" TargetMode="External"/><Relationship Id="rId51" Type="http://schemas.openxmlformats.org/officeDocument/2006/relationships/hyperlink" Target="https://leetcode.com/problems/lowest-common-ancestor-of-a-binary-search-tree/" TargetMode="External"/><Relationship Id="rId72" Type="http://schemas.openxmlformats.org/officeDocument/2006/relationships/hyperlink" Target="https://leetcode.com/problems/combination-sum-ii/" TargetMode="External"/><Relationship Id="rId93" Type="http://schemas.openxmlformats.org/officeDocument/2006/relationships/hyperlink" Target="https://leetcode.com/problems/alien-dictionary/" TargetMode="External"/><Relationship Id="rId98" Type="http://schemas.openxmlformats.org/officeDocument/2006/relationships/hyperlink" Target="https://leetcode.com/problems/house-robber/" TargetMode="External"/><Relationship Id="rId121" Type="http://schemas.openxmlformats.org/officeDocument/2006/relationships/hyperlink" Target="https://leetcode.com/problems/gas-station/" TargetMode="External"/><Relationship Id="rId142" Type="http://schemas.openxmlformats.org/officeDocument/2006/relationships/hyperlink" Target="https://leetcode.com/problems/reverse-integer/" TargetMode="External"/><Relationship Id="rId3" Type="http://schemas.openxmlformats.org/officeDocument/2006/relationships/hyperlink" Target="https://leetcode.com/problems/two-sum/" TargetMode="External"/><Relationship Id="rId25" Type="http://schemas.openxmlformats.org/officeDocument/2006/relationships/hyperlink" Target="https://leetcode.com/problems/daily-temperatures/" TargetMode="External"/><Relationship Id="rId46" Type="http://schemas.openxmlformats.org/officeDocument/2006/relationships/hyperlink" Target="https://leetcode.com/problems/maximum-depth-of-binary-tree/" TargetMode="External"/><Relationship Id="rId67" Type="http://schemas.openxmlformats.org/officeDocument/2006/relationships/hyperlink" Target="https://leetcode.com/problems/task-scheduler/" TargetMode="External"/><Relationship Id="rId116" Type="http://schemas.openxmlformats.org/officeDocument/2006/relationships/hyperlink" Target="https://leetcode.com/problems/burst-balloons/" TargetMode="External"/><Relationship Id="rId137" Type="http://schemas.openxmlformats.org/officeDocument/2006/relationships/hyperlink" Target="https://leetcode.com/problems/number-of-1-bits/" TargetMode="External"/><Relationship Id="rId20" Type="http://schemas.openxmlformats.org/officeDocument/2006/relationships/hyperlink" Target="https://leetcode.com/problems/sliding-window-maximum/" TargetMode="External"/><Relationship Id="rId41" Type="http://schemas.openxmlformats.org/officeDocument/2006/relationships/hyperlink" Target="https://leetcode.com/problems/find-the-duplicate-number/" TargetMode="External"/><Relationship Id="rId62" Type="http://schemas.openxmlformats.org/officeDocument/2006/relationships/hyperlink" Target="https://leetcode.com/problems/word-search-ii/" TargetMode="External"/><Relationship Id="rId83" Type="http://schemas.openxmlformats.org/officeDocument/2006/relationships/hyperlink" Target="https://leetcode.com/problems/rotting-oranges/" TargetMode="External"/><Relationship Id="rId88" Type="http://schemas.openxmlformats.org/officeDocument/2006/relationships/hyperlink" Target="https://leetcode.com/problems/alien-dictionary/" TargetMode="External"/><Relationship Id="rId111" Type="http://schemas.openxmlformats.org/officeDocument/2006/relationships/hyperlink" Target="https://leetcode.com/problems/target-sum/" TargetMode="External"/><Relationship Id="rId132" Type="http://schemas.openxmlformats.org/officeDocument/2006/relationships/hyperlink" Target="https://leetcode.com/problems/rotate-image/" TargetMode="External"/><Relationship Id="rId15" Type="http://schemas.openxmlformats.org/officeDocument/2006/relationships/hyperlink" Target="https://leetcode.com/problems/best-time-to-buy-and-sell-stock/" TargetMode="External"/><Relationship Id="rId36" Type="http://schemas.openxmlformats.org/officeDocument/2006/relationships/hyperlink" Target="https://leetcode.com/problems/merge-two-sorted-lists/" TargetMode="External"/><Relationship Id="rId57" Type="http://schemas.openxmlformats.org/officeDocument/2006/relationships/hyperlink" Target="https://leetcode.com/problems/construct-binary-tree-from-preorder-and-inorder-traversal/" TargetMode="External"/><Relationship Id="rId106" Type="http://schemas.openxmlformats.org/officeDocument/2006/relationships/hyperlink" Target="https://leetcode.com/problems/longest-increasing-subsequence/" TargetMode="External"/><Relationship Id="rId127" Type="http://schemas.openxmlformats.org/officeDocument/2006/relationships/hyperlink" Target="https://leetcode.com/problems/merge-intervals/" TargetMode="External"/><Relationship Id="rId10" Type="http://schemas.openxmlformats.org/officeDocument/2006/relationships/hyperlink" Target="https://leetcode.com/problems/valid-palindrome/" TargetMode="External"/><Relationship Id="rId31" Type="http://schemas.openxmlformats.org/officeDocument/2006/relationships/hyperlink" Target="https://leetcode.com/problems/find-minimum-in-rotated-sorted-array/" TargetMode="External"/><Relationship Id="rId52" Type="http://schemas.openxmlformats.org/officeDocument/2006/relationships/hyperlink" Target="https://leetcode.com/problems/binary-tree-level-order-traversal/" TargetMode="External"/><Relationship Id="rId73" Type="http://schemas.openxmlformats.org/officeDocument/2006/relationships/hyperlink" Target="https://leetcode.com/problems/permutations/" TargetMode="External"/><Relationship Id="rId78" Type="http://schemas.openxmlformats.org/officeDocument/2006/relationships/hyperlink" Target="https://leetcode.com/problems/n-queens/" TargetMode="External"/><Relationship Id="rId94" Type="http://schemas.openxmlformats.org/officeDocument/2006/relationships/hyperlink" Target="https://leetcode.com/problems/cheapest-flights-within-k-stops/" TargetMode="External"/><Relationship Id="rId99" Type="http://schemas.openxmlformats.org/officeDocument/2006/relationships/hyperlink" Target="https://leetcode.com/problems/house-robber-ii/" TargetMode="External"/><Relationship Id="rId101" Type="http://schemas.openxmlformats.org/officeDocument/2006/relationships/hyperlink" Target="https://leetcode.com/problems/palindromic-substrings/" TargetMode="External"/><Relationship Id="rId122" Type="http://schemas.openxmlformats.org/officeDocument/2006/relationships/hyperlink" Target="https://leetcode.com/problems/hand-of-straights/" TargetMode="External"/><Relationship Id="rId4" Type="http://schemas.openxmlformats.org/officeDocument/2006/relationships/hyperlink" Target="https://leetcode.com/problems/group-anagrams/" TargetMode="External"/><Relationship Id="rId9" Type="http://schemas.openxmlformats.org/officeDocument/2006/relationships/hyperlink" Target="https://leetcode.com/problems/longest-consecutive-sequence/" TargetMode="External"/><Relationship Id="rId26" Type="http://schemas.openxmlformats.org/officeDocument/2006/relationships/hyperlink" Target="https://leetcode.com/problems/car-fleet/" TargetMode="External"/><Relationship Id="rId47" Type="http://schemas.openxmlformats.org/officeDocument/2006/relationships/hyperlink" Target="https://leetcode.com/problems/diameter-of-binary-tree/" TargetMode="External"/><Relationship Id="rId68" Type="http://schemas.openxmlformats.org/officeDocument/2006/relationships/hyperlink" Target="https://leetcode.com/problems/design-twitter/" TargetMode="External"/><Relationship Id="rId89" Type="http://schemas.openxmlformats.org/officeDocument/2006/relationships/hyperlink" Target="https://leetcode.com/problems/word-ladder/" TargetMode="External"/><Relationship Id="rId112" Type="http://schemas.openxmlformats.org/officeDocument/2006/relationships/hyperlink" Target="https://leetcode.com/problems/interleaving-string/" TargetMode="External"/><Relationship Id="rId133" Type="http://schemas.openxmlformats.org/officeDocument/2006/relationships/hyperlink" Target="https://leetcode.com/problems/spiral-matrix/" TargetMode="External"/><Relationship Id="rId16" Type="http://schemas.openxmlformats.org/officeDocument/2006/relationships/hyperlink" Target="https://leetcode.com/problems/longest-substring-without-repeating-characters/"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leetcode.com/problems/reorder-list/" TargetMode="External"/><Relationship Id="rId299" Type="http://schemas.openxmlformats.org/officeDocument/2006/relationships/hyperlink" Target="https://leetcode.com/problems/average-time-of-process-per-machine/" TargetMode="External"/><Relationship Id="rId21" Type="http://schemas.openxmlformats.org/officeDocument/2006/relationships/hyperlink" Target="https://leetcode.com/problems/merge-two-sorted-lists/" TargetMode="External"/><Relationship Id="rId63" Type="http://schemas.openxmlformats.org/officeDocument/2006/relationships/hyperlink" Target="https://leetcode.com/problems/sqrtx/" TargetMode="External"/><Relationship Id="rId159" Type="http://schemas.openxmlformats.org/officeDocument/2006/relationships/hyperlink" Target="https://leetcode.com/problems/majority-element-ii/" TargetMode="External"/><Relationship Id="rId170" Type="http://schemas.openxmlformats.org/officeDocument/2006/relationships/hyperlink" Target="https://leetcode.com/problems/valid-anagram/" TargetMode="External"/><Relationship Id="rId226" Type="http://schemas.openxmlformats.org/officeDocument/2006/relationships/hyperlink" Target="https://leetcode.com/problems/max-consecutive-ones/" TargetMode="External"/><Relationship Id="rId268" Type="http://schemas.openxmlformats.org/officeDocument/2006/relationships/hyperlink" Target="https://leetcode.com/problems/swim-in-rising-water/" TargetMode="External"/><Relationship Id="rId32" Type="http://schemas.openxmlformats.org/officeDocument/2006/relationships/hyperlink" Target="https://leetcode.com/problems/search-in-rotated-sorted-array/" TargetMode="External"/><Relationship Id="rId74" Type="http://schemas.openxmlformats.org/officeDocument/2006/relationships/hyperlink" Target="https://leetcode.com/problems/remove-duplicates-from-sorted-list/" TargetMode="External"/><Relationship Id="rId128" Type="http://schemas.openxmlformats.org/officeDocument/2006/relationships/hyperlink" Target="https://leetcode.com/problems/two-sum-ii-input-array-is-sorted/" TargetMode="External"/><Relationship Id="rId5" Type="http://schemas.openxmlformats.org/officeDocument/2006/relationships/hyperlink" Target="https://leetcode.com/problems/longest-palindromic-substring/" TargetMode="External"/><Relationship Id="rId181" Type="http://schemas.openxmlformats.org/officeDocument/2006/relationships/hyperlink" Target="https://leetcode.com/problems/move-zeroes/" TargetMode="External"/><Relationship Id="rId237" Type="http://schemas.openxmlformats.org/officeDocument/2006/relationships/hyperlink" Target="https://leetcode.com/problems/reverse-string-ii/" TargetMode="External"/><Relationship Id="rId279" Type="http://schemas.openxmlformats.org/officeDocument/2006/relationships/hyperlink" Target="https://leetcode.com/problems/sum-of-subarray-minimums/" TargetMode="External"/><Relationship Id="rId43" Type="http://schemas.openxmlformats.org/officeDocument/2006/relationships/hyperlink" Target="https://leetcode.com/problems/wildcard-matching/" TargetMode="External"/><Relationship Id="rId139" Type="http://schemas.openxmlformats.org/officeDocument/2006/relationships/hyperlink" Target="https://leetcode.com/problems/count-primes/" TargetMode="External"/><Relationship Id="rId290" Type="http://schemas.openxmlformats.org/officeDocument/2006/relationships/hyperlink" Target="https://leetcode.com/problems/car-pooling/" TargetMode="External"/><Relationship Id="rId304" Type="http://schemas.openxmlformats.org/officeDocument/2006/relationships/hyperlink" Target="https://leetcode.com/problems/concatenation-of-array/" TargetMode="External"/><Relationship Id="rId85" Type="http://schemas.openxmlformats.org/officeDocument/2006/relationships/hyperlink" Target="https://leetcode.com/problems/same-tree/" TargetMode="External"/><Relationship Id="rId150" Type="http://schemas.openxmlformats.org/officeDocument/2006/relationships/hyperlink" Target="https://leetcode.com/problems/contains-duplicate/" TargetMode="External"/><Relationship Id="rId192" Type="http://schemas.openxmlformats.org/officeDocument/2006/relationships/hyperlink" Target="https://leetcode.com/problems/house-robber-iii/" TargetMode="External"/><Relationship Id="rId206" Type="http://schemas.openxmlformats.org/officeDocument/2006/relationships/hyperlink" Target="https://leetcode.com/problems/find-the-difference/" TargetMode="External"/><Relationship Id="rId248" Type="http://schemas.openxmlformats.org/officeDocument/2006/relationships/hyperlink" Target="https://leetcode.com/problems/design-search-autocomplete-system/" TargetMode="External"/><Relationship Id="rId12" Type="http://schemas.openxmlformats.org/officeDocument/2006/relationships/hyperlink" Target="https://leetcode.com/problems/integer-to-roman/" TargetMode="External"/><Relationship Id="rId108" Type="http://schemas.openxmlformats.org/officeDocument/2006/relationships/hyperlink" Target="https://leetcode.com/problems/palindrome-partitioning/" TargetMode="External"/><Relationship Id="rId54" Type="http://schemas.openxmlformats.org/officeDocument/2006/relationships/hyperlink" Target="https://leetcode.com/problems/insert-interval/" TargetMode="External"/><Relationship Id="rId96" Type="http://schemas.openxmlformats.org/officeDocument/2006/relationships/hyperlink" Target="https://leetcode.com/problems/pascals-triangle/" TargetMode="External"/><Relationship Id="rId161" Type="http://schemas.openxmlformats.org/officeDocument/2006/relationships/hyperlink" Target="https://leetcode.com/problems/power-of-two/" TargetMode="External"/><Relationship Id="rId217" Type="http://schemas.openxmlformats.org/officeDocument/2006/relationships/hyperlink" Target="https://leetcode.com/problems/longest-repeating-character-replacement/" TargetMode="External"/><Relationship Id="rId259" Type="http://schemas.openxmlformats.org/officeDocument/2006/relationships/hyperlink" Target="https://leetcode.com/problems/accounts-merge/" TargetMode="External"/><Relationship Id="rId23" Type="http://schemas.openxmlformats.org/officeDocument/2006/relationships/hyperlink" Target="https://leetcode.com/problems/merge-k-sorted-lists/" TargetMode="External"/><Relationship Id="rId119" Type="http://schemas.openxmlformats.org/officeDocument/2006/relationships/hyperlink" Target="https://leetcode.com/problems/sort-list/" TargetMode="External"/><Relationship Id="rId270" Type="http://schemas.openxmlformats.org/officeDocument/2006/relationships/hyperlink" Target="https://leetcode.com/problems/find-eventual-safe-states/" TargetMode="External"/><Relationship Id="rId291" Type="http://schemas.openxmlformats.org/officeDocument/2006/relationships/hyperlink" Target="https://leetcode.com/problems/the-earliest-moment-when-everyone-become-friends/" TargetMode="External"/><Relationship Id="rId305" Type="http://schemas.openxmlformats.org/officeDocument/2006/relationships/hyperlink" Target="https://leetcode.com/problems/add-two-integers/" TargetMode="External"/><Relationship Id="rId44" Type="http://schemas.openxmlformats.org/officeDocument/2006/relationships/hyperlink" Target="https://leetcode.com/problems/jump-game-ii/" TargetMode="External"/><Relationship Id="rId65" Type="http://schemas.openxmlformats.org/officeDocument/2006/relationships/hyperlink" Target="https://leetcode.com/problems/simplify-path/" TargetMode="External"/><Relationship Id="rId86" Type="http://schemas.openxmlformats.org/officeDocument/2006/relationships/hyperlink" Target="https://leetcode.com/problems/symmetric-tree/" TargetMode="External"/><Relationship Id="rId130" Type="http://schemas.openxmlformats.org/officeDocument/2006/relationships/hyperlink" Target="https://leetcode.com/problems/majority-element/" TargetMode="External"/><Relationship Id="rId151" Type="http://schemas.openxmlformats.org/officeDocument/2006/relationships/hyperlink" Target="https://leetcode.com/problems/the-skyline-problem/" TargetMode="External"/><Relationship Id="rId172" Type="http://schemas.openxmlformats.org/officeDocument/2006/relationships/hyperlink" Target="https://leetcode.com/problems/meeting-rooms-ii/" TargetMode="External"/><Relationship Id="rId193" Type="http://schemas.openxmlformats.org/officeDocument/2006/relationships/hyperlink" Target="https://leetcode.com/problems/reverse-string/" TargetMode="External"/><Relationship Id="rId207" Type="http://schemas.openxmlformats.org/officeDocument/2006/relationships/hyperlink" Target="https://leetcode.com/problems/is-subsequence/" TargetMode="External"/><Relationship Id="rId228" Type="http://schemas.openxmlformats.org/officeDocument/2006/relationships/hyperlink" Target="https://leetcode.com/problems/target-sum/" TargetMode="External"/><Relationship Id="rId249" Type="http://schemas.openxmlformats.org/officeDocument/2006/relationships/hyperlink" Target="https://leetcode.com/problems/maximum-average-subarray-i/" TargetMode="External"/><Relationship Id="rId13" Type="http://schemas.openxmlformats.org/officeDocument/2006/relationships/hyperlink" Target="https://leetcode.com/problems/roman-to-integer/" TargetMode="External"/><Relationship Id="rId109" Type="http://schemas.openxmlformats.org/officeDocument/2006/relationships/hyperlink" Target="https://leetcode.com/problems/gas-station/" TargetMode="External"/><Relationship Id="rId260" Type="http://schemas.openxmlformats.org/officeDocument/2006/relationships/hyperlink" Target="https://leetcode.com/problems/flood-fill/" TargetMode="External"/><Relationship Id="rId281" Type="http://schemas.openxmlformats.org/officeDocument/2006/relationships/hyperlink" Target="https://leetcode.com/problems/shortest-bridge/" TargetMode="External"/><Relationship Id="rId34" Type="http://schemas.openxmlformats.org/officeDocument/2006/relationships/hyperlink" Target="https://leetcode.com/problems/search-insert-position/" TargetMode="External"/><Relationship Id="rId55" Type="http://schemas.openxmlformats.org/officeDocument/2006/relationships/hyperlink" Target="https://leetcode.com/problems/length-of-last-word/" TargetMode="External"/><Relationship Id="rId76" Type="http://schemas.openxmlformats.org/officeDocument/2006/relationships/hyperlink" Target="https://leetcode.com/problems/maximal-rectangle/" TargetMode="External"/><Relationship Id="rId97" Type="http://schemas.openxmlformats.org/officeDocument/2006/relationships/hyperlink" Target="https://leetcode.com/problems/triangle/" TargetMode="External"/><Relationship Id="rId120" Type="http://schemas.openxmlformats.org/officeDocument/2006/relationships/hyperlink" Target="https://leetcode.com/problems/max-points-on-a-line/" TargetMode="External"/><Relationship Id="rId141" Type="http://schemas.openxmlformats.org/officeDocument/2006/relationships/hyperlink" Target="https://leetcode.com/problems/reverse-linked-list/" TargetMode="External"/><Relationship Id="rId7" Type="http://schemas.openxmlformats.org/officeDocument/2006/relationships/hyperlink" Target="https://leetcode.com/problems/reverse-integer/" TargetMode="External"/><Relationship Id="rId162" Type="http://schemas.openxmlformats.org/officeDocument/2006/relationships/hyperlink" Target="https://leetcode.com/problems/implement-queue-using-stacks/" TargetMode="External"/><Relationship Id="rId183" Type="http://schemas.openxmlformats.org/officeDocument/2006/relationships/hyperlink" Target="https://leetcode.com/problems/find-the-duplicate-number/" TargetMode="External"/><Relationship Id="rId218" Type="http://schemas.openxmlformats.org/officeDocument/2006/relationships/hyperlink" Target="https://leetcode.com/problems/non-overlapping-intervals/" TargetMode="External"/><Relationship Id="rId239" Type="http://schemas.openxmlformats.org/officeDocument/2006/relationships/hyperlink" Target="https://leetcode.com/problems/number-of-provinces/" TargetMode="External"/><Relationship Id="rId250" Type="http://schemas.openxmlformats.org/officeDocument/2006/relationships/hyperlink" Target="https://leetcode.com/problems/find-k-closest-elements/" TargetMode="External"/><Relationship Id="rId271" Type="http://schemas.openxmlformats.org/officeDocument/2006/relationships/hyperlink" Target="https://leetcode.com/problems/guess-the-word/" TargetMode="External"/><Relationship Id="rId292" Type="http://schemas.openxmlformats.org/officeDocument/2006/relationships/hyperlink" Target="https://leetcode.com/problems/longest-common-subsequence/" TargetMode="External"/><Relationship Id="rId306" Type="http://schemas.openxmlformats.org/officeDocument/2006/relationships/hyperlink" Target="https://leetcode.com/problems/meeting-rooms-iii/" TargetMode="External"/><Relationship Id="rId24" Type="http://schemas.openxmlformats.org/officeDocument/2006/relationships/hyperlink" Target="https://leetcode.com/problems/swap-nodes-in-pairs/" TargetMode="External"/><Relationship Id="rId45" Type="http://schemas.openxmlformats.org/officeDocument/2006/relationships/hyperlink" Target="https://leetcode.com/problems/permutations/" TargetMode="External"/><Relationship Id="rId66" Type="http://schemas.openxmlformats.org/officeDocument/2006/relationships/hyperlink" Target="https://leetcode.com/problems/edit-distance/" TargetMode="External"/><Relationship Id="rId87" Type="http://schemas.openxmlformats.org/officeDocument/2006/relationships/hyperlink" Target="https://leetcode.com/problems/binary-tree-level-order-traversal/" TargetMode="External"/><Relationship Id="rId110" Type="http://schemas.openxmlformats.org/officeDocument/2006/relationships/hyperlink" Target="https://leetcode.com/problems/candy/" TargetMode="External"/><Relationship Id="rId131" Type="http://schemas.openxmlformats.org/officeDocument/2006/relationships/hyperlink" Target="https://leetcode.com/problems/second-highest-salary/" TargetMode="External"/><Relationship Id="rId152" Type="http://schemas.openxmlformats.org/officeDocument/2006/relationships/hyperlink" Target="https://leetcode.com/problems/contains-duplicate-ii/" TargetMode="External"/><Relationship Id="rId173" Type="http://schemas.openxmlformats.org/officeDocument/2006/relationships/hyperlink" Target="https://leetcode.com/problems/binary-tree-paths/" TargetMode="External"/><Relationship Id="rId194" Type="http://schemas.openxmlformats.org/officeDocument/2006/relationships/hyperlink" Target="https://leetcode.com/problems/reverse-vowels-of-a-string/" TargetMode="External"/><Relationship Id="rId208" Type="http://schemas.openxmlformats.org/officeDocument/2006/relationships/hyperlink" Target="https://leetcode.com/problems/decode-string/" TargetMode="External"/><Relationship Id="rId229" Type="http://schemas.openxmlformats.org/officeDocument/2006/relationships/hyperlink" Target="https://leetcode.com/problems/next-greater-element-i/" TargetMode="External"/><Relationship Id="rId240" Type="http://schemas.openxmlformats.org/officeDocument/2006/relationships/hyperlink" Target="https://leetcode.com/problems/subarray-sum-equals-k/" TargetMode="External"/><Relationship Id="rId261" Type="http://schemas.openxmlformats.org/officeDocument/2006/relationships/hyperlink" Target="https://leetcode.com/problems/asteroid-collision/" TargetMode="External"/><Relationship Id="rId14" Type="http://schemas.openxmlformats.org/officeDocument/2006/relationships/hyperlink" Target="https://leetcode.com/problems/longest-common-prefix/" TargetMode="External"/><Relationship Id="rId35" Type="http://schemas.openxmlformats.org/officeDocument/2006/relationships/hyperlink" Target="https://leetcode.com/problems/valid-sudoku/" TargetMode="External"/><Relationship Id="rId56" Type="http://schemas.openxmlformats.org/officeDocument/2006/relationships/hyperlink" Target="https://leetcode.com/problems/permutation-sequence/" TargetMode="External"/><Relationship Id="rId77" Type="http://schemas.openxmlformats.org/officeDocument/2006/relationships/hyperlink" Target="https://leetcode.com/problems/merge-sorted-array/" TargetMode="External"/><Relationship Id="rId100" Type="http://schemas.openxmlformats.org/officeDocument/2006/relationships/hyperlink" Target="https://leetcode.com/problems/best-time-to-buy-and-sell-stock-iii/" TargetMode="External"/><Relationship Id="rId282" Type="http://schemas.openxmlformats.org/officeDocument/2006/relationships/hyperlink" Target="https://leetcode.com/problems/maximum-width-ramp/" TargetMode="External"/><Relationship Id="rId8" Type="http://schemas.openxmlformats.org/officeDocument/2006/relationships/hyperlink" Target="https://leetcode.com/problems/string-to-integer-atoi/" TargetMode="External"/><Relationship Id="rId98" Type="http://schemas.openxmlformats.org/officeDocument/2006/relationships/hyperlink" Target="https://leetcode.com/problems/best-time-to-buy-and-sell-stock/" TargetMode="External"/><Relationship Id="rId121" Type="http://schemas.openxmlformats.org/officeDocument/2006/relationships/hyperlink" Target="https://leetcode.com/problems/evaluate-reverse-polish-notation/" TargetMode="External"/><Relationship Id="rId142" Type="http://schemas.openxmlformats.org/officeDocument/2006/relationships/hyperlink" Target="https://leetcode.com/problems/course-schedule/" TargetMode="External"/><Relationship Id="rId163" Type="http://schemas.openxmlformats.org/officeDocument/2006/relationships/hyperlink" Target="https://leetcode.com/problems/palindrome-linked-list/" TargetMode="External"/><Relationship Id="rId184" Type="http://schemas.openxmlformats.org/officeDocument/2006/relationships/hyperlink" Target="https://leetcode.com/problems/find-median-from-data-stream/" TargetMode="External"/><Relationship Id="rId219" Type="http://schemas.openxmlformats.org/officeDocument/2006/relationships/hyperlink" Target="https://leetcode.com/problems/path-sum-iii/" TargetMode="External"/><Relationship Id="rId230" Type="http://schemas.openxmlformats.org/officeDocument/2006/relationships/hyperlink" Target="https://leetcode.com/problems/diagonal-traverse/" TargetMode="External"/><Relationship Id="rId251" Type="http://schemas.openxmlformats.org/officeDocument/2006/relationships/hyperlink" Target="https://leetcode.com/problems/maximum-width-of-binary-tree/" TargetMode="External"/><Relationship Id="rId25" Type="http://schemas.openxmlformats.org/officeDocument/2006/relationships/hyperlink" Target="https://leetcode.com/problems/reverse-nodes-in-k-group/" TargetMode="External"/><Relationship Id="rId46" Type="http://schemas.openxmlformats.org/officeDocument/2006/relationships/hyperlink" Target="https://leetcode.com/problems/rotate-image/" TargetMode="External"/><Relationship Id="rId67" Type="http://schemas.openxmlformats.org/officeDocument/2006/relationships/hyperlink" Target="https://leetcode.com/problems/set-matrix-zeroes/" TargetMode="External"/><Relationship Id="rId272" Type="http://schemas.openxmlformats.org/officeDocument/2006/relationships/hyperlink" Target="https://leetcode.com/problems/backspace-string-compare/" TargetMode="External"/><Relationship Id="rId293" Type="http://schemas.openxmlformats.org/officeDocument/2006/relationships/hyperlink" Target="https://leetcode.com/problems/unique-number-of-occurrences/" TargetMode="External"/><Relationship Id="rId307" Type="http://schemas.openxmlformats.org/officeDocument/2006/relationships/hyperlink" Target="https://leetcode.com/problems/create-hello-world-function/" TargetMode="External"/><Relationship Id="rId88" Type="http://schemas.openxmlformats.org/officeDocument/2006/relationships/hyperlink" Target="https://leetcode.com/problems/binary-tree-zigzag-level-order-traversal/" TargetMode="External"/><Relationship Id="rId111" Type="http://schemas.openxmlformats.org/officeDocument/2006/relationships/hyperlink" Target="https://leetcode.com/problems/single-number/" TargetMode="External"/><Relationship Id="rId132" Type="http://schemas.openxmlformats.org/officeDocument/2006/relationships/hyperlink" Target="https://leetcode.com/problems/employees-earning-more-than-their-managers/" TargetMode="External"/><Relationship Id="rId153" Type="http://schemas.openxmlformats.org/officeDocument/2006/relationships/hyperlink" Target="https://leetcode.com/problems/maximal-square/" TargetMode="External"/><Relationship Id="rId174" Type="http://schemas.openxmlformats.org/officeDocument/2006/relationships/hyperlink" Target="https://leetcode.com/problems/add-digits/" TargetMode="External"/><Relationship Id="rId195" Type="http://schemas.openxmlformats.org/officeDocument/2006/relationships/hyperlink" Target="https://leetcode.com/problems/top-k-frequent-elements/" TargetMode="External"/><Relationship Id="rId209" Type="http://schemas.openxmlformats.org/officeDocument/2006/relationships/hyperlink" Target="https://leetcode.com/problems/evaluate-division/" TargetMode="External"/><Relationship Id="rId220" Type="http://schemas.openxmlformats.org/officeDocument/2006/relationships/hyperlink" Target="https://leetcode.com/problems/find-all-anagrams-in-a-string/" TargetMode="External"/><Relationship Id="rId241" Type="http://schemas.openxmlformats.org/officeDocument/2006/relationships/hyperlink" Target="https://leetcode.com/problems/permutation-in-string/" TargetMode="External"/><Relationship Id="rId15" Type="http://schemas.openxmlformats.org/officeDocument/2006/relationships/hyperlink" Target="https://leetcode.com/problems/3sum/" TargetMode="External"/><Relationship Id="rId36" Type="http://schemas.openxmlformats.org/officeDocument/2006/relationships/hyperlink" Target="https://leetcode.com/problems/sudoku-solver/" TargetMode="External"/><Relationship Id="rId57" Type="http://schemas.openxmlformats.org/officeDocument/2006/relationships/hyperlink" Target="https://leetcode.com/problems/rotate-list/" TargetMode="External"/><Relationship Id="rId262" Type="http://schemas.openxmlformats.org/officeDocument/2006/relationships/hyperlink" Target="https://leetcode.com/problems/daily-temperatures/" TargetMode="External"/><Relationship Id="rId283" Type="http://schemas.openxmlformats.org/officeDocument/2006/relationships/hyperlink" Target="https://leetcode.com/problems/squares-of-a-sorted-array/" TargetMode="External"/><Relationship Id="rId78" Type="http://schemas.openxmlformats.org/officeDocument/2006/relationships/hyperlink" Target="https://leetcode.com/problems/subsets-ii/" TargetMode="External"/><Relationship Id="rId99" Type="http://schemas.openxmlformats.org/officeDocument/2006/relationships/hyperlink" Target="https://leetcode.com/problems/best-time-to-buy-and-sell-stock-ii/" TargetMode="External"/><Relationship Id="rId101" Type="http://schemas.openxmlformats.org/officeDocument/2006/relationships/hyperlink" Target="https://leetcode.com/problems/binary-tree-maximum-path-sum/" TargetMode="External"/><Relationship Id="rId122" Type="http://schemas.openxmlformats.org/officeDocument/2006/relationships/hyperlink" Target="https://leetcode.com/problems/reverse-words-in-a-string/" TargetMode="External"/><Relationship Id="rId143" Type="http://schemas.openxmlformats.org/officeDocument/2006/relationships/hyperlink" Target="https://leetcode.com/problems/implement-trie-prefix-tree/" TargetMode="External"/><Relationship Id="rId164" Type="http://schemas.openxmlformats.org/officeDocument/2006/relationships/hyperlink" Target="https://leetcode.com/problems/lowest-common-ancestor-of-a-binary-search-tree/" TargetMode="External"/><Relationship Id="rId185" Type="http://schemas.openxmlformats.org/officeDocument/2006/relationships/hyperlink" Target="https://leetcode.com/problems/serialize-and-deserialize-binary-tree/" TargetMode="External"/><Relationship Id="rId9" Type="http://schemas.openxmlformats.org/officeDocument/2006/relationships/hyperlink" Target="https://leetcode.com/problems/palindrome-number/" TargetMode="External"/><Relationship Id="rId210" Type="http://schemas.openxmlformats.org/officeDocument/2006/relationships/hyperlink" Target="https://leetcode.com/problems/remove-k-digits/" TargetMode="External"/><Relationship Id="rId26" Type="http://schemas.openxmlformats.org/officeDocument/2006/relationships/hyperlink" Target="https://leetcode.com/problems/remove-duplicates-from-sorted-array/" TargetMode="External"/><Relationship Id="rId231" Type="http://schemas.openxmlformats.org/officeDocument/2006/relationships/hyperlink" Target="https://leetcode.com/problems/next-greater-element-ii/" TargetMode="External"/><Relationship Id="rId252" Type="http://schemas.openxmlformats.org/officeDocument/2006/relationships/hyperlink" Target="https://leetcode.com/problems/valid-parenthesis-string/" TargetMode="External"/><Relationship Id="rId273" Type="http://schemas.openxmlformats.org/officeDocument/2006/relationships/hyperlink" Target="https://leetcode.com/problems/peak-index-in-a-mountain-array/" TargetMode="External"/><Relationship Id="rId294" Type="http://schemas.openxmlformats.org/officeDocument/2006/relationships/hyperlink" Target="https://leetcode.com/problems/count-square-submatrices-with-all-ones/" TargetMode="External"/><Relationship Id="rId308" Type="http://schemas.openxmlformats.org/officeDocument/2006/relationships/hyperlink" Target="https://leetcode.com/problems/to-be-or-not-to-be/" TargetMode="External"/><Relationship Id="rId47" Type="http://schemas.openxmlformats.org/officeDocument/2006/relationships/hyperlink" Target="https://leetcode.com/problems/group-anagrams/" TargetMode="External"/><Relationship Id="rId68" Type="http://schemas.openxmlformats.org/officeDocument/2006/relationships/hyperlink" Target="https://leetcode.com/problems/search-a-2d-matrix/" TargetMode="External"/><Relationship Id="rId89" Type="http://schemas.openxmlformats.org/officeDocument/2006/relationships/hyperlink" Target="https://leetcode.com/problems/maximum-depth-of-binary-tree/" TargetMode="External"/><Relationship Id="rId112" Type="http://schemas.openxmlformats.org/officeDocument/2006/relationships/hyperlink" Target="https://leetcode.com/problems/single-number-ii/" TargetMode="External"/><Relationship Id="rId133" Type="http://schemas.openxmlformats.org/officeDocument/2006/relationships/hyperlink" Target="https://leetcode.com/problems/rotate-array/" TargetMode="External"/><Relationship Id="rId154" Type="http://schemas.openxmlformats.org/officeDocument/2006/relationships/hyperlink" Target="https://leetcode.com/problems/basic-calculator/" TargetMode="External"/><Relationship Id="rId175" Type="http://schemas.openxmlformats.org/officeDocument/2006/relationships/hyperlink" Target="https://leetcode.com/problems/ugly-number/" TargetMode="External"/><Relationship Id="rId196" Type="http://schemas.openxmlformats.org/officeDocument/2006/relationships/hyperlink" Target="https://leetcode.com/problems/intersection-of-two-arrays/" TargetMode="External"/><Relationship Id="rId200" Type="http://schemas.openxmlformats.org/officeDocument/2006/relationships/hyperlink" Target="https://leetcode.com/problems/largest-divisible-subset/" TargetMode="External"/><Relationship Id="rId16" Type="http://schemas.openxmlformats.org/officeDocument/2006/relationships/hyperlink" Target="https://leetcode.com/problems/3sum-closest/" TargetMode="External"/><Relationship Id="rId221" Type="http://schemas.openxmlformats.org/officeDocument/2006/relationships/hyperlink" Target="https://leetcode.com/problems/find-all-duplicates-in-an-array/" TargetMode="External"/><Relationship Id="rId242" Type="http://schemas.openxmlformats.org/officeDocument/2006/relationships/hyperlink" Target="https://leetcode.com/problems/managers-with-at-least-5-direct-reports/" TargetMode="External"/><Relationship Id="rId263" Type="http://schemas.openxmlformats.org/officeDocument/2006/relationships/hyperlink" Target="https://leetcode.com/problems/network-delay-time/" TargetMode="External"/><Relationship Id="rId284" Type="http://schemas.openxmlformats.org/officeDocument/2006/relationships/hyperlink" Target="https://leetcode.com/problems/time-based-key-value-store/" TargetMode="External"/><Relationship Id="rId37" Type="http://schemas.openxmlformats.org/officeDocument/2006/relationships/hyperlink" Target="https://leetcode.com/problems/count-and-say/" TargetMode="External"/><Relationship Id="rId58" Type="http://schemas.openxmlformats.org/officeDocument/2006/relationships/hyperlink" Target="https://leetcode.com/problems/unique-paths/" TargetMode="External"/><Relationship Id="rId79" Type="http://schemas.openxmlformats.org/officeDocument/2006/relationships/hyperlink" Target="https://leetcode.com/problems/decode-ways/" TargetMode="External"/><Relationship Id="rId102" Type="http://schemas.openxmlformats.org/officeDocument/2006/relationships/hyperlink" Target="https://leetcode.com/problems/valid-palindrome/" TargetMode="External"/><Relationship Id="rId123" Type="http://schemas.openxmlformats.org/officeDocument/2006/relationships/hyperlink" Target="https://leetcode.com/problems/maximum-product-subarray/" TargetMode="External"/><Relationship Id="rId144" Type="http://schemas.openxmlformats.org/officeDocument/2006/relationships/hyperlink" Target="https://leetcode.com/problems/minimum-size-subarray-sum/" TargetMode="External"/><Relationship Id="rId90" Type="http://schemas.openxmlformats.org/officeDocument/2006/relationships/hyperlink" Target="https://leetcode.com/problems/construct-binary-tree-from-preorder-and-inorder-traversal/" TargetMode="External"/><Relationship Id="rId165" Type="http://schemas.openxmlformats.org/officeDocument/2006/relationships/hyperlink" Target="https://leetcode.com/problems/lowest-common-ancestor-of-a-binary-tree/" TargetMode="External"/><Relationship Id="rId186" Type="http://schemas.openxmlformats.org/officeDocument/2006/relationships/hyperlink" Target="https://leetcode.com/problems/longest-increasing-subsequence/" TargetMode="External"/><Relationship Id="rId211" Type="http://schemas.openxmlformats.org/officeDocument/2006/relationships/hyperlink" Target="https://leetcode.com/problems/trapping-rain-water-ii/" TargetMode="External"/><Relationship Id="rId232" Type="http://schemas.openxmlformats.org/officeDocument/2006/relationships/hyperlink" Target="https://leetcode.com/problems/fibonacci-number/" TargetMode="External"/><Relationship Id="rId253" Type="http://schemas.openxmlformats.org/officeDocument/2006/relationships/hyperlink" Target="https://leetcode.com/problems/valid-palindrome-ii/" TargetMode="External"/><Relationship Id="rId274" Type="http://schemas.openxmlformats.org/officeDocument/2006/relationships/hyperlink" Target="https://leetcode.com/problems/transpose-matrix/" TargetMode="External"/><Relationship Id="rId295" Type="http://schemas.openxmlformats.org/officeDocument/2006/relationships/hyperlink" Target="https://leetcode.com/problems/replace-employee-id-with-the-unique-identifier/" TargetMode="External"/><Relationship Id="rId27" Type="http://schemas.openxmlformats.org/officeDocument/2006/relationships/hyperlink" Target="https://leetcode.com/problems/remove-element/" TargetMode="External"/><Relationship Id="rId48" Type="http://schemas.openxmlformats.org/officeDocument/2006/relationships/hyperlink" Target="https://leetcode.com/problems/powx-n/" TargetMode="External"/><Relationship Id="rId69" Type="http://schemas.openxmlformats.org/officeDocument/2006/relationships/hyperlink" Target="https://leetcode.com/problems/sort-colors/" TargetMode="External"/><Relationship Id="rId113" Type="http://schemas.openxmlformats.org/officeDocument/2006/relationships/hyperlink" Target="https://leetcode.com/problems/copy-list-with-random-pointer/" TargetMode="External"/><Relationship Id="rId134" Type="http://schemas.openxmlformats.org/officeDocument/2006/relationships/hyperlink" Target="https://leetcode.com/problems/number-of-1-bits/" TargetMode="External"/><Relationship Id="rId80" Type="http://schemas.openxmlformats.org/officeDocument/2006/relationships/hyperlink" Target="https://leetcode.com/problems/reverse-linked-list-ii/" TargetMode="External"/><Relationship Id="rId155" Type="http://schemas.openxmlformats.org/officeDocument/2006/relationships/hyperlink" Target="https://leetcode.com/problems/implement-stack-using-queues/" TargetMode="External"/><Relationship Id="rId176" Type="http://schemas.openxmlformats.org/officeDocument/2006/relationships/hyperlink" Target="https://leetcode.com/problems/missing-number/" TargetMode="External"/><Relationship Id="rId197" Type="http://schemas.openxmlformats.org/officeDocument/2006/relationships/hyperlink" Target="https://leetcode.com/problems/russian-doll-envelopes/" TargetMode="External"/><Relationship Id="rId201" Type="http://schemas.openxmlformats.org/officeDocument/2006/relationships/hyperlink" Target="https://leetcode.com/problems/sum-of-two-integers/" TargetMode="External"/><Relationship Id="rId222" Type="http://schemas.openxmlformats.org/officeDocument/2006/relationships/hyperlink" Target="https://leetcode.com/problems/string-compression/" TargetMode="External"/><Relationship Id="rId243" Type="http://schemas.openxmlformats.org/officeDocument/2006/relationships/hyperlink" Target="https://leetcode.com/problems/find-customer-referee/" TargetMode="External"/><Relationship Id="rId264" Type="http://schemas.openxmlformats.org/officeDocument/2006/relationships/hyperlink" Target="https://leetcode.com/problems/employee-free-time/" TargetMode="External"/><Relationship Id="rId285" Type="http://schemas.openxmlformats.org/officeDocument/2006/relationships/hyperlink" Target="https://leetcode.com/problems/rotting-oranges/" TargetMode="External"/><Relationship Id="rId17" Type="http://schemas.openxmlformats.org/officeDocument/2006/relationships/hyperlink" Target="https://leetcode.com/problems/letter-combinations-of-a-phone-number/" TargetMode="External"/><Relationship Id="rId38" Type="http://schemas.openxmlformats.org/officeDocument/2006/relationships/hyperlink" Target="https://leetcode.com/problems/combination-sum/" TargetMode="External"/><Relationship Id="rId59" Type="http://schemas.openxmlformats.org/officeDocument/2006/relationships/hyperlink" Target="https://leetcode.com/problems/minimum-path-sum/" TargetMode="External"/><Relationship Id="rId103" Type="http://schemas.openxmlformats.org/officeDocument/2006/relationships/hyperlink" Target="https://leetcode.com/problems/word-ladder-ii/" TargetMode="External"/><Relationship Id="rId124" Type="http://schemas.openxmlformats.org/officeDocument/2006/relationships/hyperlink" Target="https://leetcode.com/problems/find-minimum-in-rotated-sorted-array/" TargetMode="External"/><Relationship Id="rId70" Type="http://schemas.openxmlformats.org/officeDocument/2006/relationships/hyperlink" Target="https://leetcode.com/problems/minimum-window-substring/" TargetMode="External"/><Relationship Id="rId91" Type="http://schemas.openxmlformats.org/officeDocument/2006/relationships/hyperlink" Target="https://leetcode.com/problems/convert-sorted-array-to-binary-search-tree/" TargetMode="External"/><Relationship Id="rId145" Type="http://schemas.openxmlformats.org/officeDocument/2006/relationships/hyperlink" Target="https://leetcode.com/problems/course-schedule-ii/" TargetMode="External"/><Relationship Id="rId166" Type="http://schemas.openxmlformats.org/officeDocument/2006/relationships/hyperlink" Target="https://leetcode.com/problems/delete-node-in-a-linked-list/" TargetMode="External"/><Relationship Id="rId187" Type="http://schemas.openxmlformats.org/officeDocument/2006/relationships/hyperlink" Target="https://leetcode.com/problems/best-time-to-buy-and-sell-stock-with-cooldown/" TargetMode="External"/><Relationship Id="rId1" Type="http://schemas.openxmlformats.org/officeDocument/2006/relationships/hyperlink" Target="https://leetcode.com/problems/two-sum/" TargetMode="External"/><Relationship Id="rId212" Type="http://schemas.openxmlformats.org/officeDocument/2006/relationships/hyperlink" Target="https://leetcode.com/problems/split-array-largest-sum/" TargetMode="External"/><Relationship Id="rId233" Type="http://schemas.openxmlformats.org/officeDocument/2006/relationships/hyperlink" Target="https://leetcode.com/problems/coin-change-ii/" TargetMode="External"/><Relationship Id="rId254" Type="http://schemas.openxmlformats.org/officeDocument/2006/relationships/hyperlink" Target="https://leetcode.com/problems/top-k-frequent-words/" TargetMode="External"/><Relationship Id="rId28" Type="http://schemas.openxmlformats.org/officeDocument/2006/relationships/hyperlink" Target="https://leetcode.com/problems/find-the-index-of-the-first-occurrence-in-a-string/" TargetMode="External"/><Relationship Id="rId49" Type="http://schemas.openxmlformats.org/officeDocument/2006/relationships/hyperlink" Target="https://leetcode.com/problems/n-queens/" TargetMode="External"/><Relationship Id="rId114" Type="http://schemas.openxmlformats.org/officeDocument/2006/relationships/hyperlink" Target="https://leetcode.com/problems/word-break/" TargetMode="External"/><Relationship Id="rId275" Type="http://schemas.openxmlformats.org/officeDocument/2006/relationships/hyperlink" Target="https://leetcode.com/problems/koko-eating-bananas/" TargetMode="External"/><Relationship Id="rId296" Type="http://schemas.openxmlformats.org/officeDocument/2006/relationships/hyperlink" Target="https://leetcode.com/problems/running-sum-of-1d-array/" TargetMode="External"/><Relationship Id="rId300" Type="http://schemas.openxmlformats.org/officeDocument/2006/relationships/hyperlink" Target="https://leetcode.com/problems/recyclable-and-low-fat-products/" TargetMode="External"/><Relationship Id="rId60" Type="http://schemas.openxmlformats.org/officeDocument/2006/relationships/hyperlink" Target="https://leetcode.com/problems/plus-one/" TargetMode="External"/><Relationship Id="rId81" Type="http://schemas.openxmlformats.org/officeDocument/2006/relationships/hyperlink" Target="https://leetcode.com/problems/binary-tree-inorder-traversal/" TargetMode="External"/><Relationship Id="rId135" Type="http://schemas.openxmlformats.org/officeDocument/2006/relationships/hyperlink" Target="https://leetcode.com/problems/rising-temperature/" TargetMode="External"/><Relationship Id="rId156" Type="http://schemas.openxmlformats.org/officeDocument/2006/relationships/hyperlink" Target="https://leetcode.com/problems/invert-binary-tree/" TargetMode="External"/><Relationship Id="rId177" Type="http://schemas.openxmlformats.org/officeDocument/2006/relationships/hyperlink" Target="https://leetcode.com/problems/encode-and-decode-strings/" TargetMode="External"/><Relationship Id="rId198" Type="http://schemas.openxmlformats.org/officeDocument/2006/relationships/hyperlink" Target="https://leetcode.com/problems/logger-rate-limiter/" TargetMode="External"/><Relationship Id="rId202" Type="http://schemas.openxmlformats.org/officeDocument/2006/relationships/hyperlink" Target="https://leetcode.com/problems/find-k-pairs-with-smallest-sums/" TargetMode="External"/><Relationship Id="rId223" Type="http://schemas.openxmlformats.org/officeDocument/2006/relationships/hyperlink" Target="https://leetcode.com/problems/find-all-numbers-disappeared-in-an-array/" TargetMode="External"/><Relationship Id="rId244" Type="http://schemas.openxmlformats.org/officeDocument/2006/relationships/hyperlink" Target="https://leetcode.com/problems/big-countries/" TargetMode="External"/><Relationship Id="rId18" Type="http://schemas.openxmlformats.org/officeDocument/2006/relationships/hyperlink" Target="https://leetcode.com/problems/4sum/" TargetMode="External"/><Relationship Id="rId39" Type="http://schemas.openxmlformats.org/officeDocument/2006/relationships/hyperlink" Target="https://leetcode.com/problems/combination-sum-ii/" TargetMode="External"/><Relationship Id="rId265" Type="http://schemas.openxmlformats.org/officeDocument/2006/relationships/hyperlink" Target="https://leetcode.com/problems/reorganize-string/" TargetMode="External"/><Relationship Id="rId286" Type="http://schemas.openxmlformats.org/officeDocument/2006/relationships/hyperlink" Target="https://leetcode.com/problems/max-consecutive-ones-iii/" TargetMode="External"/><Relationship Id="rId50" Type="http://schemas.openxmlformats.org/officeDocument/2006/relationships/hyperlink" Target="https://leetcode.com/problems/maximum-subarray/" TargetMode="External"/><Relationship Id="rId104" Type="http://schemas.openxmlformats.org/officeDocument/2006/relationships/hyperlink" Target="https://leetcode.com/problems/word-ladder/" TargetMode="External"/><Relationship Id="rId125" Type="http://schemas.openxmlformats.org/officeDocument/2006/relationships/hyperlink" Target="https://leetcode.com/problems/min-stack/" TargetMode="External"/><Relationship Id="rId146" Type="http://schemas.openxmlformats.org/officeDocument/2006/relationships/hyperlink" Target="https://leetcode.com/problems/word-search-ii/" TargetMode="External"/><Relationship Id="rId167" Type="http://schemas.openxmlformats.org/officeDocument/2006/relationships/hyperlink" Target="https://leetcode.com/problems/product-of-array-except-self/" TargetMode="External"/><Relationship Id="rId188" Type="http://schemas.openxmlformats.org/officeDocument/2006/relationships/hyperlink" Target="https://leetcode.com/problems/burst-balloons/" TargetMode="External"/><Relationship Id="rId71" Type="http://schemas.openxmlformats.org/officeDocument/2006/relationships/hyperlink" Target="https://leetcode.com/problems/subsets/" TargetMode="External"/><Relationship Id="rId92" Type="http://schemas.openxmlformats.org/officeDocument/2006/relationships/hyperlink" Target="https://leetcode.com/problems/balanced-binary-tree/" TargetMode="External"/><Relationship Id="rId213" Type="http://schemas.openxmlformats.org/officeDocument/2006/relationships/hyperlink" Target="https://leetcode.com/problems/fizz-buzz/" TargetMode="External"/><Relationship Id="rId234" Type="http://schemas.openxmlformats.org/officeDocument/2006/relationships/hyperlink" Target="https://leetcode.com/problems/contiguous-array/" TargetMode="External"/><Relationship Id="rId2" Type="http://schemas.openxmlformats.org/officeDocument/2006/relationships/hyperlink" Target="https://leetcode.com/problems/add-two-numbers/" TargetMode="External"/><Relationship Id="rId29" Type="http://schemas.openxmlformats.org/officeDocument/2006/relationships/hyperlink" Target="https://leetcode.com/problems/divide-two-integers/" TargetMode="External"/><Relationship Id="rId255" Type="http://schemas.openxmlformats.org/officeDocument/2006/relationships/hyperlink" Target="https://leetcode.com/problems/max-area-of-island/" TargetMode="External"/><Relationship Id="rId276" Type="http://schemas.openxmlformats.org/officeDocument/2006/relationships/hyperlink" Target="https://leetcode.com/problems/middle-of-the-linked-list/" TargetMode="External"/><Relationship Id="rId297" Type="http://schemas.openxmlformats.org/officeDocument/2006/relationships/hyperlink" Target="https://leetcode.com/problems/minimum-number-of-days-to-make-m-bouquets/" TargetMode="External"/><Relationship Id="rId40" Type="http://schemas.openxmlformats.org/officeDocument/2006/relationships/hyperlink" Target="https://leetcode.com/problems/first-missing-positive/" TargetMode="External"/><Relationship Id="rId115" Type="http://schemas.openxmlformats.org/officeDocument/2006/relationships/hyperlink" Target="https://leetcode.com/problems/linked-list-cycle/" TargetMode="External"/><Relationship Id="rId136" Type="http://schemas.openxmlformats.org/officeDocument/2006/relationships/hyperlink" Target="https://leetcode.com/problems/house-robber/" TargetMode="External"/><Relationship Id="rId157" Type="http://schemas.openxmlformats.org/officeDocument/2006/relationships/hyperlink" Target="https://leetcode.com/problems/basic-calculator-ii/" TargetMode="External"/><Relationship Id="rId178" Type="http://schemas.openxmlformats.org/officeDocument/2006/relationships/hyperlink" Target="https://leetcode.com/problems/first-bad-version/" TargetMode="External"/><Relationship Id="rId301" Type="http://schemas.openxmlformats.org/officeDocument/2006/relationships/hyperlink" Target="https://leetcode.com/problems/merge-strings-alternately/" TargetMode="External"/><Relationship Id="rId61" Type="http://schemas.openxmlformats.org/officeDocument/2006/relationships/hyperlink" Target="https://leetcode.com/problems/add-binary/" TargetMode="External"/><Relationship Id="rId82" Type="http://schemas.openxmlformats.org/officeDocument/2006/relationships/hyperlink" Target="https://leetcode.com/problems/interleaving-string/" TargetMode="External"/><Relationship Id="rId199" Type="http://schemas.openxmlformats.org/officeDocument/2006/relationships/hyperlink" Target="https://leetcode.com/problems/design-hit-counter/" TargetMode="External"/><Relationship Id="rId203" Type="http://schemas.openxmlformats.org/officeDocument/2006/relationships/hyperlink" Target="https://leetcode.com/problems/combination-sum-iv/" TargetMode="External"/><Relationship Id="rId19" Type="http://schemas.openxmlformats.org/officeDocument/2006/relationships/hyperlink" Target="https://leetcode.com/problems/remove-nth-node-from-end-of-list/" TargetMode="External"/><Relationship Id="rId224" Type="http://schemas.openxmlformats.org/officeDocument/2006/relationships/hyperlink" Target="https://leetcode.com/problems/delete-node-in-a-bst/" TargetMode="External"/><Relationship Id="rId245" Type="http://schemas.openxmlformats.org/officeDocument/2006/relationships/hyperlink" Target="https://leetcode.com/problems/can-place-flowers/" TargetMode="External"/><Relationship Id="rId266" Type="http://schemas.openxmlformats.org/officeDocument/2006/relationships/hyperlink" Target="https://leetcode.com/problems/jewels-and-stones/" TargetMode="External"/><Relationship Id="rId287" Type="http://schemas.openxmlformats.org/officeDocument/2006/relationships/hyperlink" Target="https://leetcode.com/problems/capacity-to-ship-packages-within-d-days/" TargetMode="External"/><Relationship Id="rId30" Type="http://schemas.openxmlformats.org/officeDocument/2006/relationships/hyperlink" Target="https://leetcode.com/problems/next-permutation/" TargetMode="External"/><Relationship Id="rId105" Type="http://schemas.openxmlformats.org/officeDocument/2006/relationships/hyperlink" Target="https://leetcode.com/problems/longest-consecutive-sequence/" TargetMode="External"/><Relationship Id="rId126" Type="http://schemas.openxmlformats.org/officeDocument/2006/relationships/hyperlink" Target="https://leetcode.com/problems/intersection-of-two-linked-lists/" TargetMode="External"/><Relationship Id="rId147" Type="http://schemas.openxmlformats.org/officeDocument/2006/relationships/hyperlink" Target="https://leetcode.com/problems/house-robber-ii/" TargetMode="External"/><Relationship Id="rId168" Type="http://schemas.openxmlformats.org/officeDocument/2006/relationships/hyperlink" Target="https://leetcode.com/problems/sliding-window-maximum/" TargetMode="External"/><Relationship Id="rId51" Type="http://schemas.openxmlformats.org/officeDocument/2006/relationships/hyperlink" Target="https://leetcode.com/problems/spiral-matrix/" TargetMode="External"/><Relationship Id="rId72" Type="http://schemas.openxmlformats.org/officeDocument/2006/relationships/hyperlink" Target="https://leetcode.com/problems/word-search/" TargetMode="External"/><Relationship Id="rId93" Type="http://schemas.openxmlformats.org/officeDocument/2006/relationships/hyperlink" Target="https://leetcode.com/problems/path-sum/" TargetMode="External"/><Relationship Id="rId189" Type="http://schemas.openxmlformats.org/officeDocument/2006/relationships/hyperlink" Target="https://leetcode.com/problems/coin-change/" TargetMode="External"/><Relationship Id="rId3" Type="http://schemas.openxmlformats.org/officeDocument/2006/relationships/hyperlink" Target="https://leetcode.com/problems/longest-substring-without-repeating-characters/" TargetMode="External"/><Relationship Id="rId214" Type="http://schemas.openxmlformats.org/officeDocument/2006/relationships/hyperlink" Target="https://leetcode.com/problems/add-strings/" TargetMode="External"/><Relationship Id="rId235" Type="http://schemas.openxmlformats.org/officeDocument/2006/relationships/hyperlink" Target="https://leetcode.com/problems/random-pick-with-weight/" TargetMode="External"/><Relationship Id="rId256" Type="http://schemas.openxmlformats.org/officeDocument/2006/relationships/hyperlink" Target="https://leetcode.com/problems/binary-search/" TargetMode="External"/><Relationship Id="rId277" Type="http://schemas.openxmlformats.org/officeDocument/2006/relationships/hyperlink" Target="https://leetcode.com/problems/online-stock-span/" TargetMode="External"/><Relationship Id="rId298" Type="http://schemas.openxmlformats.org/officeDocument/2006/relationships/hyperlink" Target="https://leetcode.com/problems/min-cost-to-connect-all-points/" TargetMode="External"/><Relationship Id="rId116" Type="http://schemas.openxmlformats.org/officeDocument/2006/relationships/hyperlink" Target="https://leetcode.com/problems/linked-list-cycle-ii/" TargetMode="External"/><Relationship Id="rId137" Type="http://schemas.openxmlformats.org/officeDocument/2006/relationships/hyperlink" Target="https://leetcode.com/problems/number-of-islands/" TargetMode="External"/><Relationship Id="rId158" Type="http://schemas.openxmlformats.org/officeDocument/2006/relationships/hyperlink" Target="https://leetcode.com/problems/summary-ranges/" TargetMode="External"/><Relationship Id="rId302" Type="http://schemas.openxmlformats.org/officeDocument/2006/relationships/hyperlink" Target="https://leetcode.com/problems/frequency-of-the-most-frequent-element/" TargetMode="External"/><Relationship Id="rId20" Type="http://schemas.openxmlformats.org/officeDocument/2006/relationships/hyperlink" Target="https://leetcode.com/problems/valid-parentheses/" TargetMode="External"/><Relationship Id="rId41" Type="http://schemas.openxmlformats.org/officeDocument/2006/relationships/hyperlink" Target="https://leetcode.com/problems/trapping-rain-water/" TargetMode="External"/><Relationship Id="rId62" Type="http://schemas.openxmlformats.org/officeDocument/2006/relationships/hyperlink" Target="https://leetcode.com/problems/text-justification/" TargetMode="External"/><Relationship Id="rId83" Type="http://schemas.openxmlformats.org/officeDocument/2006/relationships/hyperlink" Target="https://leetcode.com/problems/validate-binary-search-tree/" TargetMode="External"/><Relationship Id="rId179" Type="http://schemas.openxmlformats.org/officeDocument/2006/relationships/hyperlink" Target="https://leetcode.com/problems/perfect-squares/" TargetMode="External"/><Relationship Id="rId190" Type="http://schemas.openxmlformats.org/officeDocument/2006/relationships/hyperlink" Target="https://leetcode.com/problems/odd-even-linked-list/" TargetMode="External"/><Relationship Id="rId204" Type="http://schemas.openxmlformats.org/officeDocument/2006/relationships/hyperlink" Target="https://leetcode.com/problems/insert-delete-getrandom-o1/" TargetMode="External"/><Relationship Id="rId225" Type="http://schemas.openxmlformats.org/officeDocument/2006/relationships/hyperlink" Target="https://leetcode.com/problems/sliding-window-median/" TargetMode="External"/><Relationship Id="rId246" Type="http://schemas.openxmlformats.org/officeDocument/2006/relationships/hyperlink" Target="https://leetcode.com/problems/task-scheduler/" TargetMode="External"/><Relationship Id="rId267" Type="http://schemas.openxmlformats.org/officeDocument/2006/relationships/hyperlink" Target="https://leetcode.com/problems/swap-adjacent-in-lr-string/" TargetMode="External"/><Relationship Id="rId288" Type="http://schemas.openxmlformats.org/officeDocument/2006/relationships/hyperlink" Target="https://leetcode.com/problems/greatest-common-divisor-of-strings/" TargetMode="External"/><Relationship Id="rId106" Type="http://schemas.openxmlformats.org/officeDocument/2006/relationships/hyperlink" Target="https://leetcode.com/problems/sum-root-to-leaf-numbers/" TargetMode="External"/><Relationship Id="rId127" Type="http://schemas.openxmlformats.org/officeDocument/2006/relationships/hyperlink" Target="https://leetcode.com/problems/find-peak-element/" TargetMode="External"/><Relationship Id="rId10" Type="http://schemas.openxmlformats.org/officeDocument/2006/relationships/hyperlink" Target="https://leetcode.com/problems/regular-expression-matching/" TargetMode="External"/><Relationship Id="rId31" Type="http://schemas.openxmlformats.org/officeDocument/2006/relationships/hyperlink" Target="https://leetcode.com/problems/longest-valid-parentheses/" TargetMode="External"/><Relationship Id="rId52" Type="http://schemas.openxmlformats.org/officeDocument/2006/relationships/hyperlink" Target="https://leetcode.com/problems/jump-game/" TargetMode="External"/><Relationship Id="rId73" Type="http://schemas.openxmlformats.org/officeDocument/2006/relationships/hyperlink" Target="https://leetcode.com/problems/remove-duplicates-from-sorted-array-ii/" TargetMode="External"/><Relationship Id="rId94" Type="http://schemas.openxmlformats.org/officeDocument/2006/relationships/hyperlink" Target="https://leetcode.com/problems/distinct-subsequences/" TargetMode="External"/><Relationship Id="rId148" Type="http://schemas.openxmlformats.org/officeDocument/2006/relationships/hyperlink" Target="https://leetcode.com/problems/shortest-palindrome/" TargetMode="External"/><Relationship Id="rId169" Type="http://schemas.openxmlformats.org/officeDocument/2006/relationships/hyperlink" Target="https://leetcode.com/problems/search-a-2d-matrix-ii/" TargetMode="External"/><Relationship Id="rId4" Type="http://schemas.openxmlformats.org/officeDocument/2006/relationships/hyperlink" Target="https://leetcode.com/problems/median-of-two-sorted-arrays/" TargetMode="External"/><Relationship Id="rId180" Type="http://schemas.openxmlformats.org/officeDocument/2006/relationships/hyperlink" Target="https://leetcode.com/problems/expression-add-operators/" TargetMode="External"/><Relationship Id="rId215" Type="http://schemas.openxmlformats.org/officeDocument/2006/relationships/hyperlink" Target="https://leetcode.com/problems/partition-equal-subset-sum/" TargetMode="External"/><Relationship Id="rId236" Type="http://schemas.openxmlformats.org/officeDocument/2006/relationships/hyperlink" Target="https://leetcode.com/problems/single-element-in-a-sorted-array/" TargetMode="External"/><Relationship Id="rId257" Type="http://schemas.openxmlformats.org/officeDocument/2006/relationships/hyperlink" Target="https://leetcode.com/problems/design-linked-list/" TargetMode="External"/><Relationship Id="rId278" Type="http://schemas.openxmlformats.org/officeDocument/2006/relationships/hyperlink" Target="https://leetcode.com/problems/fruit-into-baskets/" TargetMode="External"/><Relationship Id="rId303" Type="http://schemas.openxmlformats.org/officeDocument/2006/relationships/hyperlink" Target="https://leetcode.com/problems/count-good-numbers/" TargetMode="External"/><Relationship Id="rId42" Type="http://schemas.openxmlformats.org/officeDocument/2006/relationships/hyperlink" Target="https://leetcode.com/problems/multiply-strings/" TargetMode="External"/><Relationship Id="rId84" Type="http://schemas.openxmlformats.org/officeDocument/2006/relationships/hyperlink" Target="https://leetcode.com/problems/recover-binary-search-tree/" TargetMode="External"/><Relationship Id="rId138" Type="http://schemas.openxmlformats.org/officeDocument/2006/relationships/hyperlink" Target="https://leetcode.com/problems/happy-number/" TargetMode="External"/><Relationship Id="rId191" Type="http://schemas.openxmlformats.org/officeDocument/2006/relationships/hyperlink" Target="https://leetcode.com/problems/longest-increasing-path-in-a-matrix/" TargetMode="External"/><Relationship Id="rId205" Type="http://schemas.openxmlformats.org/officeDocument/2006/relationships/hyperlink" Target="https://leetcode.com/problems/first-unique-character-in-a-string/" TargetMode="External"/><Relationship Id="rId247" Type="http://schemas.openxmlformats.org/officeDocument/2006/relationships/hyperlink" Target="https://leetcode.com/problems/exclusive-time-of-functions/" TargetMode="External"/><Relationship Id="rId107" Type="http://schemas.openxmlformats.org/officeDocument/2006/relationships/hyperlink" Target="https://leetcode.com/problems/surrounded-regions/" TargetMode="External"/><Relationship Id="rId289" Type="http://schemas.openxmlformats.org/officeDocument/2006/relationships/hyperlink" Target="https://leetcode.com/problems/shortest-path-in-binary-matrix/" TargetMode="External"/><Relationship Id="rId11" Type="http://schemas.openxmlformats.org/officeDocument/2006/relationships/hyperlink" Target="https://leetcode.com/problems/container-with-most-water/" TargetMode="External"/><Relationship Id="rId53" Type="http://schemas.openxmlformats.org/officeDocument/2006/relationships/hyperlink" Target="https://leetcode.com/problems/merge-intervals/" TargetMode="External"/><Relationship Id="rId149" Type="http://schemas.openxmlformats.org/officeDocument/2006/relationships/hyperlink" Target="https://leetcode.com/problems/kth-largest-element-in-an-array/" TargetMode="External"/><Relationship Id="rId95" Type="http://schemas.openxmlformats.org/officeDocument/2006/relationships/hyperlink" Target="https://leetcode.com/problems/populating-next-right-pointers-in-each-node/" TargetMode="External"/><Relationship Id="rId160" Type="http://schemas.openxmlformats.org/officeDocument/2006/relationships/hyperlink" Target="https://leetcode.com/problems/kth-smallest-element-in-a-bst/" TargetMode="External"/><Relationship Id="rId216" Type="http://schemas.openxmlformats.org/officeDocument/2006/relationships/hyperlink" Target="https://leetcode.com/problems/pacific-atlantic-water-flow/" TargetMode="External"/><Relationship Id="rId258" Type="http://schemas.openxmlformats.org/officeDocument/2006/relationships/hyperlink" Target="https://leetcode.com/problems/range-module/" TargetMode="External"/><Relationship Id="rId22" Type="http://schemas.openxmlformats.org/officeDocument/2006/relationships/hyperlink" Target="https://leetcode.com/problems/generate-parentheses/" TargetMode="External"/><Relationship Id="rId64" Type="http://schemas.openxmlformats.org/officeDocument/2006/relationships/hyperlink" Target="https://leetcode.com/problems/climbing-stairs/" TargetMode="External"/><Relationship Id="rId118" Type="http://schemas.openxmlformats.org/officeDocument/2006/relationships/hyperlink" Target="https://leetcode.com/problems/lru-cache/" TargetMode="External"/><Relationship Id="rId171" Type="http://schemas.openxmlformats.org/officeDocument/2006/relationships/hyperlink" Target="https://leetcode.com/problems/group-shifted-strings/" TargetMode="External"/><Relationship Id="rId227" Type="http://schemas.openxmlformats.org/officeDocument/2006/relationships/hyperlink" Target="https://leetcode.com/problems/reverse-pairs/" TargetMode="External"/><Relationship Id="rId269" Type="http://schemas.openxmlformats.org/officeDocument/2006/relationships/hyperlink" Target="https://leetcode.com/problems/cheapest-flights-within-k-stops/" TargetMode="External"/><Relationship Id="rId33" Type="http://schemas.openxmlformats.org/officeDocument/2006/relationships/hyperlink" Target="https://leetcode.com/problems/find-first-and-last-position-of-element-in-sorted-array/" TargetMode="External"/><Relationship Id="rId129" Type="http://schemas.openxmlformats.org/officeDocument/2006/relationships/hyperlink" Target="https://leetcode.com/problems/excel-sheet-column-title/" TargetMode="External"/><Relationship Id="rId280" Type="http://schemas.openxmlformats.org/officeDocument/2006/relationships/hyperlink" Target="https://leetcode.com/problems/sort-an-array/" TargetMode="External"/><Relationship Id="rId75" Type="http://schemas.openxmlformats.org/officeDocument/2006/relationships/hyperlink" Target="https://leetcode.com/problems/largest-rectangle-in-histogram/" TargetMode="External"/><Relationship Id="rId140" Type="http://schemas.openxmlformats.org/officeDocument/2006/relationships/hyperlink" Target="https://leetcode.com/problems/isomorphic-strings/" TargetMode="External"/><Relationship Id="rId182" Type="http://schemas.openxmlformats.org/officeDocument/2006/relationships/hyperlink" Target="https://leetcode.com/problems/walls-and-gates/" TargetMode="External"/><Relationship Id="rId6" Type="http://schemas.openxmlformats.org/officeDocument/2006/relationships/hyperlink" Target="https://leetcode.com/problems/zigzag-conversion/" TargetMode="External"/><Relationship Id="rId238" Type="http://schemas.openxmlformats.org/officeDocument/2006/relationships/hyperlink" Target="https://leetcode.com/problems/diameter-of-binary-tree/"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leetcode.com/problems/house-robber-ii/" TargetMode="External"/><Relationship Id="rId21" Type="http://schemas.openxmlformats.org/officeDocument/2006/relationships/hyperlink" Target="https://leetcode.com/problems/reverse-nodes-in-k-group/" TargetMode="External"/><Relationship Id="rId63" Type="http://schemas.openxmlformats.org/officeDocument/2006/relationships/hyperlink" Target="https://leetcode.com/problems/symmetric-tree/" TargetMode="External"/><Relationship Id="rId159" Type="http://schemas.openxmlformats.org/officeDocument/2006/relationships/hyperlink" Target="https://leetcode.com/problems/flatten-nested-list-iterator/" TargetMode="External"/><Relationship Id="rId170" Type="http://schemas.openxmlformats.org/officeDocument/2006/relationships/hyperlink" Target="https://leetcode.com/problems/kth-smallest-element-in-a-sorted-matrix/" TargetMode="External"/><Relationship Id="rId226" Type="http://schemas.openxmlformats.org/officeDocument/2006/relationships/hyperlink" Target="https://leetcode.com/problems/asteroid-collision/" TargetMode="External"/><Relationship Id="rId268" Type="http://schemas.openxmlformats.org/officeDocument/2006/relationships/hyperlink" Target="https://leetcode.com/problems/meeting-scheduler/" TargetMode="External"/><Relationship Id="rId32" Type="http://schemas.openxmlformats.org/officeDocument/2006/relationships/hyperlink" Target="https://leetcode.com/problems/trapping-rain-water/" TargetMode="External"/><Relationship Id="rId74" Type="http://schemas.openxmlformats.org/officeDocument/2006/relationships/hyperlink" Target="https://leetcode.com/problems/binary-tree-maximum-path-sum/" TargetMode="External"/><Relationship Id="rId128" Type="http://schemas.openxmlformats.org/officeDocument/2006/relationships/hyperlink" Target="https://leetcode.com/problems/lowest-common-ancestor-of-a-binary-tree/" TargetMode="External"/><Relationship Id="rId5" Type="http://schemas.openxmlformats.org/officeDocument/2006/relationships/hyperlink" Target="https://leetcode.com/problems/longest-palindromic-substring/" TargetMode="External"/><Relationship Id="rId181" Type="http://schemas.openxmlformats.org/officeDocument/2006/relationships/hyperlink" Target="https://leetcode.com/problems/find-all-anagrams-in-a-string/" TargetMode="External"/><Relationship Id="rId237" Type="http://schemas.openxmlformats.org/officeDocument/2006/relationships/hyperlink" Target="https://leetcode.com/problems/exam-room/" TargetMode="External"/><Relationship Id="rId279" Type="http://schemas.openxmlformats.org/officeDocument/2006/relationships/hyperlink" Target="https://leetcode.com/problems/lowest-common-ancestor-of-a-binary-tree-iii/" TargetMode="External"/><Relationship Id="rId43" Type="http://schemas.openxmlformats.org/officeDocument/2006/relationships/hyperlink" Target="https://leetcode.com/problems/add-binary/" TargetMode="External"/><Relationship Id="rId139" Type="http://schemas.openxmlformats.org/officeDocument/2006/relationships/hyperlink" Target="https://leetcode.com/problems/alien-dictionary/" TargetMode="External"/><Relationship Id="rId290" Type="http://schemas.openxmlformats.org/officeDocument/2006/relationships/hyperlink" Target="https://leetcode.com/problems/design-memory-allocator/" TargetMode="External"/><Relationship Id="rId85" Type="http://schemas.openxmlformats.org/officeDocument/2006/relationships/hyperlink" Target="https://leetcode.com/problems/max-points-on-a-line/" TargetMode="External"/><Relationship Id="rId150" Type="http://schemas.openxmlformats.org/officeDocument/2006/relationships/hyperlink" Target="https://leetcode.com/problems/binary-tree-vertical-order-traversal/" TargetMode="External"/><Relationship Id="rId192" Type="http://schemas.openxmlformats.org/officeDocument/2006/relationships/hyperlink" Target="https://leetcode.com/problems/next-greater-element-ii/" TargetMode="External"/><Relationship Id="rId206" Type="http://schemas.openxmlformats.org/officeDocument/2006/relationships/hyperlink" Target="https://leetcode.com/problems/design-circular-queue/" TargetMode="External"/><Relationship Id="rId248" Type="http://schemas.openxmlformats.org/officeDocument/2006/relationships/hyperlink" Target="https://leetcode.com/problems/maximum-sum-circular-subarray/" TargetMode="External"/><Relationship Id="rId12" Type="http://schemas.openxmlformats.org/officeDocument/2006/relationships/hyperlink" Target="https://leetcode.com/problems/longest-common-prefix/" TargetMode="External"/><Relationship Id="rId108" Type="http://schemas.openxmlformats.org/officeDocument/2006/relationships/hyperlink" Target="https://leetcode.com/problems/remove-linked-list-elements/" TargetMode="External"/><Relationship Id="rId54" Type="http://schemas.openxmlformats.org/officeDocument/2006/relationships/hyperlink" Target="https://leetcode.com/problems/remove-duplicates-from-sorted-list-ii/" TargetMode="External"/><Relationship Id="rId75" Type="http://schemas.openxmlformats.org/officeDocument/2006/relationships/hyperlink" Target="https://leetcode.com/problems/valid-palindrome/" TargetMode="External"/><Relationship Id="rId96" Type="http://schemas.openxmlformats.org/officeDocument/2006/relationships/hyperlink" Target="https://leetcode.com/problems/compare-version-numbers/" TargetMode="External"/><Relationship Id="rId140" Type="http://schemas.openxmlformats.org/officeDocument/2006/relationships/hyperlink" Target="https://leetcode.com/problems/integer-to-english-words/" TargetMode="External"/><Relationship Id="rId161" Type="http://schemas.openxmlformats.org/officeDocument/2006/relationships/hyperlink" Target="https://leetcode.com/problems/reverse-vowels-of-a-string/" TargetMode="External"/><Relationship Id="rId182" Type="http://schemas.openxmlformats.org/officeDocument/2006/relationships/hyperlink" Target="https://leetcode.com/problems/string-compression/" TargetMode="External"/><Relationship Id="rId217" Type="http://schemas.openxmlformats.org/officeDocument/2006/relationships/hyperlink" Target="https://leetcode.com/problems/top-k-frequent-words/" TargetMode="External"/><Relationship Id="rId6" Type="http://schemas.openxmlformats.org/officeDocument/2006/relationships/hyperlink" Target="https://leetcode.com/problems/zigzag-conversion/" TargetMode="External"/><Relationship Id="rId238" Type="http://schemas.openxmlformats.org/officeDocument/2006/relationships/hyperlink" Target="https://leetcode.com/problems/all-nodes-distance-k-in-binary-tree/" TargetMode="External"/><Relationship Id="rId259" Type="http://schemas.openxmlformats.org/officeDocument/2006/relationships/hyperlink" Target="https://leetcode.com/problems/robot-bounded-in-circle/" TargetMode="External"/><Relationship Id="rId23" Type="http://schemas.openxmlformats.org/officeDocument/2006/relationships/hyperlink" Target="https://leetcode.com/problems/remove-element/" TargetMode="External"/><Relationship Id="rId119" Type="http://schemas.openxmlformats.org/officeDocument/2006/relationships/hyperlink" Target="https://leetcode.com/problems/contains-duplicate/" TargetMode="External"/><Relationship Id="rId270" Type="http://schemas.openxmlformats.org/officeDocument/2006/relationships/hyperlink" Target="https://leetcode.com/problems/minimum-remove-to-make-valid-parentheses/" TargetMode="External"/><Relationship Id="rId291" Type="http://schemas.openxmlformats.org/officeDocument/2006/relationships/hyperlink" Target="https://leetcode.com/problems/distribute-money-to-maximum-children/" TargetMode="External"/><Relationship Id="rId44" Type="http://schemas.openxmlformats.org/officeDocument/2006/relationships/hyperlink" Target="https://leetcode.com/problems/text-justification/" TargetMode="External"/><Relationship Id="rId65" Type="http://schemas.openxmlformats.org/officeDocument/2006/relationships/hyperlink" Target="https://leetcode.com/problems/binary-tree-zigzag-level-order-traversal/" TargetMode="External"/><Relationship Id="rId86" Type="http://schemas.openxmlformats.org/officeDocument/2006/relationships/hyperlink" Target="https://leetcode.com/problems/evaluate-reverse-polish-notation/" TargetMode="External"/><Relationship Id="rId130" Type="http://schemas.openxmlformats.org/officeDocument/2006/relationships/hyperlink" Target="https://leetcode.com/problems/product-of-array-except-self/" TargetMode="External"/><Relationship Id="rId151" Type="http://schemas.openxmlformats.org/officeDocument/2006/relationships/hyperlink" Target="https://leetcode.com/problems/shortest-distance-from-all-buildings/" TargetMode="External"/><Relationship Id="rId172" Type="http://schemas.openxmlformats.org/officeDocument/2006/relationships/hyperlink" Target="https://leetcode.com/problems/ransom-note/" TargetMode="External"/><Relationship Id="rId193" Type="http://schemas.openxmlformats.org/officeDocument/2006/relationships/hyperlink" Target="https://leetcode.com/problems/fibonacci-number/" TargetMode="External"/><Relationship Id="rId207" Type="http://schemas.openxmlformats.org/officeDocument/2006/relationships/hyperlink" Target="https://leetcode.com/problems/maximum-product-of-three-numbers/" TargetMode="External"/><Relationship Id="rId228" Type="http://schemas.openxmlformats.org/officeDocument/2006/relationships/hyperlink" Target="https://leetcode.com/problems/employee-free-time/" TargetMode="External"/><Relationship Id="rId249" Type="http://schemas.openxmlformats.org/officeDocument/2006/relationships/hyperlink" Target="https://leetcode.com/problems/minimum-falling-path-sum/" TargetMode="External"/><Relationship Id="rId13" Type="http://schemas.openxmlformats.org/officeDocument/2006/relationships/hyperlink" Target="https://leetcode.com/problems/3sum/" TargetMode="External"/><Relationship Id="rId109" Type="http://schemas.openxmlformats.org/officeDocument/2006/relationships/hyperlink" Target="https://leetcode.com/problems/count-primes/" TargetMode="External"/><Relationship Id="rId260" Type="http://schemas.openxmlformats.org/officeDocument/2006/relationships/hyperlink" Target="https://leetcode.com/problems/remove-all-adjacent-duplicates-in-string/" TargetMode="External"/><Relationship Id="rId281" Type="http://schemas.openxmlformats.org/officeDocument/2006/relationships/hyperlink" Target="https://leetcode.com/problems/maximum-population-year/" TargetMode="External"/><Relationship Id="rId34" Type="http://schemas.openxmlformats.org/officeDocument/2006/relationships/hyperlink" Target="https://leetcode.com/problems/permutations/" TargetMode="External"/><Relationship Id="rId55" Type="http://schemas.openxmlformats.org/officeDocument/2006/relationships/hyperlink" Target="https://leetcode.com/problems/largest-rectangle-in-histogram/" TargetMode="External"/><Relationship Id="rId76" Type="http://schemas.openxmlformats.org/officeDocument/2006/relationships/hyperlink" Target="https://leetcode.com/problems/word-ladder-ii/" TargetMode="External"/><Relationship Id="rId97" Type="http://schemas.openxmlformats.org/officeDocument/2006/relationships/hyperlink" Target="https://leetcode.com/problems/two-sum-ii-input-array-is-sorted/" TargetMode="External"/><Relationship Id="rId120" Type="http://schemas.openxmlformats.org/officeDocument/2006/relationships/hyperlink" Target="https://leetcode.com/problems/the-skyline-problem/" TargetMode="External"/><Relationship Id="rId141" Type="http://schemas.openxmlformats.org/officeDocument/2006/relationships/hyperlink" Target="https://leetcode.com/problems/h-index/" TargetMode="External"/><Relationship Id="rId7" Type="http://schemas.openxmlformats.org/officeDocument/2006/relationships/hyperlink" Target="https://leetcode.com/problems/reverse-integer/" TargetMode="External"/><Relationship Id="rId162" Type="http://schemas.openxmlformats.org/officeDocument/2006/relationships/hyperlink" Target="https://leetcode.com/problems/moving-average-from-data-stream/" TargetMode="External"/><Relationship Id="rId183" Type="http://schemas.openxmlformats.org/officeDocument/2006/relationships/hyperlink" Target="https://leetcode.com/problems/assign-cookies/" TargetMode="External"/><Relationship Id="rId218" Type="http://schemas.openxmlformats.org/officeDocument/2006/relationships/hyperlink" Target="https://leetcode.com/problems/max-area-of-island/" TargetMode="External"/><Relationship Id="rId239" Type="http://schemas.openxmlformats.org/officeDocument/2006/relationships/hyperlink" Target="https://leetcode.com/problems/transpose-matrix/" TargetMode="External"/><Relationship Id="rId250" Type="http://schemas.openxmlformats.org/officeDocument/2006/relationships/hyperlink" Target="https://leetcode.com/problems/number-of-recent-calls/" TargetMode="External"/><Relationship Id="rId271" Type="http://schemas.openxmlformats.org/officeDocument/2006/relationships/hyperlink" Target="https://leetcode.com/problems/average-selling-price/" TargetMode="External"/><Relationship Id="rId292" Type="http://schemas.openxmlformats.org/officeDocument/2006/relationships/hyperlink" Target="https://leetcode.com/problems/split-strings-by-separator/" TargetMode="External"/><Relationship Id="rId24" Type="http://schemas.openxmlformats.org/officeDocument/2006/relationships/hyperlink" Target="https://leetcode.com/problems/find-the-index-of-the-first-occurrence-in-a-string/" TargetMode="External"/><Relationship Id="rId45" Type="http://schemas.openxmlformats.org/officeDocument/2006/relationships/hyperlink" Target="https://leetcode.com/problems/sqrtx/" TargetMode="External"/><Relationship Id="rId66" Type="http://schemas.openxmlformats.org/officeDocument/2006/relationships/hyperlink" Target="https://leetcode.com/problems/maximum-depth-of-binary-tree/" TargetMode="External"/><Relationship Id="rId87" Type="http://schemas.openxmlformats.org/officeDocument/2006/relationships/hyperlink" Target="https://leetcode.com/problems/reverse-words-in-a-string/" TargetMode="External"/><Relationship Id="rId110" Type="http://schemas.openxmlformats.org/officeDocument/2006/relationships/hyperlink" Target="https://leetcode.com/problems/reverse-linked-list/" TargetMode="External"/><Relationship Id="rId131" Type="http://schemas.openxmlformats.org/officeDocument/2006/relationships/hyperlink" Target="https://leetcode.com/problems/sliding-window-maximum/" TargetMode="External"/><Relationship Id="rId152" Type="http://schemas.openxmlformats.org/officeDocument/2006/relationships/hyperlink" Target="https://leetcode.com/problems/coin-change/" TargetMode="External"/><Relationship Id="rId173" Type="http://schemas.openxmlformats.org/officeDocument/2006/relationships/hyperlink" Target="https://leetcode.com/problems/first-unique-character-in-a-string/" TargetMode="External"/><Relationship Id="rId194" Type="http://schemas.openxmlformats.org/officeDocument/2006/relationships/hyperlink" Target="https://leetcode.com/problems/find-largest-value-in-each-tree-row/" TargetMode="External"/><Relationship Id="rId208" Type="http://schemas.openxmlformats.org/officeDocument/2006/relationships/hyperlink" Target="https://leetcode.com/problems/sum-of-square-numbers/" TargetMode="External"/><Relationship Id="rId229" Type="http://schemas.openxmlformats.org/officeDocument/2006/relationships/hyperlink" Target="https://leetcode.com/problems/max-chunks-to-make-sorted/" TargetMode="External"/><Relationship Id="rId240" Type="http://schemas.openxmlformats.org/officeDocument/2006/relationships/hyperlink" Target="https://leetcode.com/problems/walking-robot-simulation/" TargetMode="External"/><Relationship Id="rId261" Type="http://schemas.openxmlformats.org/officeDocument/2006/relationships/hyperlink" Target="https://leetcode.com/problems/brace-expansion/" TargetMode="External"/><Relationship Id="rId14" Type="http://schemas.openxmlformats.org/officeDocument/2006/relationships/hyperlink" Target="https://leetcode.com/problems/letter-combinations-of-a-phone-number/" TargetMode="External"/><Relationship Id="rId35" Type="http://schemas.openxmlformats.org/officeDocument/2006/relationships/hyperlink" Target="https://leetcode.com/problems/permutations-ii/" TargetMode="External"/><Relationship Id="rId56" Type="http://schemas.openxmlformats.org/officeDocument/2006/relationships/hyperlink" Target="https://leetcode.com/problems/merge-sorted-array/" TargetMode="External"/><Relationship Id="rId77" Type="http://schemas.openxmlformats.org/officeDocument/2006/relationships/hyperlink" Target="https://leetcode.com/problems/word-ladder/" TargetMode="External"/><Relationship Id="rId100" Type="http://schemas.openxmlformats.org/officeDocument/2006/relationships/hyperlink" Target="https://leetcode.com/problems/best-time-to-buy-and-sell-stock-iv/" TargetMode="External"/><Relationship Id="rId282" Type="http://schemas.openxmlformats.org/officeDocument/2006/relationships/hyperlink" Target="https://leetcode.com/problems/minimum-speed-to-arrive-on-time/" TargetMode="External"/><Relationship Id="rId8" Type="http://schemas.openxmlformats.org/officeDocument/2006/relationships/hyperlink" Target="https://leetcode.com/problems/string-to-integer-atoi/" TargetMode="External"/><Relationship Id="rId98" Type="http://schemas.openxmlformats.org/officeDocument/2006/relationships/hyperlink" Target="https://leetcode.com/problems/binary-search-tree-iterator/" TargetMode="External"/><Relationship Id="rId121" Type="http://schemas.openxmlformats.org/officeDocument/2006/relationships/hyperlink" Target="https://leetcode.com/problems/contains-duplicate-ii/" TargetMode="External"/><Relationship Id="rId142" Type="http://schemas.openxmlformats.org/officeDocument/2006/relationships/hyperlink" Target="https://leetcode.com/problems/find-the-celebrity/" TargetMode="External"/><Relationship Id="rId163" Type="http://schemas.openxmlformats.org/officeDocument/2006/relationships/hyperlink" Target="https://leetcode.com/problems/top-k-frequent-elements/" TargetMode="External"/><Relationship Id="rId184" Type="http://schemas.openxmlformats.org/officeDocument/2006/relationships/hyperlink" Target="https://leetcode.com/problems/lfu-cache/" TargetMode="External"/><Relationship Id="rId219" Type="http://schemas.openxmlformats.org/officeDocument/2006/relationships/hyperlink" Target="https://leetcode.com/problems/design-hashmap/" TargetMode="External"/><Relationship Id="rId230" Type="http://schemas.openxmlformats.org/officeDocument/2006/relationships/hyperlink" Target="https://leetcode.com/problems/cheapest-flights-within-k-stops/" TargetMode="External"/><Relationship Id="rId251" Type="http://schemas.openxmlformats.org/officeDocument/2006/relationships/hyperlink" Target="https://leetcode.com/problems/verifying-an-alien-dictionary/" TargetMode="External"/><Relationship Id="rId25" Type="http://schemas.openxmlformats.org/officeDocument/2006/relationships/hyperlink" Target="https://leetcode.com/problems/substring-with-concatenation-of-all-words/" TargetMode="External"/><Relationship Id="rId46" Type="http://schemas.openxmlformats.org/officeDocument/2006/relationships/hyperlink" Target="https://leetcode.com/problems/climbing-stairs/" TargetMode="External"/><Relationship Id="rId67" Type="http://schemas.openxmlformats.org/officeDocument/2006/relationships/hyperlink" Target="https://leetcode.com/problems/convert-sorted-array-to-binary-search-tree/" TargetMode="External"/><Relationship Id="rId272" Type="http://schemas.openxmlformats.org/officeDocument/2006/relationships/hyperlink" Target="https://leetcode.com/problems/find-winner-on-a-tic-tac-toe-game/" TargetMode="External"/><Relationship Id="rId293" Type="http://schemas.openxmlformats.org/officeDocument/2006/relationships/hyperlink" Target="https://leetcode.com/problems/count-the-number-of-incremovable-subarrays-i/" TargetMode="External"/><Relationship Id="rId88" Type="http://schemas.openxmlformats.org/officeDocument/2006/relationships/hyperlink" Target="https://leetcode.com/problems/find-minimum-in-rotated-sorted-array/" TargetMode="External"/><Relationship Id="rId111" Type="http://schemas.openxmlformats.org/officeDocument/2006/relationships/hyperlink" Target="https://leetcode.com/problems/course-schedule/" TargetMode="External"/><Relationship Id="rId132" Type="http://schemas.openxmlformats.org/officeDocument/2006/relationships/hyperlink" Target="https://leetcode.com/problems/search-a-2d-matrix-ii/" TargetMode="External"/><Relationship Id="rId153" Type="http://schemas.openxmlformats.org/officeDocument/2006/relationships/hyperlink" Target="https://leetcode.com/problems/odd-even-linked-list/" TargetMode="External"/><Relationship Id="rId174" Type="http://schemas.openxmlformats.org/officeDocument/2006/relationships/hyperlink" Target="https://leetcode.com/problems/decode-string/" TargetMode="External"/><Relationship Id="rId195" Type="http://schemas.openxmlformats.org/officeDocument/2006/relationships/hyperlink" Target="https://leetcode.com/problems/continuous-subarray-sum/" TargetMode="External"/><Relationship Id="rId209" Type="http://schemas.openxmlformats.org/officeDocument/2006/relationships/hyperlink" Target="https://leetcode.com/problems/design-log-storage-system/" TargetMode="External"/><Relationship Id="rId220" Type="http://schemas.openxmlformats.org/officeDocument/2006/relationships/hyperlink" Target="https://leetcode.com/problems/design-linked-list/" TargetMode="External"/><Relationship Id="rId241" Type="http://schemas.openxmlformats.org/officeDocument/2006/relationships/hyperlink" Target="https://leetcode.com/problems/middle-of-the-linked-list/" TargetMode="External"/><Relationship Id="rId15" Type="http://schemas.openxmlformats.org/officeDocument/2006/relationships/hyperlink" Target="https://leetcode.com/problems/4sum/" TargetMode="External"/><Relationship Id="rId36" Type="http://schemas.openxmlformats.org/officeDocument/2006/relationships/hyperlink" Target="https://leetcode.com/problems/rotate-image/" TargetMode="External"/><Relationship Id="rId57" Type="http://schemas.openxmlformats.org/officeDocument/2006/relationships/hyperlink" Target="https://leetcode.com/problems/subsets-ii/" TargetMode="External"/><Relationship Id="rId262" Type="http://schemas.openxmlformats.org/officeDocument/2006/relationships/hyperlink" Target="https://leetcode.com/problems/shortest-path-in-binary-matrix/" TargetMode="External"/><Relationship Id="rId283" Type="http://schemas.openxmlformats.org/officeDocument/2006/relationships/hyperlink" Target="https://leetcode.com/problems/number-of-pairs-of-strings-with-concatenation-equal-to-target/" TargetMode="External"/><Relationship Id="rId78" Type="http://schemas.openxmlformats.org/officeDocument/2006/relationships/hyperlink" Target="https://leetcode.com/problems/longest-consecutive-sequence/" TargetMode="External"/><Relationship Id="rId99" Type="http://schemas.openxmlformats.org/officeDocument/2006/relationships/hyperlink" Target="https://leetcode.com/problems/second-highest-salary/" TargetMode="External"/><Relationship Id="rId101" Type="http://schemas.openxmlformats.org/officeDocument/2006/relationships/hyperlink" Target="https://leetcode.com/problems/rotate-array/" TargetMode="External"/><Relationship Id="rId122" Type="http://schemas.openxmlformats.org/officeDocument/2006/relationships/hyperlink" Target="https://leetcode.com/problems/maximal-square/" TargetMode="External"/><Relationship Id="rId143" Type="http://schemas.openxmlformats.org/officeDocument/2006/relationships/hyperlink" Target="https://leetcode.com/problems/first-bad-version/" TargetMode="External"/><Relationship Id="rId164" Type="http://schemas.openxmlformats.org/officeDocument/2006/relationships/hyperlink" Target="https://leetcode.com/problems/design-tic-tac-toe/" TargetMode="External"/><Relationship Id="rId185" Type="http://schemas.openxmlformats.org/officeDocument/2006/relationships/hyperlink" Target="https://leetcode.com/problems/island-perimeter/" TargetMode="External"/><Relationship Id="rId9" Type="http://schemas.openxmlformats.org/officeDocument/2006/relationships/hyperlink" Target="https://leetcode.com/problems/regular-expression-matching/" TargetMode="External"/><Relationship Id="rId210" Type="http://schemas.openxmlformats.org/officeDocument/2006/relationships/hyperlink" Target="https://leetcode.com/problems/exclusive-time-of-functions/" TargetMode="External"/><Relationship Id="rId26" Type="http://schemas.openxmlformats.org/officeDocument/2006/relationships/hyperlink" Target="https://leetcode.com/problems/search-in-rotated-sorted-array/" TargetMode="External"/><Relationship Id="rId231" Type="http://schemas.openxmlformats.org/officeDocument/2006/relationships/hyperlink" Target="https://leetcode.com/problems/short-encoding-of-words/" TargetMode="External"/><Relationship Id="rId252" Type="http://schemas.openxmlformats.org/officeDocument/2006/relationships/hyperlink" Target="https://leetcode.com/problems/k-closest-points-to-origin/" TargetMode="External"/><Relationship Id="rId273" Type="http://schemas.openxmlformats.org/officeDocument/2006/relationships/hyperlink" Target="https://leetcode.com/problems/angle-between-hands-of-a-clock/" TargetMode="External"/><Relationship Id="rId294" Type="http://schemas.openxmlformats.org/officeDocument/2006/relationships/hyperlink" Target="https://leetcode.com/problems/count-the-number-of-incremovable-subarrays-ii/" TargetMode="External"/><Relationship Id="rId47" Type="http://schemas.openxmlformats.org/officeDocument/2006/relationships/hyperlink" Target="https://leetcode.com/problems/simplify-path/" TargetMode="External"/><Relationship Id="rId68" Type="http://schemas.openxmlformats.org/officeDocument/2006/relationships/hyperlink" Target="https://leetcode.com/problems/convert-sorted-list-to-binary-search-tree/" TargetMode="External"/><Relationship Id="rId89" Type="http://schemas.openxmlformats.org/officeDocument/2006/relationships/hyperlink" Target="https://leetcode.com/problems/min-stack/" TargetMode="External"/><Relationship Id="rId112" Type="http://schemas.openxmlformats.org/officeDocument/2006/relationships/hyperlink" Target="https://leetcode.com/problems/implement-trie-prefix-tree/" TargetMode="External"/><Relationship Id="rId133" Type="http://schemas.openxmlformats.org/officeDocument/2006/relationships/hyperlink" Target="https://leetcode.com/problems/valid-anagram/" TargetMode="External"/><Relationship Id="rId154" Type="http://schemas.openxmlformats.org/officeDocument/2006/relationships/hyperlink" Target="https://leetcode.com/problems/longest-increasing-path-in-a-matrix/" TargetMode="External"/><Relationship Id="rId175" Type="http://schemas.openxmlformats.org/officeDocument/2006/relationships/hyperlink" Target="https://leetcode.com/problems/evaluate-division/" TargetMode="External"/><Relationship Id="rId196" Type="http://schemas.openxmlformats.org/officeDocument/2006/relationships/hyperlink" Target="https://leetcode.com/problems/random-pick-with-weight/" TargetMode="External"/><Relationship Id="rId200" Type="http://schemas.openxmlformats.org/officeDocument/2006/relationships/hyperlink" Target="https://leetcode.com/problems/diameter-of-binary-tree/" TargetMode="External"/><Relationship Id="rId16" Type="http://schemas.openxmlformats.org/officeDocument/2006/relationships/hyperlink" Target="https://leetcode.com/problems/remove-nth-node-from-end-of-list/" TargetMode="External"/><Relationship Id="rId221" Type="http://schemas.openxmlformats.org/officeDocument/2006/relationships/hyperlink" Target="https://leetcode.com/problems/subarray-product-less-than-k/" TargetMode="External"/><Relationship Id="rId242" Type="http://schemas.openxmlformats.org/officeDocument/2006/relationships/hyperlink" Target="https://leetcode.com/problems/spiral-matrix-iii/" TargetMode="External"/><Relationship Id="rId263" Type="http://schemas.openxmlformats.org/officeDocument/2006/relationships/hyperlink" Target="https://leetcode.com/problems/longest-common-subsequence/" TargetMode="External"/><Relationship Id="rId284" Type="http://schemas.openxmlformats.org/officeDocument/2006/relationships/hyperlink" Target="https://leetcode.com/problems/maximum-path-quality-of-a-graph/" TargetMode="External"/><Relationship Id="rId37" Type="http://schemas.openxmlformats.org/officeDocument/2006/relationships/hyperlink" Target="https://leetcode.com/problems/group-anagrams/" TargetMode="External"/><Relationship Id="rId58" Type="http://schemas.openxmlformats.org/officeDocument/2006/relationships/hyperlink" Target="https://leetcode.com/problems/decode-ways/" TargetMode="External"/><Relationship Id="rId79" Type="http://schemas.openxmlformats.org/officeDocument/2006/relationships/hyperlink" Target="https://leetcode.com/problems/clone-graph/" TargetMode="External"/><Relationship Id="rId102" Type="http://schemas.openxmlformats.org/officeDocument/2006/relationships/hyperlink" Target="https://leetcode.com/problems/reverse-bits/" TargetMode="External"/><Relationship Id="rId123" Type="http://schemas.openxmlformats.org/officeDocument/2006/relationships/hyperlink" Target="https://leetcode.com/problems/basic-calculator/" TargetMode="External"/><Relationship Id="rId144" Type="http://schemas.openxmlformats.org/officeDocument/2006/relationships/hyperlink" Target="https://leetcode.com/problems/move-zeroes/" TargetMode="External"/><Relationship Id="rId90" Type="http://schemas.openxmlformats.org/officeDocument/2006/relationships/hyperlink" Target="https://leetcode.com/problems/read-n-characters-given-read4/" TargetMode="External"/><Relationship Id="rId165" Type="http://schemas.openxmlformats.org/officeDocument/2006/relationships/hyperlink" Target="https://leetcode.com/problems/intersection-of-two-arrays/" TargetMode="External"/><Relationship Id="rId186" Type="http://schemas.openxmlformats.org/officeDocument/2006/relationships/hyperlink" Target="https://leetcode.com/problems/validate-ip-address/" TargetMode="External"/><Relationship Id="rId211" Type="http://schemas.openxmlformats.org/officeDocument/2006/relationships/hyperlink" Target="https://leetcode.com/problems/design-search-autocomplete-system/" TargetMode="External"/><Relationship Id="rId232" Type="http://schemas.openxmlformats.org/officeDocument/2006/relationships/hyperlink" Target="https://leetcode.com/problems/goat-latin/" TargetMode="External"/><Relationship Id="rId253" Type="http://schemas.openxmlformats.org/officeDocument/2006/relationships/hyperlink" Target="https://leetcode.com/problems/time-based-key-value-store/" TargetMode="External"/><Relationship Id="rId274" Type="http://schemas.openxmlformats.org/officeDocument/2006/relationships/hyperlink" Target="https://leetcode.com/problems/product-of-the-last-k-numbers/" TargetMode="External"/><Relationship Id="rId295" Type="http://schemas.openxmlformats.org/officeDocument/2006/relationships/hyperlink" Target="https://leetcode.com/problems/find-the-grid-of-region-average/" TargetMode="External"/><Relationship Id="rId27" Type="http://schemas.openxmlformats.org/officeDocument/2006/relationships/hyperlink" Target="https://leetcode.com/problems/find-first-and-last-position-of-element-in-sorted-array/" TargetMode="External"/><Relationship Id="rId48" Type="http://schemas.openxmlformats.org/officeDocument/2006/relationships/hyperlink" Target="https://leetcode.com/problems/edit-distance/" TargetMode="External"/><Relationship Id="rId69" Type="http://schemas.openxmlformats.org/officeDocument/2006/relationships/hyperlink" Target="https://leetcode.com/problems/path-sum/" TargetMode="External"/><Relationship Id="rId113" Type="http://schemas.openxmlformats.org/officeDocument/2006/relationships/hyperlink" Target="https://leetcode.com/problems/minimum-size-subarray-sum/" TargetMode="External"/><Relationship Id="rId134" Type="http://schemas.openxmlformats.org/officeDocument/2006/relationships/hyperlink" Target="https://leetcode.com/problems/shortest-word-distance/" TargetMode="External"/><Relationship Id="rId80" Type="http://schemas.openxmlformats.org/officeDocument/2006/relationships/hyperlink" Target="https://leetcode.com/problems/gas-station/" TargetMode="External"/><Relationship Id="rId155" Type="http://schemas.openxmlformats.org/officeDocument/2006/relationships/hyperlink" Target="https://leetcode.com/problems/reconstruct-itinerary/" TargetMode="External"/><Relationship Id="rId176" Type="http://schemas.openxmlformats.org/officeDocument/2006/relationships/hyperlink" Target="https://leetcode.com/problems/fizz-buzz/" TargetMode="External"/><Relationship Id="rId197" Type="http://schemas.openxmlformats.org/officeDocument/2006/relationships/hyperlink" Target="https://leetcode.com/problems/k-diff-pairs-in-an-array/" TargetMode="External"/><Relationship Id="rId201" Type="http://schemas.openxmlformats.org/officeDocument/2006/relationships/hyperlink" Target="https://leetcode.com/problems/subarray-sum-equals-k/" TargetMode="External"/><Relationship Id="rId222" Type="http://schemas.openxmlformats.org/officeDocument/2006/relationships/hyperlink" Target="https://leetcode.com/problems/best-time-to-buy-and-sell-stock-with-transaction-fee/" TargetMode="External"/><Relationship Id="rId243" Type="http://schemas.openxmlformats.org/officeDocument/2006/relationships/hyperlink" Target="https://leetcode.com/problems/construct-binary-tree-from-preorder-and-postorder-traversal/" TargetMode="External"/><Relationship Id="rId264" Type="http://schemas.openxmlformats.org/officeDocument/2006/relationships/hyperlink" Target="https://leetcode.com/problems/snapshot-array/" TargetMode="External"/><Relationship Id="rId285" Type="http://schemas.openxmlformats.org/officeDocument/2006/relationships/hyperlink" Target="https://leetcode.com/problems/sum-of-subarray-ranges/" TargetMode="External"/><Relationship Id="rId17" Type="http://schemas.openxmlformats.org/officeDocument/2006/relationships/hyperlink" Target="https://leetcode.com/problems/valid-parentheses/" TargetMode="External"/><Relationship Id="rId38" Type="http://schemas.openxmlformats.org/officeDocument/2006/relationships/hyperlink" Target="https://leetcode.com/problems/maximum-subarray/" TargetMode="External"/><Relationship Id="rId59" Type="http://schemas.openxmlformats.org/officeDocument/2006/relationships/hyperlink" Target="https://leetcode.com/problems/reverse-linked-list-ii/" TargetMode="External"/><Relationship Id="rId103" Type="http://schemas.openxmlformats.org/officeDocument/2006/relationships/hyperlink" Target="https://leetcode.com/problems/number-of-1-bits/" TargetMode="External"/><Relationship Id="rId124" Type="http://schemas.openxmlformats.org/officeDocument/2006/relationships/hyperlink" Target="https://leetcode.com/problems/implement-stack-using-queues/" TargetMode="External"/><Relationship Id="rId70" Type="http://schemas.openxmlformats.org/officeDocument/2006/relationships/hyperlink" Target="https://leetcode.com/problems/pascals-triangle/" TargetMode="External"/><Relationship Id="rId91" Type="http://schemas.openxmlformats.org/officeDocument/2006/relationships/hyperlink" Target="https://leetcode.com/problems/read-n-characters-given-read4-ii-call-multiple-times/" TargetMode="External"/><Relationship Id="rId145" Type="http://schemas.openxmlformats.org/officeDocument/2006/relationships/hyperlink" Target="https://leetcode.com/problems/peeking-iterator/" TargetMode="External"/><Relationship Id="rId166" Type="http://schemas.openxmlformats.org/officeDocument/2006/relationships/hyperlink" Target="https://leetcode.com/problems/design-twitter/" TargetMode="External"/><Relationship Id="rId187" Type="http://schemas.openxmlformats.org/officeDocument/2006/relationships/hyperlink" Target="https://leetcode.com/problems/total-hamming-distance/" TargetMode="External"/><Relationship Id="rId1" Type="http://schemas.openxmlformats.org/officeDocument/2006/relationships/hyperlink" Target="https://leetcode.com/problems/two-sum/" TargetMode="External"/><Relationship Id="rId212" Type="http://schemas.openxmlformats.org/officeDocument/2006/relationships/hyperlink" Target="https://leetcode.com/problems/palindromic-substrings/" TargetMode="External"/><Relationship Id="rId233" Type="http://schemas.openxmlformats.org/officeDocument/2006/relationships/hyperlink" Target="https://leetcode.com/problems/similar-string-groups/" TargetMode="External"/><Relationship Id="rId254" Type="http://schemas.openxmlformats.org/officeDocument/2006/relationships/hyperlink" Target="https://leetcode.com/problems/interval-list-intersections/" TargetMode="External"/><Relationship Id="rId28" Type="http://schemas.openxmlformats.org/officeDocument/2006/relationships/hyperlink" Target="https://leetcode.com/problems/valid-sudoku/" TargetMode="External"/><Relationship Id="rId49" Type="http://schemas.openxmlformats.org/officeDocument/2006/relationships/hyperlink" Target="https://leetcode.com/problems/set-matrix-zeroes/" TargetMode="External"/><Relationship Id="rId114" Type="http://schemas.openxmlformats.org/officeDocument/2006/relationships/hyperlink" Target="https://leetcode.com/problems/course-schedule-ii/" TargetMode="External"/><Relationship Id="rId275" Type="http://schemas.openxmlformats.org/officeDocument/2006/relationships/hyperlink" Target="https://leetcode.com/problems/design-browser-history/" TargetMode="External"/><Relationship Id="rId296" Type="http://schemas.openxmlformats.org/officeDocument/2006/relationships/hyperlink" Target="https://leetcode.com/problems/maximum-number-of-operations-with-the-same-score-ii/" TargetMode="External"/><Relationship Id="rId60" Type="http://schemas.openxmlformats.org/officeDocument/2006/relationships/hyperlink" Target="https://leetcode.com/problems/interleaving-string/" TargetMode="External"/><Relationship Id="rId81" Type="http://schemas.openxmlformats.org/officeDocument/2006/relationships/hyperlink" Target="https://leetcode.com/problems/copy-list-with-random-pointer/" TargetMode="External"/><Relationship Id="rId135" Type="http://schemas.openxmlformats.org/officeDocument/2006/relationships/hyperlink" Target="https://leetcode.com/problems/meeting-rooms/" TargetMode="External"/><Relationship Id="rId156" Type="http://schemas.openxmlformats.org/officeDocument/2006/relationships/hyperlink" Target="https://leetcode.com/problems/counting-bits/" TargetMode="External"/><Relationship Id="rId177" Type="http://schemas.openxmlformats.org/officeDocument/2006/relationships/hyperlink" Target="https://leetcode.com/problems/longest-repeating-character-replacement/" TargetMode="External"/><Relationship Id="rId198" Type="http://schemas.openxmlformats.org/officeDocument/2006/relationships/hyperlink" Target="https://leetcode.com/problems/encode-and-decode-tinyurl/" TargetMode="External"/><Relationship Id="rId202" Type="http://schemas.openxmlformats.org/officeDocument/2006/relationships/hyperlink" Target="https://leetcode.com/problems/array-nesting/" TargetMode="External"/><Relationship Id="rId223" Type="http://schemas.openxmlformats.org/officeDocument/2006/relationships/hyperlink" Target="https://leetcode.com/problems/find-pivot-index/" TargetMode="External"/><Relationship Id="rId244" Type="http://schemas.openxmlformats.org/officeDocument/2006/relationships/hyperlink" Target="https://leetcode.com/problems/maximum-frequency-stack/" TargetMode="External"/><Relationship Id="rId18" Type="http://schemas.openxmlformats.org/officeDocument/2006/relationships/hyperlink" Target="https://leetcode.com/problems/merge-two-sorted-lists/" TargetMode="External"/><Relationship Id="rId39" Type="http://schemas.openxmlformats.org/officeDocument/2006/relationships/hyperlink" Target="https://leetcode.com/problems/spiral-matrix/" TargetMode="External"/><Relationship Id="rId265" Type="http://schemas.openxmlformats.org/officeDocument/2006/relationships/hyperlink" Target="https://leetcode.com/problems/optimize-water-distribution-in-a-village/" TargetMode="External"/><Relationship Id="rId286" Type="http://schemas.openxmlformats.org/officeDocument/2006/relationships/hyperlink" Target="https://leetcode.com/problems/find-all-lonely-numbers-in-the-array/" TargetMode="External"/><Relationship Id="rId50" Type="http://schemas.openxmlformats.org/officeDocument/2006/relationships/hyperlink" Target="https://leetcode.com/problems/search-a-2d-matrix/" TargetMode="External"/><Relationship Id="rId104" Type="http://schemas.openxmlformats.org/officeDocument/2006/relationships/hyperlink" Target="https://leetcode.com/problems/house-robber/" TargetMode="External"/><Relationship Id="rId125" Type="http://schemas.openxmlformats.org/officeDocument/2006/relationships/hyperlink" Target="https://leetcode.com/problems/basic-calculator-ii/" TargetMode="External"/><Relationship Id="rId146" Type="http://schemas.openxmlformats.org/officeDocument/2006/relationships/hyperlink" Target="https://leetcode.com/problems/word-pattern-ii/" TargetMode="External"/><Relationship Id="rId167" Type="http://schemas.openxmlformats.org/officeDocument/2006/relationships/hyperlink" Target="https://leetcode.com/problems/logger-rate-limiter/" TargetMode="External"/><Relationship Id="rId188" Type="http://schemas.openxmlformats.org/officeDocument/2006/relationships/hyperlink" Target="https://leetcode.com/problems/sliding-window-median/" TargetMode="External"/><Relationship Id="rId71" Type="http://schemas.openxmlformats.org/officeDocument/2006/relationships/hyperlink" Target="https://leetcode.com/problems/best-time-to-buy-and-sell-stock/" TargetMode="External"/><Relationship Id="rId92" Type="http://schemas.openxmlformats.org/officeDocument/2006/relationships/hyperlink" Target="https://leetcode.com/problems/intersection-of-two-linked-lists/" TargetMode="External"/><Relationship Id="rId213" Type="http://schemas.openxmlformats.org/officeDocument/2006/relationships/hyperlink" Target="https://leetcode.com/problems/find-k-closest-elements/" TargetMode="External"/><Relationship Id="rId234" Type="http://schemas.openxmlformats.org/officeDocument/2006/relationships/hyperlink" Target="https://leetcode.com/problems/keys-and-rooms/" TargetMode="External"/><Relationship Id="rId2" Type="http://schemas.openxmlformats.org/officeDocument/2006/relationships/hyperlink" Target="https://leetcode.com/problems/add-two-numbers/" TargetMode="External"/><Relationship Id="rId29" Type="http://schemas.openxmlformats.org/officeDocument/2006/relationships/hyperlink" Target="https://leetcode.com/problems/sudoku-solver/" TargetMode="External"/><Relationship Id="rId255" Type="http://schemas.openxmlformats.org/officeDocument/2006/relationships/hyperlink" Target="https://leetcode.com/problems/rotting-oranges/" TargetMode="External"/><Relationship Id="rId276" Type="http://schemas.openxmlformats.org/officeDocument/2006/relationships/hyperlink" Target="https://leetcode.com/problems/magnetic-force-between-two-balls/" TargetMode="External"/><Relationship Id="rId297" Type="http://schemas.openxmlformats.org/officeDocument/2006/relationships/hyperlink" Target="https://leetcode.com/problems/apple-redistribution-into-boxes/" TargetMode="External"/><Relationship Id="rId40" Type="http://schemas.openxmlformats.org/officeDocument/2006/relationships/hyperlink" Target="https://leetcode.com/problems/jump-game/" TargetMode="External"/><Relationship Id="rId115" Type="http://schemas.openxmlformats.org/officeDocument/2006/relationships/hyperlink" Target="https://leetcode.com/problems/add-and-search-word-data-structure-design/" TargetMode="External"/><Relationship Id="rId136" Type="http://schemas.openxmlformats.org/officeDocument/2006/relationships/hyperlink" Target="https://leetcode.com/problems/meeting-rooms-ii/" TargetMode="External"/><Relationship Id="rId157" Type="http://schemas.openxmlformats.org/officeDocument/2006/relationships/hyperlink" Target="https://leetcode.com/problems/nested-list-weight-sum/" TargetMode="External"/><Relationship Id="rId178" Type="http://schemas.openxmlformats.org/officeDocument/2006/relationships/hyperlink" Target="https://leetcode.com/problems/serialize-and-deserialize-n-ary-tree/" TargetMode="External"/><Relationship Id="rId61" Type="http://schemas.openxmlformats.org/officeDocument/2006/relationships/hyperlink" Target="https://leetcode.com/problems/validate-binary-search-tree/" TargetMode="External"/><Relationship Id="rId82" Type="http://schemas.openxmlformats.org/officeDocument/2006/relationships/hyperlink" Target="https://leetcode.com/problems/word-break/" TargetMode="External"/><Relationship Id="rId199" Type="http://schemas.openxmlformats.org/officeDocument/2006/relationships/hyperlink" Target="https://leetcode.com/problems/01-matrix/" TargetMode="External"/><Relationship Id="rId203" Type="http://schemas.openxmlformats.org/officeDocument/2006/relationships/hyperlink" Target="https://leetcode.com/problems/permutation-in-string/" TargetMode="External"/><Relationship Id="rId19" Type="http://schemas.openxmlformats.org/officeDocument/2006/relationships/hyperlink" Target="https://leetcode.com/problems/generate-parentheses/" TargetMode="External"/><Relationship Id="rId224" Type="http://schemas.openxmlformats.org/officeDocument/2006/relationships/hyperlink" Target="https://leetcode.com/problems/my-calendar-ii/" TargetMode="External"/><Relationship Id="rId245" Type="http://schemas.openxmlformats.org/officeDocument/2006/relationships/hyperlink" Target="https://leetcode.com/problems/sum-of-subarray-minimums/" TargetMode="External"/><Relationship Id="rId266" Type="http://schemas.openxmlformats.org/officeDocument/2006/relationships/hyperlink" Target="https://leetcode.com/problems/minimum-knight-moves/" TargetMode="External"/><Relationship Id="rId287" Type="http://schemas.openxmlformats.org/officeDocument/2006/relationships/hyperlink" Target="https://leetcode.com/problems/best-poker-hand/" TargetMode="External"/><Relationship Id="rId30" Type="http://schemas.openxmlformats.org/officeDocument/2006/relationships/hyperlink" Target="https://leetcode.com/problems/combination-sum/" TargetMode="External"/><Relationship Id="rId105" Type="http://schemas.openxmlformats.org/officeDocument/2006/relationships/hyperlink" Target="https://leetcode.com/problems/binary-tree-right-side-view/" TargetMode="External"/><Relationship Id="rId126" Type="http://schemas.openxmlformats.org/officeDocument/2006/relationships/hyperlink" Target="https://leetcode.com/problems/implement-queue-using-stacks/" TargetMode="External"/><Relationship Id="rId147" Type="http://schemas.openxmlformats.org/officeDocument/2006/relationships/hyperlink" Target="https://leetcode.com/problems/find-median-from-data-stream/" TargetMode="External"/><Relationship Id="rId168" Type="http://schemas.openxmlformats.org/officeDocument/2006/relationships/hyperlink" Target="https://leetcode.com/problems/design-hit-counter/" TargetMode="External"/><Relationship Id="rId51" Type="http://schemas.openxmlformats.org/officeDocument/2006/relationships/hyperlink" Target="https://leetcode.com/problems/sort-colors/" TargetMode="External"/><Relationship Id="rId72" Type="http://schemas.openxmlformats.org/officeDocument/2006/relationships/hyperlink" Target="https://leetcode.com/problems/best-time-to-buy-and-sell-stock-ii/" TargetMode="External"/><Relationship Id="rId93" Type="http://schemas.openxmlformats.org/officeDocument/2006/relationships/hyperlink" Target="https://leetcode.com/problems/one-edit-distance/" TargetMode="External"/><Relationship Id="rId189" Type="http://schemas.openxmlformats.org/officeDocument/2006/relationships/hyperlink" Target="https://leetcode.com/problems/max-consecutive-ones/" TargetMode="External"/><Relationship Id="rId3" Type="http://schemas.openxmlformats.org/officeDocument/2006/relationships/hyperlink" Target="https://leetcode.com/problems/longest-substring-without-repeating-characters/" TargetMode="External"/><Relationship Id="rId214" Type="http://schemas.openxmlformats.org/officeDocument/2006/relationships/hyperlink" Target="https://leetcode.com/problems/image-smoother/" TargetMode="External"/><Relationship Id="rId235" Type="http://schemas.openxmlformats.org/officeDocument/2006/relationships/hyperlink" Target="https://leetcode.com/problems/guess-the-word/" TargetMode="External"/><Relationship Id="rId256" Type="http://schemas.openxmlformats.org/officeDocument/2006/relationships/hyperlink" Target="https://leetcode.com/problems/number-of-squareful-arrays/" TargetMode="External"/><Relationship Id="rId277" Type="http://schemas.openxmlformats.org/officeDocument/2006/relationships/hyperlink" Target="https://leetcode.com/problems/dot-product-of-two-sparse-vectors/" TargetMode="External"/><Relationship Id="rId298" Type="http://schemas.openxmlformats.org/officeDocument/2006/relationships/hyperlink" Target="https://leetcode.com/problems/string-compression-iii/" TargetMode="External"/><Relationship Id="rId116" Type="http://schemas.openxmlformats.org/officeDocument/2006/relationships/hyperlink" Target="https://leetcode.com/problems/word-search-ii/" TargetMode="External"/><Relationship Id="rId137" Type="http://schemas.openxmlformats.org/officeDocument/2006/relationships/hyperlink" Target="https://leetcode.com/problems/binary-tree-paths/" TargetMode="External"/><Relationship Id="rId158" Type="http://schemas.openxmlformats.org/officeDocument/2006/relationships/hyperlink" Target="https://leetcode.com/problems/longest-substring-with-at-most-k-distinct-characters/" TargetMode="External"/><Relationship Id="rId20" Type="http://schemas.openxmlformats.org/officeDocument/2006/relationships/hyperlink" Target="https://leetcode.com/problems/merge-k-sorted-lists/" TargetMode="External"/><Relationship Id="rId41" Type="http://schemas.openxmlformats.org/officeDocument/2006/relationships/hyperlink" Target="https://leetcode.com/problems/merge-intervals/" TargetMode="External"/><Relationship Id="rId62" Type="http://schemas.openxmlformats.org/officeDocument/2006/relationships/hyperlink" Target="https://leetcode.com/problems/same-tree/" TargetMode="External"/><Relationship Id="rId83" Type="http://schemas.openxmlformats.org/officeDocument/2006/relationships/hyperlink" Target="https://leetcode.com/problems/reorder-list/" TargetMode="External"/><Relationship Id="rId179" Type="http://schemas.openxmlformats.org/officeDocument/2006/relationships/hyperlink" Target="https://leetcode.com/problems/all-oone-data-structure/" TargetMode="External"/><Relationship Id="rId190" Type="http://schemas.openxmlformats.org/officeDocument/2006/relationships/hyperlink" Target="https://leetcode.com/problems/the-maze/" TargetMode="External"/><Relationship Id="rId204" Type="http://schemas.openxmlformats.org/officeDocument/2006/relationships/hyperlink" Target="https://leetcode.com/problems/can-place-flowers/" TargetMode="External"/><Relationship Id="rId225" Type="http://schemas.openxmlformats.org/officeDocument/2006/relationships/hyperlink" Target="https://leetcode.com/problems/flood-fill/" TargetMode="External"/><Relationship Id="rId246" Type="http://schemas.openxmlformats.org/officeDocument/2006/relationships/hyperlink" Target="https://leetcode.com/problems/snakes-and-ladders/" TargetMode="External"/><Relationship Id="rId267" Type="http://schemas.openxmlformats.org/officeDocument/2006/relationships/hyperlink" Target="https://leetcode.com/problems/intersection-of-three-sorted-arrays/" TargetMode="External"/><Relationship Id="rId288" Type="http://schemas.openxmlformats.org/officeDocument/2006/relationships/hyperlink" Target="https://leetcode.com/problems/first-letter-to-appear-twice/" TargetMode="External"/><Relationship Id="rId106" Type="http://schemas.openxmlformats.org/officeDocument/2006/relationships/hyperlink" Target="https://leetcode.com/problems/number-of-islands/" TargetMode="External"/><Relationship Id="rId127" Type="http://schemas.openxmlformats.org/officeDocument/2006/relationships/hyperlink" Target="https://leetcode.com/problems/lowest-common-ancestor-of-a-binary-search-tree/" TargetMode="External"/><Relationship Id="rId10" Type="http://schemas.openxmlformats.org/officeDocument/2006/relationships/hyperlink" Target="https://leetcode.com/problems/container-with-most-water/" TargetMode="External"/><Relationship Id="rId31" Type="http://schemas.openxmlformats.org/officeDocument/2006/relationships/hyperlink" Target="https://leetcode.com/problems/first-missing-positive/" TargetMode="External"/><Relationship Id="rId52" Type="http://schemas.openxmlformats.org/officeDocument/2006/relationships/hyperlink" Target="https://leetcode.com/problems/minimum-window-substring/" TargetMode="External"/><Relationship Id="rId73" Type="http://schemas.openxmlformats.org/officeDocument/2006/relationships/hyperlink" Target="https://leetcode.com/problems/best-time-to-buy-and-sell-stock-iii/" TargetMode="External"/><Relationship Id="rId94" Type="http://schemas.openxmlformats.org/officeDocument/2006/relationships/hyperlink" Target="https://leetcode.com/problems/find-peak-element/" TargetMode="External"/><Relationship Id="rId148" Type="http://schemas.openxmlformats.org/officeDocument/2006/relationships/hyperlink" Target="https://leetcode.com/problems/serialize-and-deserialize-binary-tree/" TargetMode="External"/><Relationship Id="rId169" Type="http://schemas.openxmlformats.org/officeDocument/2006/relationships/hyperlink" Target="https://leetcode.com/problems/water-and-jug-problem/" TargetMode="External"/><Relationship Id="rId4" Type="http://schemas.openxmlformats.org/officeDocument/2006/relationships/hyperlink" Target="https://leetcode.com/problems/median-of-two-sorted-arrays/" TargetMode="External"/><Relationship Id="rId180" Type="http://schemas.openxmlformats.org/officeDocument/2006/relationships/hyperlink" Target="https://leetcode.com/problems/non-overlapping-intervals/" TargetMode="External"/><Relationship Id="rId215" Type="http://schemas.openxmlformats.org/officeDocument/2006/relationships/hyperlink" Target="https://leetcode.com/problems/valid-palindrome-ii/" TargetMode="External"/><Relationship Id="rId236" Type="http://schemas.openxmlformats.org/officeDocument/2006/relationships/hyperlink" Target="https://leetcode.com/problems/maximize-distance-to-closest-person/" TargetMode="External"/><Relationship Id="rId257" Type="http://schemas.openxmlformats.org/officeDocument/2006/relationships/hyperlink" Target="https://leetcode.com/problems/max-consecutive-ones-iii/" TargetMode="External"/><Relationship Id="rId278" Type="http://schemas.openxmlformats.org/officeDocument/2006/relationships/hyperlink" Target="https://leetcode.com/problems/find-servers-that-handled-most-number-of-requests/" TargetMode="External"/><Relationship Id="rId42" Type="http://schemas.openxmlformats.org/officeDocument/2006/relationships/hyperlink" Target="https://leetcode.com/problems/insert-interval/" TargetMode="External"/><Relationship Id="rId84" Type="http://schemas.openxmlformats.org/officeDocument/2006/relationships/hyperlink" Target="https://leetcode.com/problems/lru-cache/" TargetMode="External"/><Relationship Id="rId138" Type="http://schemas.openxmlformats.org/officeDocument/2006/relationships/hyperlink" Target="https://leetcode.com/problems/missing-number/" TargetMode="External"/><Relationship Id="rId191" Type="http://schemas.openxmlformats.org/officeDocument/2006/relationships/hyperlink" Target="https://leetcode.com/problems/reverse-pairs/" TargetMode="External"/><Relationship Id="rId205" Type="http://schemas.openxmlformats.org/officeDocument/2006/relationships/hyperlink" Target="https://leetcode.com/problems/task-scheduler/" TargetMode="External"/><Relationship Id="rId247" Type="http://schemas.openxmlformats.org/officeDocument/2006/relationships/hyperlink" Target="https://leetcode.com/problems/sort-an-array/" TargetMode="External"/><Relationship Id="rId107" Type="http://schemas.openxmlformats.org/officeDocument/2006/relationships/hyperlink" Target="https://leetcode.com/problems/happy-number/" TargetMode="External"/><Relationship Id="rId289" Type="http://schemas.openxmlformats.org/officeDocument/2006/relationships/hyperlink" Target="https://leetcode.com/problems/maximum-rows-covered-by-columns/" TargetMode="External"/><Relationship Id="rId11" Type="http://schemas.openxmlformats.org/officeDocument/2006/relationships/hyperlink" Target="https://leetcode.com/problems/roman-to-integer/" TargetMode="External"/><Relationship Id="rId53" Type="http://schemas.openxmlformats.org/officeDocument/2006/relationships/hyperlink" Target="https://leetcode.com/problems/word-search/" TargetMode="External"/><Relationship Id="rId149" Type="http://schemas.openxmlformats.org/officeDocument/2006/relationships/hyperlink" Target="https://leetcode.com/problems/best-time-to-buy-and-sell-stock-with-cooldown/" TargetMode="External"/><Relationship Id="rId95" Type="http://schemas.openxmlformats.org/officeDocument/2006/relationships/hyperlink" Target="https://leetcode.com/problems/missing-ranges/" TargetMode="External"/><Relationship Id="rId160" Type="http://schemas.openxmlformats.org/officeDocument/2006/relationships/hyperlink" Target="https://leetcode.com/problems/reverse-string/" TargetMode="External"/><Relationship Id="rId216" Type="http://schemas.openxmlformats.org/officeDocument/2006/relationships/hyperlink" Target="https://leetcode.com/problems/knight-probability-in-chessboard/" TargetMode="External"/><Relationship Id="rId258" Type="http://schemas.openxmlformats.org/officeDocument/2006/relationships/hyperlink" Target="https://leetcode.com/problems/capacity-to-ship-packages-within-d-days/" TargetMode="External"/><Relationship Id="rId22" Type="http://schemas.openxmlformats.org/officeDocument/2006/relationships/hyperlink" Target="https://leetcode.com/problems/remove-duplicates-from-sorted-array/" TargetMode="External"/><Relationship Id="rId64" Type="http://schemas.openxmlformats.org/officeDocument/2006/relationships/hyperlink" Target="https://leetcode.com/problems/binary-tree-level-order-traversal/" TargetMode="External"/><Relationship Id="rId118" Type="http://schemas.openxmlformats.org/officeDocument/2006/relationships/hyperlink" Target="https://leetcode.com/problems/kth-largest-element-in-an-array/" TargetMode="External"/><Relationship Id="rId171" Type="http://schemas.openxmlformats.org/officeDocument/2006/relationships/hyperlink" Target="https://leetcode.com/problems/insert-delete-getrandom-o1/" TargetMode="External"/><Relationship Id="rId227" Type="http://schemas.openxmlformats.org/officeDocument/2006/relationships/hyperlink" Target="https://leetcode.com/problems/sentence-similarity-ii/" TargetMode="External"/><Relationship Id="rId269" Type="http://schemas.openxmlformats.org/officeDocument/2006/relationships/hyperlink" Target="https://leetcode.com/problems/web-crawler-multithreaded/" TargetMode="External"/><Relationship Id="rId33" Type="http://schemas.openxmlformats.org/officeDocument/2006/relationships/hyperlink" Target="https://leetcode.com/problems/jump-game-ii/" TargetMode="External"/><Relationship Id="rId129" Type="http://schemas.openxmlformats.org/officeDocument/2006/relationships/hyperlink" Target="https://leetcode.com/problems/delete-node-in-a-linked-list/" TargetMode="External"/><Relationship Id="rId280" Type="http://schemas.openxmlformats.org/officeDocument/2006/relationships/hyperlink" Target="https://leetcode.com/problems/determine-if-two-strings-are-close/"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https://leetcode.com/problems/basic-calculator/" TargetMode="External"/><Relationship Id="rId21" Type="http://schemas.openxmlformats.org/officeDocument/2006/relationships/hyperlink" Target="https://leetcode.com/problems/merge-two-sorted-lists/" TargetMode="External"/><Relationship Id="rId42" Type="http://schemas.openxmlformats.org/officeDocument/2006/relationships/hyperlink" Target="https://leetcode.com/problems/jump-game/" TargetMode="External"/><Relationship Id="rId63" Type="http://schemas.openxmlformats.org/officeDocument/2006/relationships/hyperlink" Target="https://leetcode.com/problems/unique-binary-search-trees/" TargetMode="External"/><Relationship Id="rId84" Type="http://schemas.openxmlformats.org/officeDocument/2006/relationships/hyperlink" Target="https://leetcode.com/problems/gas-station/" TargetMode="External"/><Relationship Id="rId138" Type="http://schemas.openxmlformats.org/officeDocument/2006/relationships/hyperlink" Target="https://leetcode.com/problems/walls-and-gates/" TargetMode="External"/><Relationship Id="rId159" Type="http://schemas.openxmlformats.org/officeDocument/2006/relationships/hyperlink" Target="https://leetcode.com/problems/battleships-in-a-board/" TargetMode="External"/><Relationship Id="rId170" Type="http://schemas.openxmlformats.org/officeDocument/2006/relationships/hyperlink" Target="https://leetcode.com/problems/diagonal-traverse/" TargetMode="External"/><Relationship Id="rId191" Type="http://schemas.openxmlformats.org/officeDocument/2006/relationships/hyperlink" Target="https://leetcode.com/problems/find-pivot-index/" TargetMode="External"/><Relationship Id="rId205" Type="http://schemas.openxmlformats.org/officeDocument/2006/relationships/hyperlink" Target="https://leetcode.com/problems/shortest-bridge/" TargetMode="External"/><Relationship Id="rId107" Type="http://schemas.openxmlformats.org/officeDocument/2006/relationships/hyperlink" Target="https://leetcode.com/problems/number-of-islands/" TargetMode="External"/><Relationship Id="rId11" Type="http://schemas.openxmlformats.org/officeDocument/2006/relationships/hyperlink" Target="https://leetcode.com/problems/container-with-most-water/" TargetMode="External"/><Relationship Id="rId32" Type="http://schemas.openxmlformats.org/officeDocument/2006/relationships/hyperlink" Target="https://leetcode.com/problems/combination-sum/" TargetMode="External"/><Relationship Id="rId53" Type="http://schemas.openxmlformats.org/officeDocument/2006/relationships/hyperlink" Target="https://leetcode.com/problems/search-a-2d-matrix/" TargetMode="External"/><Relationship Id="rId74" Type="http://schemas.openxmlformats.org/officeDocument/2006/relationships/hyperlink" Target="https://leetcode.com/problems/best-time-to-buy-and-sell-stock/" TargetMode="External"/><Relationship Id="rId128" Type="http://schemas.openxmlformats.org/officeDocument/2006/relationships/hyperlink" Target="https://leetcode.com/problems/sliding-window-maximum/" TargetMode="External"/><Relationship Id="rId149" Type="http://schemas.openxmlformats.org/officeDocument/2006/relationships/hyperlink" Target="https://leetcode.com/problems/reverse-vowels-of-a-string/" TargetMode="External"/><Relationship Id="rId5" Type="http://schemas.openxmlformats.org/officeDocument/2006/relationships/hyperlink" Target="https://leetcode.com/problems/longest-palindromic-substring/" TargetMode="External"/><Relationship Id="rId95" Type="http://schemas.openxmlformats.org/officeDocument/2006/relationships/hyperlink" Target="https://leetcode.com/problems/find-minimum-in-rotated-sorted-array/" TargetMode="External"/><Relationship Id="rId160" Type="http://schemas.openxmlformats.org/officeDocument/2006/relationships/hyperlink" Target="https://leetcode.com/problems/longest-repeating-character-replacement/" TargetMode="External"/><Relationship Id="rId181" Type="http://schemas.openxmlformats.org/officeDocument/2006/relationships/hyperlink" Target="https://leetcode.com/problems/exclusive-time-of-functions/" TargetMode="External"/><Relationship Id="rId216" Type="http://schemas.openxmlformats.org/officeDocument/2006/relationships/hyperlink" Target="https://leetcode.com/problems/longest-common-subsequence/" TargetMode="External"/><Relationship Id="rId22" Type="http://schemas.openxmlformats.org/officeDocument/2006/relationships/hyperlink" Target="https://leetcode.com/problems/generate-parentheses/" TargetMode="External"/><Relationship Id="rId43" Type="http://schemas.openxmlformats.org/officeDocument/2006/relationships/hyperlink" Target="https://leetcode.com/problems/merge-intervals/" TargetMode="External"/><Relationship Id="rId64" Type="http://schemas.openxmlformats.org/officeDocument/2006/relationships/hyperlink" Target="https://leetcode.com/problems/validate-binary-search-tree/" TargetMode="External"/><Relationship Id="rId118" Type="http://schemas.openxmlformats.org/officeDocument/2006/relationships/hyperlink" Target="https://leetcode.com/problems/implement-stack-using-queues/" TargetMode="External"/><Relationship Id="rId139" Type="http://schemas.openxmlformats.org/officeDocument/2006/relationships/hyperlink" Target="https://leetcode.com/problems/find-the-duplicate-number/" TargetMode="External"/><Relationship Id="rId85" Type="http://schemas.openxmlformats.org/officeDocument/2006/relationships/hyperlink" Target="https://leetcode.com/problems/candy/" TargetMode="External"/><Relationship Id="rId150" Type="http://schemas.openxmlformats.org/officeDocument/2006/relationships/hyperlink" Target="https://leetcode.com/problems/moving-average-from-data-stream/" TargetMode="External"/><Relationship Id="rId171" Type="http://schemas.openxmlformats.org/officeDocument/2006/relationships/hyperlink" Target="https://leetcode.com/problems/coin-change-ii/" TargetMode="External"/><Relationship Id="rId192" Type="http://schemas.openxmlformats.org/officeDocument/2006/relationships/hyperlink" Target="https://leetcode.com/problems/asteroid-collision/" TargetMode="External"/><Relationship Id="rId206" Type="http://schemas.openxmlformats.org/officeDocument/2006/relationships/hyperlink" Target="https://leetcode.com/problems/range-sum-of-bst/" TargetMode="External"/><Relationship Id="rId12" Type="http://schemas.openxmlformats.org/officeDocument/2006/relationships/hyperlink" Target="https://leetcode.com/problems/integer-to-roman/" TargetMode="External"/><Relationship Id="rId33" Type="http://schemas.openxmlformats.org/officeDocument/2006/relationships/hyperlink" Target="https://leetcode.com/problems/first-missing-positive/" TargetMode="External"/><Relationship Id="rId108" Type="http://schemas.openxmlformats.org/officeDocument/2006/relationships/hyperlink" Target="https://leetcode.com/problems/happy-number/" TargetMode="External"/><Relationship Id="rId129" Type="http://schemas.openxmlformats.org/officeDocument/2006/relationships/hyperlink" Target="https://leetcode.com/problems/valid-anagram/" TargetMode="External"/><Relationship Id="rId54" Type="http://schemas.openxmlformats.org/officeDocument/2006/relationships/hyperlink" Target="https://leetcode.com/problems/sort-colors/" TargetMode="External"/><Relationship Id="rId75" Type="http://schemas.openxmlformats.org/officeDocument/2006/relationships/hyperlink" Target="https://leetcode.com/problems/best-time-to-buy-and-sell-stock-ii/" TargetMode="External"/><Relationship Id="rId96" Type="http://schemas.openxmlformats.org/officeDocument/2006/relationships/hyperlink" Target="https://leetcode.com/problems/min-stack/" TargetMode="External"/><Relationship Id="rId140" Type="http://schemas.openxmlformats.org/officeDocument/2006/relationships/hyperlink" Target="https://leetcode.com/problems/longest-increasing-subsequence/" TargetMode="External"/><Relationship Id="rId161" Type="http://schemas.openxmlformats.org/officeDocument/2006/relationships/hyperlink" Target="https://leetcode.com/problems/convert-binary-search-tree-to-sorted-doubly-linked-list/" TargetMode="External"/><Relationship Id="rId182" Type="http://schemas.openxmlformats.org/officeDocument/2006/relationships/hyperlink" Target="https://leetcode.com/problems/palindromic-substrings/" TargetMode="External"/><Relationship Id="rId217" Type="http://schemas.openxmlformats.org/officeDocument/2006/relationships/hyperlink" Target="https://leetcode.com/problems/valid-palindrome-iii/" TargetMode="External"/><Relationship Id="rId6" Type="http://schemas.openxmlformats.org/officeDocument/2006/relationships/hyperlink" Target="https://leetcode.com/problems/zigzag-conversion/" TargetMode="External"/><Relationship Id="rId23" Type="http://schemas.openxmlformats.org/officeDocument/2006/relationships/hyperlink" Target="https://leetcode.com/problems/merge-k-sorted-lists/" TargetMode="External"/><Relationship Id="rId119" Type="http://schemas.openxmlformats.org/officeDocument/2006/relationships/hyperlink" Target="https://leetcode.com/problems/basic-calculator-ii/" TargetMode="External"/><Relationship Id="rId44" Type="http://schemas.openxmlformats.org/officeDocument/2006/relationships/hyperlink" Target="https://leetcode.com/problems/length-of-last-word/" TargetMode="External"/><Relationship Id="rId65" Type="http://schemas.openxmlformats.org/officeDocument/2006/relationships/hyperlink" Target="https://leetcode.com/problems/same-tree/" TargetMode="External"/><Relationship Id="rId86" Type="http://schemas.openxmlformats.org/officeDocument/2006/relationships/hyperlink" Target="https://leetcode.com/problems/single-number/" TargetMode="External"/><Relationship Id="rId130" Type="http://schemas.openxmlformats.org/officeDocument/2006/relationships/hyperlink" Target="https://leetcode.com/problems/strobogrammatic-number/" TargetMode="External"/><Relationship Id="rId151" Type="http://schemas.openxmlformats.org/officeDocument/2006/relationships/hyperlink" Target="https://leetcode.com/problems/top-k-frequent-elements/" TargetMode="External"/><Relationship Id="rId172" Type="http://schemas.openxmlformats.org/officeDocument/2006/relationships/hyperlink" Target="https://leetcode.com/problems/continuous-subarray-sum/" TargetMode="External"/><Relationship Id="rId193" Type="http://schemas.openxmlformats.org/officeDocument/2006/relationships/hyperlink" Target="https://leetcode.com/problems/daily-temperatures/" TargetMode="External"/><Relationship Id="rId207" Type="http://schemas.openxmlformats.org/officeDocument/2006/relationships/hyperlink" Target="https://leetcode.com/problems/k-closest-points-to-origin/" TargetMode="External"/><Relationship Id="rId13" Type="http://schemas.openxmlformats.org/officeDocument/2006/relationships/hyperlink" Target="https://leetcode.com/problems/roman-to-integer/" TargetMode="External"/><Relationship Id="rId109" Type="http://schemas.openxmlformats.org/officeDocument/2006/relationships/hyperlink" Target="https://leetcode.com/problems/isomorphic-strings/" TargetMode="External"/><Relationship Id="rId34" Type="http://schemas.openxmlformats.org/officeDocument/2006/relationships/hyperlink" Target="https://leetcode.com/problems/trapping-rain-water/" TargetMode="External"/><Relationship Id="rId55" Type="http://schemas.openxmlformats.org/officeDocument/2006/relationships/hyperlink" Target="https://leetcode.com/problems/minimum-window-substring/" TargetMode="External"/><Relationship Id="rId76" Type="http://schemas.openxmlformats.org/officeDocument/2006/relationships/hyperlink" Target="https://leetcode.com/problems/best-time-to-buy-and-sell-stock-iii/" TargetMode="External"/><Relationship Id="rId97" Type="http://schemas.openxmlformats.org/officeDocument/2006/relationships/hyperlink" Target="https://leetcode.com/problems/intersection-of-two-linked-lists/" TargetMode="External"/><Relationship Id="rId120" Type="http://schemas.openxmlformats.org/officeDocument/2006/relationships/hyperlink" Target="https://leetcode.com/problems/kth-smallest-element-in-a-bst/" TargetMode="External"/><Relationship Id="rId141" Type="http://schemas.openxmlformats.org/officeDocument/2006/relationships/hyperlink" Target="https://leetcode.com/problems/remove-invalid-parentheses/" TargetMode="External"/><Relationship Id="rId7" Type="http://schemas.openxmlformats.org/officeDocument/2006/relationships/hyperlink" Target="https://leetcode.com/problems/reverse-integer/" TargetMode="External"/><Relationship Id="rId162" Type="http://schemas.openxmlformats.org/officeDocument/2006/relationships/hyperlink" Target="https://leetcode.com/problems/non-overlapping-intervals/" TargetMode="External"/><Relationship Id="rId183" Type="http://schemas.openxmlformats.org/officeDocument/2006/relationships/hyperlink" Target="https://leetcode.com/problems/maximum-swap/" TargetMode="External"/><Relationship Id="rId218" Type="http://schemas.openxmlformats.org/officeDocument/2006/relationships/hyperlink" Target="https://leetcode.com/problems/minimum-remove-to-make-valid-parentheses/" TargetMode="External"/><Relationship Id="rId24" Type="http://schemas.openxmlformats.org/officeDocument/2006/relationships/hyperlink" Target="https://leetcode.com/problems/remove-duplicates-from-sorted-array/" TargetMode="External"/><Relationship Id="rId45" Type="http://schemas.openxmlformats.org/officeDocument/2006/relationships/hyperlink" Target="https://leetcode.com/problems/unique-paths/" TargetMode="External"/><Relationship Id="rId66" Type="http://schemas.openxmlformats.org/officeDocument/2006/relationships/hyperlink" Target="https://leetcode.com/problems/symmetric-tree/" TargetMode="External"/><Relationship Id="rId87" Type="http://schemas.openxmlformats.org/officeDocument/2006/relationships/hyperlink" Target="https://leetcode.com/problems/copy-list-with-random-pointer/" TargetMode="External"/><Relationship Id="rId110" Type="http://schemas.openxmlformats.org/officeDocument/2006/relationships/hyperlink" Target="https://leetcode.com/problems/reverse-linked-list/" TargetMode="External"/><Relationship Id="rId131" Type="http://schemas.openxmlformats.org/officeDocument/2006/relationships/hyperlink" Target="https://leetcode.com/problems/group-shifted-strings/" TargetMode="External"/><Relationship Id="rId152" Type="http://schemas.openxmlformats.org/officeDocument/2006/relationships/hyperlink" Target="https://leetcode.com/problems/design-tic-tac-toe/" TargetMode="External"/><Relationship Id="rId173" Type="http://schemas.openxmlformats.org/officeDocument/2006/relationships/hyperlink" Target="https://leetcode.com/problems/contiguous-array/" TargetMode="External"/><Relationship Id="rId194" Type="http://schemas.openxmlformats.org/officeDocument/2006/relationships/hyperlink" Target="https://leetcode.com/problems/toeplitz-matrix/" TargetMode="External"/><Relationship Id="rId208" Type="http://schemas.openxmlformats.org/officeDocument/2006/relationships/hyperlink" Target="https://leetcode.com/problems/squares-of-a-sorted-array/" TargetMode="External"/><Relationship Id="rId14" Type="http://schemas.openxmlformats.org/officeDocument/2006/relationships/hyperlink" Target="https://leetcode.com/problems/longest-common-prefix/" TargetMode="External"/><Relationship Id="rId35" Type="http://schemas.openxmlformats.org/officeDocument/2006/relationships/hyperlink" Target="https://leetcode.com/problems/permutations/" TargetMode="External"/><Relationship Id="rId56" Type="http://schemas.openxmlformats.org/officeDocument/2006/relationships/hyperlink" Target="https://leetcode.com/problems/subsets/" TargetMode="External"/><Relationship Id="rId77" Type="http://schemas.openxmlformats.org/officeDocument/2006/relationships/hyperlink" Target="https://leetcode.com/problems/binary-tree-maximum-path-sum/" TargetMode="External"/><Relationship Id="rId100" Type="http://schemas.openxmlformats.org/officeDocument/2006/relationships/hyperlink" Target="https://leetcode.com/problems/majority-element/" TargetMode="External"/><Relationship Id="rId8" Type="http://schemas.openxmlformats.org/officeDocument/2006/relationships/hyperlink" Target="https://leetcode.com/problems/string-to-integer-atoi/" TargetMode="External"/><Relationship Id="rId98" Type="http://schemas.openxmlformats.org/officeDocument/2006/relationships/hyperlink" Target="https://leetcode.com/problems/find-peak-element/" TargetMode="External"/><Relationship Id="rId121" Type="http://schemas.openxmlformats.org/officeDocument/2006/relationships/hyperlink" Target="https://leetcode.com/problems/power-of-two/" TargetMode="External"/><Relationship Id="rId142" Type="http://schemas.openxmlformats.org/officeDocument/2006/relationships/hyperlink" Target="https://leetcode.com/problems/range-sum-query-immutable/" TargetMode="External"/><Relationship Id="rId163" Type="http://schemas.openxmlformats.org/officeDocument/2006/relationships/hyperlink" Target="https://leetcode.com/problems/find-all-anagrams-in-a-string/" TargetMode="External"/><Relationship Id="rId184" Type="http://schemas.openxmlformats.org/officeDocument/2006/relationships/hyperlink" Target="https://leetcode.com/problems/valid-parenthesis-string/" TargetMode="External"/><Relationship Id="rId219" Type="http://schemas.openxmlformats.org/officeDocument/2006/relationships/hyperlink" Target="https://leetcode.com/problems/diagonal-traverse-ii/" TargetMode="External"/><Relationship Id="rId3" Type="http://schemas.openxmlformats.org/officeDocument/2006/relationships/hyperlink" Target="https://leetcode.com/problems/longest-substring-without-repeating-characters/" TargetMode="External"/><Relationship Id="rId214" Type="http://schemas.openxmlformats.org/officeDocument/2006/relationships/hyperlink" Target="https://leetcode.com/problems/remove-all-adjacent-duplicates-in-string/" TargetMode="External"/><Relationship Id="rId25" Type="http://schemas.openxmlformats.org/officeDocument/2006/relationships/hyperlink" Target="https://leetcode.com/problems/remove-element/" TargetMode="External"/><Relationship Id="rId46" Type="http://schemas.openxmlformats.org/officeDocument/2006/relationships/hyperlink" Target="https://leetcode.com/problems/valid-number/" TargetMode="External"/><Relationship Id="rId67" Type="http://schemas.openxmlformats.org/officeDocument/2006/relationships/hyperlink" Target="https://leetcode.com/problems/binary-tree-level-order-traversal/" TargetMode="External"/><Relationship Id="rId116" Type="http://schemas.openxmlformats.org/officeDocument/2006/relationships/hyperlink" Target="https://leetcode.com/problems/contains-duplicate-ii/" TargetMode="External"/><Relationship Id="rId137" Type="http://schemas.openxmlformats.org/officeDocument/2006/relationships/hyperlink" Target="https://leetcode.com/problems/move-zeroes/" TargetMode="External"/><Relationship Id="rId158" Type="http://schemas.openxmlformats.org/officeDocument/2006/relationships/hyperlink" Target="https://leetcode.com/problems/partition-equal-subset-sum/" TargetMode="External"/><Relationship Id="rId20" Type="http://schemas.openxmlformats.org/officeDocument/2006/relationships/hyperlink" Target="https://leetcode.com/problems/valid-parentheses/" TargetMode="External"/><Relationship Id="rId41" Type="http://schemas.openxmlformats.org/officeDocument/2006/relationships/hyperlink" Target="https://leetcode.com/problems/spiral-matrix/" TargetMode="External"/><Relationship Id="rId62" Type="http://schemas.openxmlformats.org/officeDocument/2006/relationships/hyperlink" Target="https://leetcode.com/problems/reverse-linked-list-ii/" TargetMode="External"/><Relationship Id="rId83" Type="http://schemas.openxmlformats.org/officeDocument/2006/relationships/hyperlink" Target="https://leetcode.com/problems/clone-graph/" TargetMode="External"/><Relationship Id="rId88" Type="http://schemas.openxmlformats.org/officeDocument/2006/relationships/hyperlink" Target="https://leetcode.com/problems/word-break/" TargetMode="External"/><Relationship Id="rId111" Type="http://schemas.openxmlformats.org/officeDocument/2006/relationships/hyperlink" Target="https://leetcode.com/problems/course-schedule/" TargetMode="External"/><Relationship Id="rId132" Type="http://schemas.openxmlformats.org/officeDocument/2006/relationships/hyperlink" Target="https://leetcode.com/problems/meeting-rooms-ii/" TargetMode="External"/><Relationship Id="rId153" Type="http://schemas.openxmlformats.org/officeDocument/2006/relationships/hyperlink" Target="https://leetcode.com/problems/intersection-of-two-arrays/" TargetMode="External"/><Relationship Id="rId174" Type="http://schemas.openxmlformats.org/officeDocument/2006/relationships/hyperlink" Target="https://leetcode.com/problems/random-pick-with-weight/" TargetMode="External"/><Relationship Id="rId179" Type="http://schemas.openxmlformats.org/officeDocument/2006/relationships/hyperlink" Target="https://leetcode.com/problems/subarray-sum-equals-k/" TargetMode="External"/><Relationship Id="rId195" Type="http://schemas.openxmlformats.org/officeDocument/2006/relationships/hyperlink" Target="https://leetcode.com/problems/swim-in-rising-water/" TargetMode="External"/><Relationship Id="rId209" Type="http://schemas.openxmlformats.org/officeDocument/2006/relationships/hyperlink" Target="https://leetcode.com/problems/interval-list-intersections/" TargetMode="External"/><Relationship Id="rId190" Type="http://schemas.openxmlformats.org/officeDocument/2006/relationships/hyperlink" Target="https://leetcode.com/problems/accounts-merge/" TargetMode="External"/><Relationship Id="rId204" Type="http://schemas.openxmlformats.org/officeDocument/2006/relationships/hyperlink" Target="https://leetcode.com/problems/minimum-add-to-make-parentheses-valid/" TargetMode="External"/><Relationship Id="rId220" Type="http://schemas.openxmlformats.org/officeDocument/2006/relationships/hyperlink" Target="https://leetcode.com/problems/kth-missing-positive-number/" TargetMode="External"/><Relationship Id="rId225" Type="http://schemas.openxmlformats.org/officeDocument/2006/relationships/hyperlink" Target="https://leetcode.com/problems/product-of-two-run-length-encoded-arrays/" TargetMode="External"/><Relationship Id="rId15" Type="http://schemas.openxmlformats.org/officeDocument/2006/relationships/hyperlink" Target="https://leetcode.com/problems/3sum/" TargetMode="External"/><Relationship Id="rId36" Type="http://schemas.openxmlformats.org/officeDocument/2006/relationships/hyperlink" Target="https://leetcode.com/problems/rotate-image/" TargetMode="External"/><Relationship Id="rId57" Type="http://schemas.openxmlformats.org/officeDocument/2006/relationships/hyperlink" Target="https://leetcode.com/problems/word-search/" TargetMode="External"/><Relationship Id="rId106" Type="http://schemas.openxmlformats.org/officeDocument/2006/relationships/hyperlink" Target="https://leetcode.com/problems/binary-tree-right-side-view/" TargetMode="External"/><Relationship Id="rId127" Type="http://schemas.openxmlformats.org/officeDocument/2006/relationships/hyperlink" Target="https://leetcode.com/problems/product-of-array-except-self/" TargetMode="External"/><Relationship Id="rId10" Type="http://schemas.openxmlformats.org/officeDocument/2006/relationships/hyperlink" Target="https://leetcode.com/problems/regular-expression-matching/" TargetMode="External"/><Relationship Id="rId31" Type="http://schemas.openxmlformats.org/officeDocument/2006/relationships/hyperlink" Target="https://leetcode.com/problems/search-insert-position/" TargetMode="External"/><Relationship Id="rId52" Type="http://schemas.openxmlformats.org/officeDocument/2006/relationships/hyperlink" Target="https://leetcode.com/problems/set-matrix-zeroes/" TargetMode="External"/><Relationship Id="rId73" Type="http://schemas.openxmlformats.org/officeDocument/2006/relationships/hyperlink" Target="https://leetcode.com/problems/pascals-triangle/" TargetMode="External"/><Relationship Id="rId78" Type="http://schemas.openxmlformats.org/officeDocument/2006/relationships/hyperlink" Target="https://leetcode.com/problems/valid-palindrome/" TargetMode="External"/><Relationship Id="rId94" Type="http://schemas.openxmlformats.org/officeDocument/2006/relationships/hyperlink" Target="https://leetcode.com/problems/maximum-product-subarray/" TargetMode="External"/><Relationship Id="rId99" Type="http://schemas.openxmlformats.org/officeDocument/2006/relationships/hyperlink" Target="https://leetcode.com/problems/two-sum-ii-input-array-is-sorted/" TargetMode="External"/><Relationship Id="rId101" Type="http://schemas.openxmlformats.org/officeDocument/2006/relationships/hyperlink" Target="https://leetcode.com/problems/binary-search-tree-iterator/" TargetMode="External"/><Relationship Id="rId122" Type="http://schemas.openxmlformats.org/officeDocument/2006/relationships/hyperlink" Target="https://leetcode.com/problems/implement-queue-using-stacks/" TargetMode="External"/><Relationship Id="rId143" Type="http://schemas.openxmlformats.org/officeDocument/2006/relationships/hyperlink" Target="https://leetcode.com/problems/binary-tree-vertical-order-traversal/" TargetMode="External"/><Relationship Id="rId148" Type="http://schemas.openxmlformats.org/officeDocument/2006/relationships/hyperlink" Target="https://leetcode.com/problems/reverse-string/" TargetMode="External"/><Relationship Id="rId164" Type="http://schemas.openxmlformats.org/officeDocument/2006/relationships/hyperlink" Target="https://leetcode.com/problems/string-compression/" TargetMode="External"/><Relationship Id="rId169" Type="http://schemas.openxmlformats.org/officeDocument/2006/relationships/hyperlink" Target="https://leetcode.com/problems/next-greater-element-i/" TargetMode="External"/><Relationship Id="rId185" Type="http://schemas.openxmlformats.org/officeDocument/2006/relationships/hyperlink" Target="https://leetcode.com/problems/valid-palindrome-ii/" TargetMode="External"/><Relationship Id="rId4" Type="http://schemas.openxmlformats.org/officeDocument/2006/relationships/hyperlink" Target="https://leetcode.com/problems/median-of-two-sorted-arrays/" TargetMode="External"/><Relationship Id="rId9" Type="http://schemas.openxmlformats.org/officeDocument/2006/relationships/hyperlink" Target="https://leetcode.com/problems/palindrome-number/" TargetMode="External"/><Relationship Id="rId180" Type="http://schemas.openxmlformats.org/officeDocument/2006/relationships/hyperlink" Target="https://leetcode.com/problems/can-place-flowers/" TargetMode="External"/><Relationship Id="rId210" Type="http://schemas.openxmlformats.org/officeDocument/2006/relationships/hyperlink" Target="https://leetcode.com/problems/vertical-order-traversal-of-a-binary-tree/" TargetMode="External"/><Relationship Id="rId215" Type="http://schemas.openxmlformats.org/officeDocument/2006/relationships/hyperlink" Target="https://leetcode.com/problems/shortest-path-in-binary-matrix/" TargetMode="External"/><Relationship Id="rId26" Type="http://schemas.openxmlformats.org/officeDocument/2006/relationships/hyperlink" Target="https://leetcode.com/problems/find-the-index-of-the-first-occurrence-in-a-string/" TargetMode="External"/><Relationship Id="rId47" Type="http://schemas.openxmlformats.org/officeDocument/2006/relationships/hyperlink" Target="https://leetcode.com/problems/plus-one/" TargetMode="External"/><Relationship Id="rId68" Type="http://schemas.openxmlformats.org/officeDocument/2006/relationships/hyperlink" Target="https://leetcode.com/problems/maximum-depth-of-binary-tree/" TargetMode="External"/><Relationship Id="rId89" Type="http://schemas.openxmlformats.org/officeDocument/2006/relationships/hyperlink" Target="https://leetcode.com/problems/reorder-list/" TargetMode="External"/><Relationship Id="rId112" Type="http://schemas.openxmlformats.org/officeDocument/2006/relationships/hyperlink" Target="https://leetcode.com/problems/implement-trie-prefix-tree/" TargetMode="External"/><Relationship Id="rId133" Type="http://schemas.openxmlformats.org/officeDocument/2006/relationships/hyperlink" Target="https://leetcode.com/problems/alien-dictionary/" TargetMode="External"/><Relationship Id="rId154" Type="http://schemas.openxmlformats.org/officeDocument/2006/relationships/hyperlink" Target="https://leetcode.com/problems/kth-smallest-element-in-a-sorted-matrix/" TargetMode="External"/><Relationship Id="rId175" Type="http://schemas.openxmlformats.org/officeDocument/2006/relationships/hyperlink" Target="https://leetcode.com/problems/minesweeper/" TargetMode="External"/><Relationship Id="rId196" Type="http://schemas.openxmlformats.org/officeDocument/2006/relationships/hyperlink" Target="https://leetcode.com/problems/custom-sort-string/" TargetMode="External"/><Relationship Id="rId200" Type="http://schemas.openxmlformats.org/officeDocument/2006/relationships/hyperlink" Target="https://leetcode.com/problems/all-nodes-distance-k-in-binary-tree/" TargetMode="External"/><Relationship Id="rId16" Type="http://schemas.openxmlformats.org/officeDocument/2006/relationships/hyperlink" Target="https://leetcode.com/problems/3sum-closest/" TargetMode="External"/><Relationship Id="rId221" Type="http://schemas.openxmlformats.org/officeDocument/2006/relationships/hyperlink" Target="https://leetcode.com/problems/dot-product-of-two-sparse-vectors/" TargetMode="External"/><Relationship Id="rId37" Type="http://schemas.openxmlformats.org/officeDocument/2006/relationships/hyperlink" Target="https://leetcode.com/problems/group-anagrams/" TargetMode="External"/><Relationship Id="rId58" Type="http://schemas.openxmlformats.org/officeDocument/2006/relationships/hyperlink" Target="https://leetcode.com/problems/largest-rectangle-in-histogram/" TargetMode="External"/><Relationship Id="rId79" Type="http://schemas.openxmlformats.org/officeDocument/2006/relationships/hyperlink" Target="https://leetcode.com/problems/word-ladder/" TargetMode="External"/><Relationship Id="rId102" Type="http://schemas.openxmlformats.org/officeDocument/2006/relationships/hyperlink" Target="https://leetcode.com/problems/second-highest-salary/" TargetMode="External"/><Relationship Id="rId123" Type="http://schemas.openxmlformats.org/officeDocument/2006/relationships/hyperlink" Target="https://leetcode.com/problems/palindrome-linked-list/" TargetMode="External"/><Relationship Id="rId144" Type="http://schemas.openxmlformats.org/officeDocument/2006/relationships/hyperlink" Target="https://leetcode.com/problems/coin-change/" TargetMode="External"/><Relationship Id="rId90" Type="http://schemas.openxmlformats.org/officeDocument/2006/relationships/hyperlink" Target="https://leetcode.com/problems/lru-cache/" TargetMode="External"/><Relationship Id="rId165" Type="http://schemas.openxmlformats.org/officeDocument/2006/relationships/hyperlink" Target="https://leetcode.com/problems/sliding-window-median/" TargetMode="External"/><Relationship Id="rId186" Type="http://schemas.openxmlformats.org/officeDocument/2006/relationships/hyperlink" Target="https://leetcode.com/problems/max-area-of-island/" TargetMode="External"/><Relationship Id="rId211" Type="http://schemas.openxmlformats.org/officeDocument/2006/relationships/hyperlink" Target="https://leetcode.com/problems/rotting-oranges/" TargetMode="External"/><Relationship Id="rId27" Type="http://schemas.openxmlformats.org/officeDocument/2006/relationships/hyperlink" Target="https://leetcode.com/problems/next-permutation/" TargetMode="External"/><Relationship Id="rId48" Type="http://schemas.openxmlformats.org/officeDocument/2006/relationships/hyperlink" Target="https://leetcode.com/problems/add-binary/" TargetMode="External"/><Relationship Id="rId69" Type="http://schemas.openxmlformats.org/officeDocument/2006/relationships/hyperlink" Target="https://leetcode.com/problems/construct-binary-tree-from-preorder-and-inorder-traversal/" TargetMode="External"/><Relationship Id="rId113" Type="http://schemas.openxmlformats.org/officeDocument/2006/relationships/hyperlink" Target="https://leetcode.com/problems/course-schedule-ii/" TargetMode="External"/><Relationship Id="rId134" Type="http://schemas.openxmlformats.org/officeDocument/2006/relationships/hyperlink" Target="https://leetcode.com/problems/closest-binary-search-tree-value/" TargetMode="External"/><Relationship Id="rId80" Type="http://schemas.openxmlformats.org/officeDocument/2006/relationships/hyperlink" Target="https://leetcode.com/problems/longest-consecutive-sequence/" TargetMode="External"/><Relationship Id="rId155" Type="http://schemas.openxmlformats.org/officeDocument/2006/relationships/hyperlink" Target="https://leetcode.com/problems/valid-word-abbreviation/" TargetMode="External"/><Relationship Id="rId176" Type="http://schemas.openxmlformats.org/officeDocument/2006/relationships/hyperlink" Target="https://leetcode.com/problems/single-element-in-a-sorted-array/" TargetMode="External"/><Relationship Id="rId197" Type="http://schemas.openxmlformats.org/officeDocument/2006/relationships/hyperlink" Target="https://leetcode.com/problems/goat-latin/" TargetMode="External"/><Relationship Id="rId201" Type="http://schemas.openxmlformats.org/officeDocument/2006/relationships/hyperlink" Target="https://leetcode.com/problems/smallest-subtree-with-all-the-deepest-nodes/" TargetMode="External"/><Relationship Id="rId222" Type="http://schemas.openxmlformats.org/officeDocument/2006/relationships/hyperlink" Target="https://leetcode.com/problems/lowest-common-ancestor-of-a-binary-tree-iii/" TargetMode="External"/><Relationship Id="rId17" Type="http://schemas.openxmlformats.org/officeDocument/2006/relationships/hyperlink" Target="https://leetcode.com/problems/letter-combinations-of-a-phone-number/" TargetMode="External"/><Relationship Id="rId38" Type="http://schemas.openxmlformats.org/officeDocument/2006/relationships/hyperlink" Target="https://leetcode.com/problems/powx-n/" TargetMode="External"/><Relationship Id="rId59" Type="http://schemas.openxmlformats.org/officeDocument/2006/relationships/hyperlink" Target="https://leetcode.com/problems/maximal-rectangle/" TargetMode="External"/><Relationship Id="rId103" Type="http://schemas.openxmlformats.org/officeDocument/2006/relationships/hyperlink" Target="https://leetcode.com/problems/rotate-array/" TargetMode="External"/><Relationship Id="rId124" Type="http://schemas.openxmlformats.org/officeDocument/2006/relationships/hyperlink" Target="https://leetcode.com/problems/lowest-common-ancestor-of-a-binary-search-tree/" TargetMode="External"/><Relationship Id="rId70" Type="http://schemas.openxmlformats.org/officeDocument/2006/relationships/hyperlink" Target="https://leetcode.com/problems/balanced-binary-tree/" TargetMode="External"/><Relationship Id="rId91" Type="http://schemas.openxmlformats.org/officeDocument/2006/relationships/hyperlink" Target="https://leetcode.com/problems/sort-list/" TargetMode="External"/><Relationship Id="rId145" Type="http://schemas.openxmlformats.org/officeDocument/2006/relationships/hyperlink" Target="https://leetcode.com/problems/longest-increasing-path-in-a-matrix/" TargetMode="External"/><Relationship Id="rId166" Type="http://schemas.openxmlformats.org/officeDocument/2006/relationships/hyperlink" Target="https://leetcode.com/problems/max-consecutive-ones/" TargetMode="External"/><Relationship Id="rId187" Type="http://schemas.openxmlformats.org/officeDocument/2006/relationships/hyperlink" Target="https://leetcode.com/problems/binary-search/" TargetMode="External"/><Relationship Id="rId1" Type="http://schemas.openxmlformats.org/officeDocument/2006/relationships/hyperlink" Target="https://leetcode.com/problems/two-sum/" TargetMode="External"/><Relationship Id="rId212" Type="http://schemas.openxmlformats.org/officeDocument/2006/relationships/hyperlink" Target="https://leetcode.com/problems/max-consecutive-ones-iii/" TargetMode="External"/><Relationship Id="rId28" Type="http://schemas.openxmlformats.org/officeDocument/2006/relationships/hyperlink" Target="https://leetcode.com/problems/longest-valid-parentheses/" TargetMode="External"/><Relationship Id="rId49" Type="http://schemas.openxmlformats.org/officeDocument/2006/relationships/hyperlink" Target="https://leetcode.com/problems/sqrtx/" TargetMode="External"/><Relationship Id="rId114" Type="http://schemas.openxmlformats.org/officeDocument/2006/relationships/hyperlink" Target="https://leetcode.com/problems/kth-largest-element-in-an-array/" TargetMode="External"/><Relationship Id="rId60" Type="http://schemas.openxmlformats.org/officeDocument/2006/relationships/hyperlink" Target="https://leetcode.com/problems/merge-sorted-array/" TargetMode="External"/><Relationship Id="rId81" Type="http://schemas.openxmlformats.org/officeDocument/2006/relationships/hyperlink" Target="https://leetcode.com/problems/sum-root-to-leaf-numbers/" TargetMode="External"/><Relationship Id="rId135" Type="http://schemas.openxmlformats.org/officeDocument/2006/relationships/hyperlink" Target="https://leetcode.com/problems/first-bad-version/" TargetMode="External"/><Relationship Id="rId156" Type="http://schemas.openxmlformats.org/officeDocument/2006/relationships/hyperlink" Target="https://leetcode.com/problems/split-array-largest-sum/" TargetMode="External"/><Relationship Id="rId177" Type="http://schemas.openxmlformats.org/officeDocument/2006/relationships/hyperlink" Target="https://leetcode.com/problems/diameter-of-binary-tree/" TargetMode="External"/><Relationship Id="rId198" Type="http://schemas.openxmlformats.org/officeDocument/2006/relationships/hyperlink" Target="https://leetcode.com/problems/friends-of-appropriate-ages/" TargetMode="External"/><Relationship Id="rId202" Type="http://schemas.openxmlformats.org/officeDocument/2006/relationships/hyperlink" Target="https://leetcode.com/problems/koko-eating-bananas/" TargetMode="External"/><Relationship Id="rId223" Type="http://schemas.openxmlformats.org/officeDocument/2006/relationships/hyperlink" Target="https://leetcode.com/problems/recyclable-and-low-fat-products/" TargetMode="External"/><Relationship Id="rId18" Type="http://schemas.openxmlformats.org/officeDocument/2006/relationships/hyperlink" Target="https://leetcode.com/problems/4sum/" TargetMode="External"/><Relationship Id="rId39" Type="http://schemas.openxmlformats.org/officeDocument/2006/relationships/hyperlink" Target="https://leetcode.com/problems/n-queens/" TargetMode="External"/><Relationship Id="rId50" Type="http://schemas.openxmlformats.org/officeDocument/2006/relationships/hyperlink" Target="https://leetcode.com/problems/climbing-stairs/" TargetMode="External"/><Relationship Id="rId104" Type="http://schemas.openxmlformats.org/officeDocument/2006/relationships/hyperlink" Target="https://leetcode.com/problems/number-of-1-bits/" TargetMode="External"/><Relationship Id="rId125" Type="http://schemas.openxmlformats.org/officeDocument/2006/relationships/hyperlink" Target="https://leetcode.com/problems/lowest-common-ancestor-of-a-binary-tree/" TargetMode="External"/><Relationship Id="rId146" Type="http://schemas.openxmlformats.org/officeDocument/2006/relationships/hyperlink" Target="https://leetcode.com/problems/increasing-triplet-subsequence/" TargetMode="External"/><Relationship Id="rId167" Type="http://schemas.openxmlformats.org/officeDocument/2006/relationships/hyperlink" Target="https://leetcode.com/problems/robot-room-cleaner/" TargetMode="External"/><Relationship Id="rId188" Type="http://schemas.openxmlformats.org/officeDocument/2006/relationships/hyperlink" Target="https://leetcode.com/problems/design-hashmap/" TargetMode="External"/><Relationship Id="rId71" Type="http://schemas.openxmlformats.org/officeDocument/2006/relationships/hyperlink" Target="https://leetcode.com/problems/populating-next-right-pointers-in-each-node/" TargetMode="External"/><Relationship Id="rId92" Type="http://schemas.openxmlformats.org/officeDocument/2006/relationships/hyperlink" Target="https://leetcode.com/problems/evaluate-reverse-polish-notation/" TargetMode="External"/><Relationship Id="rId213" Type="http://schemas.openxmlformats.org/officeDocument/2006/relationships/hyperlink" Target="https://leetcode.com/problems/capacity-to-ship-packages-within-d-days/" TargetMode="External"/><Relationship Id="rId2" Type="http://schemas.openxmlformats.org/officeDocument/2006/relationships/hyperlink" Target="https://leetcode.com/problems/add-two-numbers/" TargetMode="External"/><Relationship Id="rId29" Type="http://schemas.openxmlformats.org/officeDocument/2006/relationships/hyperlink" Target="https://leetcode.com/problems/search-in-rotated-sorted-array/" TargetMode="External"/><Relationship Id="rId40" Type="http://schemas.openxmlformats.org/officeDocument/2006/relationships/hyperlink" Target="https://leetcode.com/problems/maximum-subarray/" TargetMode="External"/><Relationship Id="rId115" Type="http://schemas.openxmlformats.org/officeDocument/2006/relationships/hyperlink" Target="https://leetcode.com/problems/contains-duplicate/" TargetMode="External"/><Relationship Id="rId136" Type="http://schemas.openxmlformats.org/officeDocument/2006/relationships/hyperlink" Target="https://leetcode.com/problems/expression-add-operators/" TargetMode="External"/><Relationship Id="rId157" Type="http://schemas.openxmlformats.org/officeDocument/2006/relationships/hyperlink" Target="https://leetcode.com/problems/add-strings/" TargetMode="External"/><Relationship Id="rId178" Type="http://schemas.openxmlformats.org/officeDocument/2006/relationships/hyperlink" Target="https://leetcode.com/problems/boundary-of-binary-tree/" TargetMode="External"/><Relationship Id="rId61" Type="http://schemas.openxmlformats.org/officeDocument/2006/relationships/hyperlink" Target="https://leetcode.com/problems/decode-ways/" TargetMode="External"/><Relationship Id="rId82" Type="http://schemas.openxmlformats.org/officeDocument/2006/relationships/hyperlink" Target="https://leetcode.com/problems/palindrome-partitioning/" TargetMode="External"/><Relationship Id="rId199" Type="http://schemas.openxmlformats.org/officeDocument/2006/relationships/hyperlink" Target="https://leetcode.com/problems/making-a-large-island/" TargetMode="External"/><Relationship Id="rId203" Type="http://schemas.openxmlformats.org/officeDocument/2006/relationships/hyperlink" Target="https://leetcode.com/problems/middle-of-the-linked-list/" TargetMode="External"/><Relationship Id="rId19" Type="http://schemas.openxmlformats.org/officeDocument/2006/relationships/hyperlink" Target="https://leetcode.com/problems/remove-nth-node-from-end-of-list/" TargetMode="External"/><Relationship Id="rId224" Type="http://schemas.openxmlformats.org/officeDocument/2006/relationships/hyperlink" Target="https://leetcode.com/problems/buildings-with-an-ocean-view/" TargetMode="External"/><Relationship Id="rId30" Type="http://schemas.openxmlformats.org/officeDocument/2006/relationships/hyperlink" Target="https://leetcode.com/problems/find-first-and-last-position-of-element-in-sorted-array/" TargetMode="External"/><Relationship Id="rId105" Type="http://schemas.openxmlformats.org/officeDocument/2006/relationships/hyperlink" Target="https://leetcode.com/problems/house-robber/" TargetMode="External"/><Relationship Id="rId126" Type="http://schemas.openxmlformats.org/officeDocument/2006/relationships/hyperlink" Target="https://leetcode.com/problems/delete-node-in-a-linked-list/" TargetMode="External"/><Relationship Id="rId147" Type="http://schemas.openxmlformats.org/officeDocument/2006/relationships/hyperlink" Target="https://leetcode.com/problems/nested-list-weight-sum/" TargetMode="External"/><Relationship Id="rId168" Type="http://schemas.openxmlformats.org/officeDocument/2006/relationships/hyperlink" Target="https://leetcode.com/problems/reverse-pairs/" TargetMode="External"/><Relationship Id="rId51" Type="http://schemas.openxmlformats.org/officeDocument/2006/relationships/hyperlink" Target="https://leetcode.com/problems/simplify-path/" TargetMode="External"/><Relationship Id="rId72" Type="http://schemas.openxmlformats.org/officeDocument/2006/relationships/hyperlink" Target="https://leetcode.com/problems/populating-next-right-pointers-in-each-node-ii/" TargetMode="External"/><Relationship Id="rId93" Type="http://schemas.openxmlformats.org/officeDocument/2006/relationships/hyperlink" Target="https://leetcode.com/problems/reverse-words-in-a-string/" TargetMode="External"/><Relationship Id="rId189" Type="http://schemas.openxmlformats.org/officeDocument/2006/relationships/hyperlink" Target="https://leetcode.com/problems/insert-into-a-sorted-circular-linked-list/"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s://leetcode.com/problems/course-schedule-ii/" TargetMode="External"/><Relationship Id="rId21" Type="http://schemas.openxmlformats.org/officeDocument/2006/relationships/hyperlink" Target="https://leetcode.com/problems/merge-k-sorted-lists/" TargetMode="External"/><Relationship Id="rId42" Type="http://schemas.openxmlformats.org/officeDocument/2006/relationships/hyperlink" Target="https://leetcode.com/problems/maximum-subarray/" TargetMode="External"/><Relationship Id="rId63" Type="http://schemas.openxmlformats.org/officeDocument/2006/relationships/hyperlink" Target="https://leetcode.com/problems/merge-sorted-array/" TargetMode="External"/><Relationship Id="rId84" Type="http://schemas.openxmlformats.org/officeDocument/2006/relationships/hyperlink" Target="https://leetcode.com/problems/binary-tree-maximum-path-sum/" TargetMode="External"/><Relationship Id="rId138" Type="http://schemas.openxmlformats.org/officeDocument/2006/relationships/hyperlink" Target="https://leetcode.com/problems/move-zeroes/" TargetMode="External"/><Relationship Id="rId159" Type="http://schemas.openxmlformats.org/officeDocument/2006/relationships/hyperlink" Target="https://leetcode.com/problems/first-unique-character-in-a-string/" TargetMode="External"/><Relationship Id="rId170" Type="http://schemas.openxmlformats.org/officeDocument/2006/relationships/hyperlink" Target="https://leetcode.com/problems/sort-characters-by-frequency/" TargetMode="External"/><Relationship Id="rId191" Type="http://schemas.openxmlformats.org/officeDocument/2006/relationships/hyperlink" Target="https://leetcode.com/problems/maximum-width-of-binary-tree/" TargetMode="External"/><Relationship Id="rId205" Type="http://schemas.openxmlformats.org/officeDocument/2006/relationships/hyperlink" Target="https://leetcode.com/problems/find-eventual-safe-states/" TargetMode="External"/><Relationship Id="rId107" Type="http://schemas.openxmlformats.org/officeDocument/2006/relationships/hyperlink" Target="https://leetcode.com/problems/rotate-array/" TargetMode="External"/><Relationship Id="rId11" Type="http://schemas.openxmlformats.org/officeDocument/2006/relationships/hyperlink" Target="https://leetcode.com/problems/integer-to-roman/" TargetMode="External"/><Relationship Id="rId32" Type="http://schemas.openxmlformats.org/officeDocument/2006/relationships/hyperlink" Target="https://leetcode.com/problems/first-missing-positive/" TargetMode="External"/><Relationship Id="rId53" Type="http://schemas.openxmlformats.org/officeDocument/2006/relationships/hyperlink" Target="https://leetcode.com/problems/climbing-stairs/" TargetMode="External"/><Relationship Id="rId74" Type="http://schemas.openxmlformats.org/officeDocument/2006/relationships/hyperlink" Target="https://leetcode.com/problems/maximum-depth-of-binary-tree/" TargetMode="External"/><Relationship Id="rId128" Type="http://schemas.openxmlformats.org/officeDocument/2006/relationships/hyperlink" Target="https://leetcode.com/problems/lowest-common-ancestor-of-a-binary-search-tree/" TargetMode="External"/><Relationship Id="rId149" Type="http://schemas.openxmlformats.org/officeDocument/2006/relationships/hyperlink" Target="https://leetcode.com/problems/odd-even-linked-list/" TargetMode="External"/><Relationship Id="rId5" Type="http://schemas.openxmlformats.org/officeDocument/2006/relationships/hyperlink" Target="https://leetcode.com/problems/longest-palindromic-substring/" TargetMode="External"/><Relationship Id="rId95" Type="http://schemas.openxmlformats.org/officeDocument/2006/relationships/hyperlink" Target="https://leetcode.com/problems/reorder-list/" TargetMode="External"/><Relationship Id="rId160" Type="http://schemas.openxmlformats.org/officeDocument/2006/relationships/hyperlink" Target="https://leetcode.com/problems/decode-string/" TargetMode="External"/><Relationship Id="rId181" Type="http://schemas.openxmlformats.org/officeDocument/2006/relationships/hyperlink" Target="https://leetcode.com/problems/contiguous-array/" TargetMode="External"/><Relationship Id="rId216" Type="http://schemas.openxmlformats.org/officeDocument/2006/relationships/hyperlink" Target="https://leetcode.com/problems/car-pooling/" TargetMode="External"/><Relationship Id="rId22" Type="http://schemas.openxmlformats.org/officeDocument/2006/relationships/hyperlink" Target="https://leetcode.com/problems/reverse-nodes-in-k-group/" TargetMode="External"/><Relationship Id="rId43" Type="http://schemas.openxmlformats.org/officeDocument/2006/relationships/hyperlink" Target="https://leetcode.com/problems/spiral-matrix/" TargetMode="External"/><Relationship Id="rId64" Type="http://schemas.openxmlformats.org/officeDocument/2006/relationships/hyperlink" Target="https://leetcode.com/problems/decode-ways/" TargetMode="External"/><Relationship Id="rId118" Type="http://schemas.openxmlformats.org/officeDocument/2006/relationships/hyperlink" Target="https://leetcode.com/problems/add-and-search-word-data-structure-design/" TargetMode="External"/><Relationship Id="rId139" Type="http://schemas.openxmlformats.org/officeDocument/2006/relationships/hyperlink" Target="https://leetcode.com/problems/walls-and-gates/" TargetMode="External"/><Relationship Id="rId85" Type="http://schemas.openxmlformats.org/officeDocument/2006/relationships/hyperlink" Target="https://leetcode.com/problems/valid-palindrome/" TargetMode="External"/><Relationship Id="rId150" Type="http://schemas.openxmlformats.org/officeDocument/2006/relationships/hyperlink" Target="https://leetcode.com/problems/longest-increasing-path-in-a-matrix/" TargetMode="External"/><Relationship Id="rId171" Type="http://schemas.openxmlformats.org/officeDocument/2006/relationships/hyperlink" Target="https://leetcode.com/problems/lfu-cache/" TargetMode="External"/><Relationship Id="rId192" Type="http://schemas.openxmlformats.org/officeDocument/2006/relationships/hyperlink" Target="https://leetcode.com/problems/valid-parenthesis-string/" TargetMode="External"/><Relationship Id="rId206" Type="http://schemas.openxmlformats.org/officeDocument/2006/relationships/hyperlink" Target="https://leetcode.com/problems/making-a-large-island/" TargetMode="External"/><Relationship Id="rId12" Type="http://schemas.openxmlformats.org/officeDocument/2006/relationships/hyperlink" Target="https://leetcode.com/problems/roman-to-integer/" TargetMode="External"/><Relationship Id="rId33" Type="http://schemas.openxmlformats.org/officeDocument/2006/relationships/hyperlink" Target="https://leetcode.com/problems/trapping-rain-water/" TargetMode="External"/><Relationship Id="rId108" Type="http://schemas.openxmlformats.org/officeDocument/2006/relationships/hyperlink" Target="https://leetcode.com/problems/house-robber/" TargetMode="External"/><Relationship Id="rId129" Type="http://schemas.openxmlformats.org/officeDocument/2006/relationships/hyperlink" Target="https://leetcode.com/problems/lowest-common-ancestor-of-a-binary-tree/" TargetMode="External"/><Relationship Id="rId54" Type="http://schemas.openxmlformats.org/officeDocument/2006/relationships/hyperlink" Target="https://leetcode.com/problems/simplify-path/" TargetMode="External"/><Relationship Id="rId75" Type="http://schemas.openxmlformats.org/officeDocument/2006/relationships/hyperlink" Target="https://leetcode.com/problems/construct-binary-tree-from-preorder-and-inorder-traversal/" TargetMode="External"/><Relationship Id="rId96" Type="http://schemas.openxmlformats.org/officeDocument/2006/relationships/hyperlink" Target="https://leetcode.com/problems/lru-cache/" TargetMode="External"/><Relationship Id="rId140" Type="http://schemas.openxmlformats.org/officeDocument/2006/relationships/hyperlink" Target="https://leetcode.com/problems/find-the-duplicate-number/" TargetMode="External"/><Relationship Id="rId161" Type="http://schemas.openxmlformats.org/officeDocument/2006/relationships/hyperlink" Target="https://leetcode.com/problems/evaluate-division/" TargetMode="External"/><Relationship Id="rId182" Type="http://schemas.openxmlformats.org/officeDocument/2006/relationships/hyperlink" Target="https://leetcode.com/problems/single-element-in-a-sorted-array/" TargetMode="External"/><Relationship Id="rId217" Type="http://schemas.openxmlformats.org/officeDocument/2006/relationships/hyperlink" Target="https://leetcode.com/problems/longest-common-subsequence/" TargetMode="External"/><Relationship Id="rId6" Type="http://schemas.openxmlformats.org/officeDocument/2006/relationships/hyperlink" Target="https://leetcode.com/problems/reverse-integer/" TargetMode="External"/><Relationship Id="rId23" Type="http://schemas.openxmlformats.org/officeDocument/2006/relationships/hyperlink" Target="https://leetcode.com/problems/remove-duplicates-from-sorted-array/" TargetMode="External"/><Relationship Id="rId119" Type="http://schemas.openxmlformats.org/officeDocument/2006/relationships/hyperlink" Target="https://leetcode.com/problems/word-search-ii/" TargetMode="External"/><Relationship Id="rId44" Type="http://schemas.openxmlformats.org/officeDocument/2006/relationships/hyperlink" Target="https://leetcode.com/problems/jump-game/" TargetMode="External"/><Relationship Id="rId65" Type="http://schemas.openxmlformats.org/officeDocument/2006/relationships/hyperlink" Target="https://leetcode.com/problems/reverse-linked-list-ii/" TargetMode="External"/><Relationship Id="rId86" Type="http://schemas.openxmlformats.org/officeDocument/2006/relationships/hyperlink" Target="https://leetcode.com/problems/word-ladder/" TargetMode="External"/><Relationship Id="rId130" Type="http://schemas.openxmlformats.org/officeDocument/2006/relationships/hyperlink" Target="https://leetcode.com/problems/product-of-array-except-self/" TargetMode="External"/><Relationship Id="rId151" Type="http://schemas.openxmlformats.org/officeDocument/2006/relationships/hyperlink" Target="https://leetcode.com/problems/increasing-triplet-subsequence/" TargetMode="External"/><Relationship Id="rId172" Type="http://schemas.openxmlformats.org/officeDocument/2006/relationships/hyperlink" Target="https://leetcode.com/problems/sliding-window-median/" TargetMode="External"/><Relationship Id="rId193" Type="http://schemas.openxmlformats.org/officeDocument/2006/relationships/hyperlink" Target="https://leetcode.com/problems/valid-palindrome-ii/" TargetMode="External"/><Relationship Id="rId207" Type="http://schemas.openxmlformats.org/officeDocument/2006/relationships/hyperlink" Target="https://leetcode.com/problems/all-nodes-distance-k-in-binary-tree/" TargetMode="External"/><Relationship Id="rId13" Type="http://schemas.openxmlformats.org/officeDocument/2006/relationships/hyperlink" Target="https://leetcode.com/problems/longest-common-prefix/" TargetMode="External"/><Relationship Id="rId109" Type="http://schemas.openxmlformats.org/officeDocument/2006/relationships/hyperlink" Target="https://leetcode.com/problems/binary-tree-right-side-view/" TargetMode="External"/><Relationship Id="rId34" Type="http://schemas.openxmlformats.org/officeDocument/2006/relationships/hyperlink" Target="https://leetcode.com/problems/wildcard-matching/" TargetMode="External"/><Relationship Id="rId55" Type="http://schemas.openxmlformats.org/officeDocument/2006/relationships/hyperlink" Target="https://leetcode.com/problems/edit-distance/" TargetMode="External"/><Relationship Id="rId76" Type="http://schemas.openxmlformats.org/officeDocument/2006/relationships/hyperlink" Target="https://leetcode.com/problems/balanced-binary-tree/" TargetMode="External"/><Relationship Id="rId97" Type="http://schemas.openxmlformats.org/officeDocument/2006/relationships/hyperlink" Target="https://leetcode.com/problems/sort-list/" TargetMode="External"/><Relationship Id="rId120" Type="http://schemas.openxmlformats.org/officeDocument/2006/relationships/hyperlink" Target="https://leetcode.com/problems/kth-largest-element-in-an-array/" TargetMode="External"/><Relationship Id="rId141" Type="http://schemas.openxmlformats.org/officeDocument/2006/relationships/hyperlink" Target="https://leetcode.com/problems/find-median-from-data-stream/" TargetMode="External"/><Relationship Id="rId7" Type="http://schemas.openxmlformats.org/officeDocument/2006/relationships/hyperlink" Target="https://leetcode.com/problems/string-to-integer-atoi/" TargetMode="External"/><Relationship Id="rId162" Type="http://schemas.openxmlformats.org/officeDocument/2006/relationships/hyperlink" Target="https://leetcode.com/problems/longest-palindrome/" TargetMode="External"/><Relationship Id="rId183" Type="http://schemas.openxmlformats.org/officeDocument/2006/relationships/hyperlink" Target="https://leetcode.com/problems/number-of-provinces/" TargetMode="External"/><Relationship Id="rId218" Type="http://schemas.openxmlformats.org/officeDocument/2006/relationships/hyperlink" Target="https://leetcode.com/problems/maximum-profit-in-job-scheduling/" TargetMode="External"/><Relationship Id="rId24" Type="http://schemas.openxmlformats.org/officeDocument/2006/relationships/hyperlink" Target="https://leetcode.com/problems/remove-element/" TargetMode="External"/><Relationship Id="rId45" Type="http://schemas.openxmlformats.org/officeDocument/2006/relationships/hyperlink" Target="https://leetcode.com/problems/merge-intervals/" TargetMode="External"/><Relationship Id="rId66" Type="http://schemas.openxmlformats.org/officeDocument/2006/relationships/hyperlink" Target="https://leetcode.com/problems/restore-ip-addresses/" TargetMode="External"/><Relationship Id="rId87" Type="http://schemas.openxmlformats.org/officeDocument/2006/relationships/hyperlink" Target="https://leetcode.com/problems/longest-consecutive-sequence/" TargetMode="External"/><Relationship Id="rId110" Type="http://schemas.openxmlformats.org/officeDocument/2006/relationships/hyperlink" Target="https://leetcode.com/problems/number-of-islands/" TargetMode="External"/><Relationship Id="rId131" Type="http://schemas.openxmlformats.org/officeDocument/2006/relationships/hyperlink" Target="https://leetcode.com/problems/sliding-window-maximum/" TargetMode="External"/><Relationship Id="rId152" Type="http://schemas.openxmlformats.org/officeDocument/2006/relationships/hyperlink" Target="https://leetcode.com/problems/reverse-string/" TargetMode="External"/><Relationship Id="rId173" Type="http://schemas.openxmlformats.org/officeDocument/2006/relationships/hyperlink" Target="https://leetcode.com/problems/max-consecutive-ones/" TargetMode="External"/><Relationship Id="rId194" Type="http://schemas.openxmlformats.org/officeDocument/2006/relationships/hyperlink" Target="https://leetcode.com/problems/binary-search/" TargetMode="External"/><Relationship Id="rId208" Type="http://schemas.openxmlformats.org/officeDocument/2006/relationships/hyperlink" Target="https://leetcode.com/problems/koko-eating-bananas/" TargetMode="External"/><Relationship Id="rId14" Type="http://schemas.openxmlformats.org/officeDocument/2006/relationships/hyperlink" Target="https://leetcode.com/problems/3sum/" TargetMode="External"/><Relationship Id="rId30" Type="http://schemas.openxmlformats.org/officeDocument/2006/relationships/hyperlink" Target="https://leetcode.com/problems/search-insert-position/" TargetMode="External"/><Relationship Id="rId35" Type="http://schemas.openxmlformats.org/officeDocument/2006/relationships/hyperlink" Target="https://leetcode.com/problems/jump-game-ii/" TargetMode="External"/><Relationship Id="rId56" Type="http://schemas.openxmlformats.org/officeDocument/2006/relationships/hyperlink" Target="https://leetcode.com/problems/set-matrix-zeroes/" TargetMode="External"/><Relationship Id="rId77" Type="http://schemas.openxmlformats.org/officeDocument/2006/relationships/hyperlink" Target="https://leetcode.com/problems/path-sum/" TargetMode="External"/><Relationship Id="rId100" Type="http://schemas.openxmlformats.org/officeDocument/2006/relationships/hyperlink" Target="https://leetcode.com/problems/maximum-product-subarray/" TargetMode="External"/><Relationship Id="rId105" Type="http://schemas.openxmlformats.org/officeDocument/2006/relationships/hyperlink" Target="https://leetcode.com/problems/binary-search-tree-iterator/" TargetMode="External"/><Relationship Id="rId126" Type="http://schemas.openxmlformats.org/officeDocument/2006/relationships/hyperlink" Target="https://leetcode.com/problems/implement-queue-using-stacks/" TargetMode="External"/><Relationship Id="rId147" Type="http://schemas.openxmlformats.org/officeDocument/2006/relationships/hyperlink" Target="https://leetcode.com/problems/shortest-distance-from-all-buildings/" TargetMode="External"/><Relationship Id="rId168" Type="http://schemas.openxmlformats.org/officeDocument/2006/relationships/hyperlink" Target="https://leetcode.com/problems/find-all-anagrams-in-a-string/" TargetMode="External"/><Relationship Id="rId8" Type="http://schemas.openxmlformats.org/officeDocument/2006/relationships/hyperlink" Target="https://leetcode.com/problems/palindrome-number/" TargetMode="External"/><Relationship Id="rId51" Type="http://schemas.openxmlformats.org/officeDocument/2006/relationships/hyperlink" Target="https://leetcode.com/problems/add-binary/" TargetMode="External"/><Relationship Id="rId72" Type="http://schemas.openxmlformats.org/officeDocument/2006/relationships/hyperlink" Target="https://leetcode.com/problems/binary-tree-level-order-traversal/" TargetMode="External"/><Relationship Id="rId93" Type="http://schemas.openxmlformats.org/officeDocument/2006/relationships/hyperlink" Target="https://leetcode.com/problems/word-break/" TargetMode="External"/><Relationship Id="rId98" Type="http://schemas.openxmlformats.org/officeDocument/2006/relationships/hyperlink" Target="https://leetcode.com/problems/evaluate-reverse-polish-notation/" TargetMode="External"/><Relationship Id="rId121" Type="http://schemas.openxmlformats.org/officeDocument/2006/relationships/hyperlink" Target="https://leetcode.com/problems/maximal-square/" TargetMode="External"/><Relationship Id="rId142" Type="http://schemas.openxmlformats.org/officeDocument/2006/relationships/hyperlink" Target="https://leetcode.com/problems/serialize-and-deserialize-binary-tree/" TargetMode="External"/><Relationship Id="rId163" Type="http://schemas.openxmlformats.org/officeDocument/2006/relationships/hyperlink" Target="https://leetcode.com/problems/split-array-largest-sum/" TargetMode="External"/><Relationship Id="rId184" Type="http://schemas.openxmlformats.org/officeDocument/2006/relationships/hyperlink" Target="https://leetcode.com/problems/subarray-sum-equals-k/" TargetMode="External"/><Relationship Id="rId189" Type="http://schemas.openxmlformats.org/officeDocument/2006/relationships/hyperlink" Target="https://leetcode.com/problems/palindromic-substrings/" TargetMode="External"/><Relationship Id="rId3" Type="http://schemas.openxmlformats.org/officeDocument/2006/relationships/hyperlink" Target="https://leetcode.com/problems/longest-substring-without-repeating-characters/" TargetMode="External"/><Relationship Id="rId214" Type="http://schemas.openxmlformats.org/officeDocument/2006/relationships/hyperlink" Target="https://leetcode.com/problems/rotting-oranges/" TargetMode="External"/><Relationship Id="rId25" Type="http://schemas.openxmlformats.org/officeDocument/2006/relationships/hyperlink" Target="https://leetcode.com/problems/find-the-index-of-the-first-occurrence-in-a-string/" TargetMode="External"/><Relationship Id="rId46" Type="http://schemas.openxmlformats.org/officeDocument/2006/relationships/hyperlink" Target="https://leetcode.com/problems/insert-interval/" TargetMode="External"/><Relationship Id="rId67" Type="http://schemas.openxmlformats.org/officeDocument/2006/relationships/hyperlink" Target="https://leetcode.com/problems/interleaving-string/" TargetMode="External"/><Relationship Id="rId116" Type="http://schemas.openxmlformats.org/officeDocument/2006/relationships/hyperlink" Target="https://leetcode.com/problems/minimum-size-subarray-sum/" TargetMode="External"/><Relationship Id="rId137" Type="http://schemas.openxmlformats.org/officeDocument/2006/relationships/hyperlink" Target="https://leetcode.com/problems/perfect-squares/" TargetMode="External"/><Relationship Id="rId158" Type="http://schemas.openxmlformats.org/officeDocument/2006/relationships/hyperlink" Target="https://leetcode.com/problems/insert-delete-getrandom-o1/" TargetMode="External"/><Relationship Id="rId20" Type="http://schemas.openxmlformats.org/officeDocument/2006/relationships/hyperlink" Target="https://leetcode.com/problems/generate-parentheses/" TargetMode="External"/><Relationship Id="rId41" Type="http://schemas.openxmlformats.org/officeDocument/2006/relationships/hyperlink" Target="https://leetcode.com/problems/n-queens/" TargetMode="External"/><Relationship Id="rId62" Type="http://schemas.openxmlformats.org/officeDocument/2006/relationships/hyperlink" Target="https://leetcode.com/problems/maximal-rectangle/" TargetMode="External"/><Relationship Id="rId83" Type="http://schemas.openxmlformats.org/officeDocument/2006/relationships/hyperlink" Target="https://leetcode.com/problems/best-time-to-buy-and-sell-stock-ii/" TargetMode="External"/><Relationship Id="rId88" Type="http://schemas.openxmlformats.org/officeDocument/2006/relationships/hyperlink" Target="https://leetcode.com/problems/palindrome-partitioning/" TargetMode="External"/><Relationship Id="rId111" Type="http://schemas.openxmlformats.org/officeDocument/2006/relationships/hyperlink" Target="https://leetcode.com/problems/happy-number/" TargetMode="External"/><Relationship Id="rId132" Type="http://schemas.openxmlformats.org/officeDocument/2006/relationships/hyperlink" Target="https://leetcode.com/problems/search-a-2d-matrix-ii/" TargetMode="External"/><Relationship Id="rId153" Type="http://schemas.openxmlformats.org/officeDocument/2006/relationships/hyperlink" Target="https://leetcode.com/problems/top-k-frequent-elements/" TargetMode="External"/><Relationship Id="rId174" Type="http://schemas.openxmlformats.org/officeDocument/2006/relationships/hyperlink" Target="https://leetcode.com/problems/target-sum/" TargetMode="External"/><Relationship Id="rId179" Type="http://schemas.openxmlformats.org/officeDocument/2006/relationships/hyperlink" Target="https://leetcode.com/problems/longest-palindromic-subsequence/" TargetMode="External"/><Relationship Id="rId195" Type="http://schemas.openxmlformats.org/officeDocument/2006/relationships/hyperlink" Target="https://leetcode.com/problems/design-hashmap/" TargetMode="External"/><Relationship Id="rId209" Type="http://schemas.openxmlformats.org/officeDocument/2006/relationships/hyperlink" Target="https://leetcode.com/problems/middle-of-the-linked-list/" TargetMode="External"/><Relationship Id="rId190" Type="http://schemas.openxmlformats.org/officeDocument/2006/relationships/hyperlink" Target="https://leetcode.com/problems/find-k-closest-elements/" TargetMode="External"/><Relationship Id="rId204" Type="http://schemas.openxmlformats.org/officeDocument/2006/relationships/hyperlink" Target="https://leetcode.com/problems/cheapest-flights-within-k-stops/" TargetMode="External"/><Relationship Id="rId15" Type="http://schemas.openxmlformats.org/officeDocument/2006/relationships/hyperlink" Target="https://leetcode.com/problems/letter-combinations-of-a-phone-number/" TargetMode="External"/><Relationship Id="rId36" Type="http://schemas.openxmlformats.org/officeDocument/2006/relationships/hyperlink" Target="https://leetcode.com/problems/permutations/" TargetMode="External"/><Relationship Id="rId57" Type="http://schemas.openxmlformats.org/officeDocument/2006/relationships/hyperlink" Target="https://leetcode.com/problems/search-a-2d-matrix/" TargetMode="External"/><Relationship Id="rId106" Type="http://schemas.openxmlformats.org/officeDocument/2006/relationships/hyperlink" Target="https://leetcode.com/problems/largest-number/" TargetMode="External"/><Relationship Id="rId127" Type="http://schemas.openxmlformats.org/officeDocument/2006/relationships/hyperlink" Target="https://leetcode.com/problems/palindrome-linked-list/" TargetMode="External"/><Relationship Id="rId10" Type="http://schemas.openxmlformats.org/officeDocument/2006/relationships/hyperlink" Target="https://leetcode.com/problems/container-with-most-water/" TargetMode="External"/><Relationship Id="rId31" Type="http://schemas.openxmlformats.org/officeDocument/2006/relationships/hyperlink" Target="https://leetcode.com/problems/combination-sum-ii/" TargetMode="External"/><Relationship Id="rId52" Type="http://schemas.openxmlformats.org/officeDocument/2006/relationships/hyperlink" Target="https://leetcode.com/problems/sqrtx/" TargetMode="External"/><Relationship Id="rId73" Type="http://schemas.openxmlformats.org/officeDocument/2006/relationships/hyperlink" Target="https://leetcode.com/problems/binary-tree-zigzag-level-order-traversal/" TargetMode="External"/><Relationship Id="rId78" Type="http://schemas.openxmlformats.org/officeDocument/2006/relationships/hyperlink" Target="https://leetcode.com/problems/flatten-binary-tree-to-linked-list/" TargetMode="External"/><Relationship Id="rId94" Type="http://schemas.openxmlformats.org/officeDocument/2006/relationships/hyperlink" Target="https://leetcode.com/problems/linked-list-cycle/" TargetMode="External"/><Relationship Id="rId99" Type="http://schemas.openxmlformats.org/officeDocument/2006/relationships/hyperlink" Target="https://leetcode.com/problems/reverse-words-in-a-string/" TargetMode="External"/><Relationship Id="rId101" Type="http://schemas.openxmlformats.org/officeDocument/2006/relationships/hyperlink" Target="https://leetcode.com/problems/find-minimum-in-rotated-sorted-array/" TargetMode="External"/><Relationship Id="rId122" Type="http://schemas.openxmlformats.org/officeDocument/2006/relationships/hyperlink" Target="https://leetcode.com/problems/basic-calculator/" TargetMode="External"/><Relationship Id="rId143" Type="http://schemas.openxmlformats.org/officeDocument/2006/relationships/hyperlink" Target="https://leetcode.com/problems/longest-increasing-subsequence/" TargetMode="External"/><Relationship Id="rId148" Type="http://schemas.openxmlformats.org/officeDocument/2006/relationships/hyperlink" Target="https://leetcode.com/problems/coin-change/" TargetMode="External"/><Relationship Id="rId164" Type="http://schemas.openxmlformats.org/officeDocument/2006/relationships/hyperlink" Target="https://leetcode.com/problems/fizz-buzz/" TargetMode="External"/><Relationship Id="rId169" Type="http://schemas.openxmlformats.org/officeDocument/2006/relationships/hyperlink" Target="https://leetcode.com/problems/add-two-numbers-ii/" TargetMode="External"/><Relationship Id="rId185" Type="http://schemas.openxmlformats.org/officeDocument/2006/relationships/hyperlink" Target="https://leetcode.com/problems/permutation-in-string/" TargetMode="External"/><Relationship Id="rId4" Type="http://schemas.openxmlformats.org/officeDocument/2006/relationships/hyperlink" Target="https://leetcode.com/problems/median-of-two-sorted-arrays/" TargetMode="External"/><Relationship Id="rId9" Type="http://schemas.openxmlformats.org/officeDocument/2006/relationships/hyperlink" Target="https://leetcode.com/problems/regular-expression-matching/" TargetMode="External"/><Relationship Id="rId180" Type="http://schemas.openxmlformats.org/officeDocument/2006/relationships/hyperlink" Target="https://leetcode.com/problems/continuous-subarray-sum/" TargetMode="External"/><Relationship Id="rId210" Type="http://schemas.openxmlformats.org/officeDocument/2006/relationships/hyperlink" Target="https://leetcode.com/problems/online-stock-span/" TargetMode="External"/><Relationship Id="rId215" Type="http://schemas.openxmlformats.org/officeDocument/2006/relationships/hyperlink" Target="https://leetcode.com/problems/capacity-to-ship-packages-within-d-days/" TargetMode="External"/><Relationship Id="rId26" Type="http://schemas.openxmlformats.org/officeDocument/2006/relationships/hyperlink" Target="https://leetcode.com/problems/next-permutation/" TargetMode="External"/><Relationship Id="rId47" Type="http://schemas.openxmlformats.org/officeDocument/2006/relationships/hyperlink" Target="https://leetcode.com/problems/length-of-last-word/" TargetMode="External"/><Relationship Id="rId68" Type="http://schemas.openxmlformats.org/officeDocument/2006/relationships/hyperlink" Target="https://leetcode.com/problems/validate-binary-search-tree/" TargetMode="External"/><Relationship Id="rId89" Type="http://schemas.openxmlformats.org/officeDocument/2006/relationships/hyperlink" Target="https://leetcode.com/problems/clone-graph/" TargetMode="External"/><Relationship Id="rId112" Type="http://schemas.openxmlformats.org/officeDocument/2006/relationships/hyperlink" Target="https://leetcode.com/problems/isomorphic-strings/" TargetMode="External"/><Relationship Id="rId133" Type="http://schemas.openxmlformats.org/officeDocument/2006/relationships/hyperlink" Target="https://leetcode.com/problems/valid-anagram/" TargetMode="External"/><Relationship Id="rId154" Type="http://schemas.openxmlformats.org/officeDocument/2006/relationships/hyperlink" Target="https://leetcode.com/problems/intersection-of-two-arrays/" TargetMode="External"/><Relationship Id="rId175" Type="http://schemas.openxmlformats.org/officeDocument/2006/relationships/hyperlink" Target="https://leetcode.com/problems/next-greater-element-i/" TargetMode="External"/><Relationship Id="rId196" Type="http://schemas.openxmlformats.org/officeDocument/2006/relationships/hyperlink" Target="https://leetcode.com/problems/design-linked-list/" TargetMode="External"/><Relationship Id="rId200" Type="http://schemas.openxmlformats.org/officeDocument/2006/relationships/hyperlink" Target="https://leetcode.com/problems/open-the-lock/" TargetMode="External"/><Relationship Id="rId16" Type="http://schemas.openxmlformats.org/officeDocument/2006/relationships/hyperlink" Target="https://leetcode.com/problems/4sum/" TargetMode="External"/><Relationship Id="rId37" Type="http://schemas.openxmlformats.org/officeDocument/2006/relationships/hyperlink" Target="https://leetcode.com/problems/permutations-ii/" TargetMode="External"/><Relationship Id="rId58" Type="http://schemas.openxmlformats.org/officeDocument/2006/relationships/hyperlink" Target="https://leetcode.com/problems/sort-colors/" TargetMode="External"/><Relationship Id="rId79" Type="http://schemas.openxmlformats.org/officeDocument/2006/relationships/hyperlink" Target="https://leetcode.com/problems/distinct-subsequences/" TargetMode="External"/><Relationship Id="rId102" Type="http://schemas.openxmlformats.org/officeDocument/2006/relationships/hyperlink" Target="https://leetcode.com/problems/min-stack/" TargetMode="External"/><Relationship Id="rId123" Type="http://schemas.openxmlformats.org/officeDocument/2006/relationships/hyperlink" Target="https://leetcode.com/problems/implement-stack-using-queues/" TargetMode="External"/><Relationship Id="rId144" Type="http://schemas.openxmlformats.org/officeDocument/2006/relationships/hyperlink" Target="https://leetcode.com/problems/minimum-height-trees/" TargetMode="External"/><Relationship Id="rId90" Type="http://schemas.openxmlformats.org/officeDocument/2006/relationships/hyperlink" Target="https://leetcode.com/problems/candy/" TargetMode="External"/><Relationship Id="rId165" Type="http://schemas.openxmlformats.org/officeDocument/2006/relationships/hyperlink" Target="https://leetcode.com/problems/pacific-atlantic-water-flow/" TargetMode="External"/><Relationship Id="rId186" Type="http://schemas.openxmlformats.org/officeDocument/2006/relationships/hyperlink" Target="https://leetcode.com/problems/design-in-memory-file-system/" TargetMode="External"/><Relationship Id="rId211" Type="http://schemas.openxmlformats.org/officeDocument/2006/relationships/hyperlink" Target="https://leetcode.com/problems/most-stones-removed-with-same-row-or-column/" TargetMode="External"/><Relationship Id="rId27" Type="http://schemas.openxmlformats.org/officeDocument/2006/relationships/hyperlink" Target="https://leetcode.com/problems/longest-valid-parentheses/" TargetMode="External"/><Relationship Id="rId48" Type="http://schemas.openxmlformats.org/officeDocument/2006/relationships/hyperlink" Target="https://leetcode.com/problems/unique-paths/" TargetMode="External"/><Relationship Id="rId69" Type="http://schemas.openxmlformats.org/officeDocument/2006/relationships/hyperlink" Target="https://leetcode.com/problems/recover-binary-search-tree/" TargetMode="External"/><Relationship Id="rId113" Type="http://schemas.openxmlformats.org/officeDocument/2006/relationships/hyperlink" Target="https://leetcode.com/problems/reverse-linked-list/" TargetMode="External"/><Relationship Id="rId134" Type="http://schemas.openxmlformats.org/officeDocument/2006/relationships/hyperlink" Target="https://leetcode.com/problems/meeting-rooms-ii/" TargetMode="External"/><Relationship Id="rId80" Type="http://schemas.openxmlformats.org/officeDocument/2006/relationships/hyperlink" Target="https://leetcode.com/problems/populating-next-right-pointers-in-each-node/" TargetMode="External"/><Relationship Id="rId155" Type="http://schemas.openxmlformats.org/officeDocument/2006/relationships/hyperlink" Target="https://leetcode.com/problems/design-twitter/" TargetMode="External"/><Relationship Id="rId176" Type="http://schemas.openxmlformats.org/officeDocument/2006/relationships/hyperlink" Target="https://leetcode.com/problems/diagonal-traverse/" TargetMode="External"/><Relationship Id="rId197" Type="http://schemas.openxmlformats.org/officeDocument/2006/relationships/hyperlink" Target="https://leetcode.com/problems/flood-fill/" TargetMode="External"/><Relationship Id="rId201" Type="http://schemas.openxmlformats.org/officeDocument/2006/relationships/hyperlink" Target="https://leetcode.com/problems/employee-free-time/" TargetMode="External"/><Relationship Id="rId17" Type="http://schemas.openxmlformats.org/officeDocument/2006/relationships/hyperlink" Target="https://leetcode.com/problems/remove-nth-node-from-end-of-list/" TargetMode="External"/><Relationship Id="rId38" Type="http://schemas.openxmlformats.org/officeDocument/2006/relationships/hyperlink" Target="https://leetcode.com/problems/rotate-image/" TargetMode="External"/><Relationship Id="rId59" Type="http://schemas.openxmlformats.org/officeDocument/2006/relationships/hyperlink" Target="https://leetcode.com/problems/subsets/" TargetMode="External"/><Relationship Id="rId103" Type="http://schemas.openxmlformats.org/officeDocument/2006/relationships/hyperlink" Target="https://leetcode.com/problems/find-peak-element/" TargetMode="External"/><Relationship Id="rId124" Type="http://schemas.openxmlformats.org/officeDocument/2006/relationships/hyperlink" Target="https://leetcode.com/problems/invert-binary-tree/" TargetMode="External"/><Relationship Id="rId70" Type="http://schemas.openxmlformats.org/officeDocument/2006/relationships/hyperlink" Target="https://leetcode.com/problems/same-tree/" TargetMode="External"/><Relationship Id="rId91" Type="http://schemas.openxmlformats.org/officeDocument/2006/relationships/hyperlink" Target="https://leetcode.com/problems/single-number-ii/" TargetMode="External"/><Relationship Id="rId145" Type="http://schemas.openxmlformats.org/officeDocument/2006/relationships/hyperlink" Target="https://leetcode.com/problems/burst-balloons/" TargetMode="External"/><Relationship Id="rId166" Type="http://schemas.openxmlformats.org/officeDocument/2006/relationships/hyperlink" Target="https://leetcode.com/problems/longest-repeating-character-replacement/" TargetMode="External"/><Relationship Id="rId187" Type="http://schemas.openxmlformats.org/officeDocument/2006/relationships/hyperlink" Target="https://leetcode.com/problems/task-scheduler/" TargetMode="External"/><Relationship Id="rId1" Type="http://schemas.openxmlformats.org/officeDocument/2006/relationships/hyperlink" Target="https://leetcode.com/problems/two-sum/" TargetMode="External"/><Relationship Id="rId212" Type="http://schemas.openxmlformats.org/officeDocument/2006/relationships/hyperlink" Target="https://leetcode.com/problems/time-based-key-value-store/" TargetMode="External"/><Relationship Id="rId28" Type="http://schemas.openxmlformats.org/officeDocument/2006/relationships/hyperlink" Target="https://leetcode.com/problems/search-in-rotated-sorted-array/" TargetMode="External"/><Relationship Id="rId49" Type="http://schemas.openxmlformats.org/officeDocument/2006/relationships/hyperlink" Target="https://leetcode.com/problems/minimum-path-sum/" TargetMode="External"/><Relationship Id="rId114" Type="http://schemas.openxmlformats.org/officeDocument/2006/relationships/hyperlink" Target="https://leetcode.com/problems/course-schedule/" TargetMode="External"/><Relationship Id="rId60" Type="http://schemas.openxmlformats.org/officeDocument/2006/relationships/hyperlink" Target="https://leetcode.com/problems/word-search/" TargetMode="External"/><Relationship Id="rId81" Type="http://schemas.openxmlformats.org/officeDocument/2006/relationships/hyperlink" Target="https://leetcode.com/problems/pascals-triangle/" TargetMode="External"/><Relationship Id="rId135" Type="http://schemas.openxmlformats.org/officeDocument/2006/relationships/hyperlink" Target="https://leetcode.com/problems/integer-to-english-words/" TargetMode="External"/><Relationship Id="rId156" Type="http://schemas.openxmlformats.org/officeDocument/2006/relationships/hyperlink" Target="https://leetcode.com/problems/sum-of-two-integers/" TargetMode="External"/><Relationship Id="rId177" Type="http://schemas.openxmlformats.org/officeDocument/2006/relationships/hyperlink" Target="https://leetcode.com/problems/next-greater-element-ii/" TargetMode="External"/><Relationship Id="rId198" Type="http://schemas.openxmlformats.org/officeDocument/2006/relationships/hyperlink" Target="https://leetcode.com/problems/asteroid-collision/" TargetMode="External"/><Relationship Id="rId202" Type="http://schemas.openxmlformats.org/officeDocument/2006/relationships/hyperlink" Target="https://leetcode.com/problems/reorganize-string/" TargetMode="External"/><Relationship Id="rId18" Type="http://schemas.openxmlformats.org/officeDocument/2006/relationships/hyperlink" Target="https://leetcode.com/problems/valid-parentheses/" TargetMode="External"/><Relationship Id="rId39" Type="http://schemas.openxmlformats.org/officeDocument/2006/relationships/hyperlink" Target="https://leetcode.com/problems/group-anagrams/" TargetMode="External"/><Relationship Id="rId50" Type="http://schemas.openxmlformats.org/officeDocument/2006/relationships/hyperlink" Target="https://leetcode.com/problems/plus-one/" TargetMode="External"/><Relationship Id="rId104" Type="http://schemas.openxmlformats.org/officeDocument/2006/relationships/hyperlink" Target="https://leetcode.com/problems/majority-element/" TargetMode="External"/><Relationship Id="rId125" Type="http://schemas.openxmlformats.org/officeDocument/2006/relationships/hyperlink" Target="https://leetcode.com/problems/kth-smallest-element-in-a-bst/" TargetMode="External"/><Relationship Id="rId146" Type="http://schemas.openxmlformats.org/officeDocument/2006/relationships/hyperlink" Target="https://leetcode.com/problems/count-of-smaller-numbers-after-self/" TargetMode="External"/><Relationship Id="rId167" Type="http://schemas.openxmlformats.org/officeDocument/2006/relationships/hyperlink" Target="https://leetcode.com/problems/path-sum-iii/" TargetMode="External"/><Relationship Id="rId188" Type="http://schemas.openxmlformats.org/officeDocument/2006/relationships/hyperlink" Target="https://leetcode.com/problems/design-circular-queue/" TargetMode="External"/><Relationship Id="rId71" Type="http://schemas.openxmlformats.org/officeDocument/2006/relationships/hyperlink" Target="https://leetcode.com/problems/symmetric-tree/" TargetMode="External"/><Relationship Id="rId92" Type="http://schemas.openxmlformats.org/officeDocument/2006/relationships/hyperlink" Target="https://leetcode.com/problems/copy-list-with-random-pointer/" TargetMode="External"/><Relationship Id="rId213" Type="http://schemas.openxmlformats.org/officeDocument/2006/relationships/hyperlink" Target="https://leetcode.com/problems/interval-list-intersections/" TargetMode="External"/><Relationship Id="rId2" Type="http://schemas.openxmlformats.org/officeDocument/2006/relationships/hyperlink" Target="https://leetcode.com/problems/add-two-numbers/" TargetMode="External"/><Relationship Id="rId29" Type="http://schemas.openxmlformats.org/officeDocument/2006/relationships/hyperlink" Target="https://leetcode.com/problems/find-first-and-last-position-of-element-in-sorted-array/" TargetMode="External"/><Relationship Id="rId40" Type="http://schemas.openxmlformats.org/officeDocument/2006/relationships/hyperlink" Target="https://leetcode.com/problems/powx-n/" TargetMode="External"/><Relationship Id="rId115" Type="http://schemas.openxmlformats.org/officeDocument/2006/relationships/hyperlink" Target="https://leetcode.com/problems/implement-trie-prefix-tree/" TargetMode="External"/><Relationship Id="rId136" Type="http://schemas.openxmlformats.org/officeDocument/2006/relationships/hyperlink" Target="https://leetcode.com/problems/h-index/" TargetMode="External"/><Relationship Id="rId157" Type="http://schemas.openxmlformats.org/officeDocument/2006/relationships/hyperlink" Target="https://leetcode.com/problems/kth-smallest-element-in-a-sorted-matrix/" TargetMode="External"/><Relationship Id="rId178" Type="http://schemas.openxmlformats.org/officeDocument/2006/relationships/hyperlink" Target="https://leetcode.com/problems/fibonacci-number/" TargetMode="External"/><Relationship Id="rId61" Type="http://schemas.openxmlformats.org/officeDocument/2006/relationships/hyperlink" Target="https://leetcode.com/problems/largest-rectangle-in-histogram/" TargetMode="External"/><Relationship Id="rId82" Type="http://schemas.openxmlformats.org/officeDocument/2006/relationships/hyperlink" Target="https://leetcode.com/problems/best-time-to-buy-and-sell-stock/" TargetMode="External"/><Relationship Id="rId199" Type="http://schemas.openxmlformats.org/officeDocument/2006/relationships/hyperlink" Target="https://leetcode.com/problems/daily-temperatures/" TargetMode="External"/><Relationship Id="rId203" Type="http://schemas.openxmlformats.org/officeDocument/2006/relationships/hyperlink" Target="https://leetcode.com/problems/swim-in-rising-water/" TargetMode="External"/><Relationship Id="rId19" Type="http://schemas.openxmlformats.org/officeDocument/2006/relationships/hyperlink" Target="https://leetcode.com/problems/merge-two-sorted-lists/"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s://leetcode.com/problems/find-all-anagrams-in-a-string/" TargetMode="External"/><Relationship Id="rId21" Type="http://schemas.openxmlformats.org/officeDocument/2006/relationships/hyperlink" Target="https://leetcode.com/problems/longest-valid-parentheses/" TargetMode="External"/><Relationship Id="rId42" Type="http://schemas.openxmlformats.org/officeDocument/2006/relationships/hyperlink" Target="https://leetcode.com/problems/word-search/" TargetMode="External"/><Relationship Id="rId63" Type="http://schemas.openxmlformats.org/officeDocument/2006/relationships/hyperlink" Target="https://leetcode.com/problems/dungeon-game/" TargetMode="External"/><Relationship Id="rId84" Type="http://schemas.openxmlformats.org/officeDocument/2006/relationships/hyperlink" Target="https://leetcode.com/problems/valid-anagram/" TargetMode="External"/><Relationship Id="rId138" Type="http://schemas.openxmlformats.org/officeDocument/2006/relationships/hyperlink" Target="https://leetcode.com/problems/find-k-closest-elements/" TargetMode="External"/><Relationship Id="rId159" Type="http://schemas.openxmlformats.org/officeDocument/2006/relationships/hyperlink" Target="https://leetcode.com/problems/koko-eating-bananas/" TargetMode="External"/><Relationship Id="rId170" Type="http://schemas.openxmlformats.org/officeDocument/2006/relationships/hyperlink" Target="https://leetcode.com/problems/parallel-courses/" TargetMode="External"/><Relationship Id="rId107" Type="http://schemas.openxmlformats.org/officeDocument/2006/relationships/hyperlink" Target="https://leetcode.com/problems/design-hit-counter/" TargetMode="External"/><Relationship Id="rId11" Type="http://schemas.openxmlformats.org/officeDocument/2006/relationships/hyperlink" Target="https://leetcode.com/problems/longest-common-prefix/" TargetMode="External"/><Relationship Id="rId32" Type="http://schemas.openxmlformats.org/officeDocument/2006/relationships/hyperlink" Target="https://leetcode.com/problems/spiral-matrix/" TargetMode="External"/><Relationship Id="rId53" Type="http://schemas.openxmlformats.org/officeDocument/2006/relationships/hyperlink" Target="https://leetcode.com/problems/candy/" TargetMode="External"/><Relationship Id="rId74" Type="http://schemas.openxmlformats.org/officeDocument/2006/relationships/hyperlink" Target="https://leetcode.com/problems/house-robber-ii/" TargetMode="External"/><Relationship Id="rId128" Type="http://schemas.openxmlformats.org/officeDocument/2006/relationships/hyperlink" Target="https://leetcode.com/problems/encode-and-decode-tinyurl/" TargetMode="External"/><Relationship Id="rId149" Type="http://schemas.openxmlformats.org/officeDocument/2006/relationships/hyperlink" Target="https://leetcode.com/problems/sliding-puzzle/" TargetMode="External"/><Relationship Id="rId5" Type="http://schemas.openxmlformats.org/officeDocument/2006/relationships/hyperlink" Target="https://leetcode.com/problems/longest-palindromic-substring/" TargetMode="External"/><Relationship Id="rId95" Type="http://schemas.openxmlformats.org/officeDocument/2006/relationships/hyperlink" Target="https://leetcode.com/problems/word-pattern-ii/" TargetMode="External"/><Relationship Id="rId160" Type="http://schemas.openxmlformats.org/officeDocument/2006/relationships/hyperlink" Target="https://leetcode.com/problems/possible-bipartition/" TargetMode="External"/><Relationship Id="rId181" Type="http://schemas.openxmlformats.org/officeDocument/2006/relationships/hyperlink" Target="https://leetcode.com/problems/furthest-building-you-can-reach/" TargetMode="External"/><Relationship Id="rId22" Type="http://schemas.openxmlformats.org/officeDocument/2006/relationships/hyperlink" Target="https://leetcode.com/problems/search-in-rotated-sorted-array/" TargetMode="External"/><Relationship Id="rId43" Type="http://schemas.openxmlformats.org/officeDocument/2006/relationships/hyperlink" Target="https://leetcode.com/problems/search-in-rotated-sorted-array-ii/" TargetMode="External"/><Relationship Id="rId64" Type="http://schemas.openxmlformats.org/officeDocument/2006/relationships/hyperlink" Target="https://leetcode.com/problems/reverse-words-in-a-string-ii/" TargetMode="External"/><Relationship Id="rId118" Type="http://schemas.openxmlformats.org/officeDocument/2006/relationships/hyperlink" Target="https://leetcode.com/problems/delete-node-in-a-bst/" TargetMode="External"/><Relationship Id="rId139" Type="http://schemas.openxmlformats.org/officeDocument/2006/relationships/hyperlink" Target="https://leetcode.com/problems/valid-palindrome-ii/" TargetMode="External"/><Relationship Id="rId85" Type="http://schemas.openxmlformats.org/officeDocument/2006/relationships/hyperlink" Target="https://leetcode.com/problems/group-shifted-strings/" TargetMode="External"/><Relationship Id="rId150" Type="http://schemas.openxmlformats.org/officeDocument/2006/relationships/hyperlink" Target="https://leetcode.com/problems/swim-in-rising-water/" TargetMode="External"/><Relationship Id="rId171" Type="http://schemas.openxmlformats.org/officeDocument/2006/relationships/hyperlink" Target="https://leetcode.com/problems/remove-zero-sum-consecutive-nodes-from-linked-list/" TargetMode="External"/><Relationship Id="rId12" Type="http://schemas.openxmlformats.org/officeDocument/2006/relationships/hyperlink" Target="https://leetcode.com/problems/letter-combinations-of-a-phone-number/" TargetMode="External"/><Relationship Id="rId33" Type="http://schemas.openxmlformats.org/officeDocument/2006/relationships/hyperlink" Target="https://leetcode.com/problems/merge-intervals/" TargetMode="External"/><Relationship Id="rId108" Type="http://schemas.openxmlformats.org/officeDocument/2006/relationships/hyperlink" Target="https://leetcode.com/problems/find-k-pairs-with-smallest-sums/" TargetMode="External"/><Relationship Id="rId129" Type="http://schemas.openxmlformats.org/officeDocument/2006/relationships/hyperlink" Target="https://leetcode.com/problems/01-matrix/" TargetMode="External"/><Relationship Id="rId54" Type="http://schemas.openxmlformats.org/officeDocument/2006/relationships/hyperlink" Target="https://leetcode.com/problems/copy-list-with-random-pointer/" TargetMode="External"/><Relationship Id="rId75" Type="http://schemas.openxmlformats.org/officeDocument/2006/relationships/hyperlink" Target="https://leetcode.com/problems/shortest-palindrome/" TargetMode="External"/><Relationship Id="rId96" Type="http://schemas.openxmlformats.org/officeDocument/2006/relationships/hyperlink" Target="https://leetcode.com/problems/find-median-from-data-stream/" TargetMode="External"/><Relationship Id="rId140" Type="http://schemas.openxmlformats.org/officeDocument/2006/relationships/hyperlink" Target="https://leetcode.com/problems/employee-importance/" TargetMode="External"/><Relationship Id="rId161" Type="http://schemas.openxmlformats.org/officeDocument/2006/relationships/hyperlink" Target="https://leetcode.com/problems/maximum-frequency-stack/" TargetMode="External"/><Relationship Id="rId182" Type="http://schemas.openxmlformats.org/officeDocument/2006/relationships/hyperlink" Target="https://leetcode.com/problems/merge-strings-alternately/" TargetMode="External"/><Relationship Id="rId6" Type="http://schemas.openxmlformats.org/officeDocument/2006/relationships/hyperlink" Target="https://leetcode.com/problems/reverse-integer/" TargetMode="External"/><Relationship Id="rId23" Type="http://schemas.openxmlformats.org/officeDocument/2006/relationships/hyperlink" Target="https://leetcode.com/problems/find-first-and-last-position-of-element-in-sorted-array/" TargetMode="External"/><Relationship Id="rId119" Type="http://schemas.openxmlformats.org/officeDocument/2006/relationships/hyperlink" Target="https://leetcode.com/problems/lfu-cache/" TargetMode="External"/><Relationship Id="rId44" Type="http://schemas.openxmlformats.org/officeDocument/2006/relationships/hyperlink" Target="https://leetcode.com/problems/largest-rectangle-in-histogram/" TargetMode="External"/><Relationship Id="rId60" Type="http://schemas.openxmlformats.org/officeDocument/2006/relationships/hyperlink" Target="https://leetcode.com/problems/one-edit-distance/" TargetMode="External"/><Relationship Id="rId65" Type="http://schemas.openxmlformats.org/officeDocument/2006/relationships/hyperlink" Target="https://leetcode.com/problems/house-robber/" TargetMode="External"/><Relationship Id="rId81" Type="http://schemas.openxmlformats.org/officeDocument/2006/relationships/hyperlink" Target="https://leetcode.com/problems/product-of-array-except-self/" TargetMode="External"/><Relationship Id="rId86" Type="http://schemas.openxmlformats.org/officeDocument/2006/relationships/hyperlink" Target="https://leetcode.com/problems/meeting-rooms/" TargetMode="External"/><Relationship Id="rId130" Type="http://schemas.openxmlformats.org/officeDocument/2006/relationships/hyperlink" Target="https://leetcode.com/problems/number-of-provinces/" TargetMode="External"/><Relationship Id="rId135" Type="http://schemas.openxmlformats.org/officeDocument/2006/relationships/hyperlink" Target="https://leetcode.com/problems/exclusive-time-of-functions/" TargetMode="External"/><Relationship Id="rId151" Type="http://schemas.openxmlformats.org/officeDocument/2006/relationships/hyperlink" Target="https://leetcode.com/problems/is-graph-bipartite/" TargetMode="External"/><Relationship Id="rId156" Type="http://schemas.openxmlformats.org/officeDocument/2006/relationships/hyperlink" Target="https://leetcode.com/problems/bus-routes/" TargetMode="External"/><Relationship Id="rId177" Type="http://schemas.openxmlformats.org/officeDocument/2006/relationships/hyperlink" Target="https://leetcode.com/problems/course-schedule-iv/" TargetMode="External"/><Relationship Id="rId172" Type="http://schemas.openxmlformats.org/officeDocument/2006/relationships/hyperlink" Target="https://leetcode.com/problems/maximum-profit-in-job-scheduling/" TargetMode="External"/><Relationship Id="rId13" Type="http://schemas.openxmlformats.org/officeDocument/2006/relationships/hyperlink" Target="https://leetcode.com/problems/valid-parentheses/" TargetMode="External"/><Relationship Id="rId18" Type="http://schemas.openxmlformats.org/officeDocument/2006/relationships/hyperlink" Target="https://leetcode.com/problems/remove-duplicates-from-sorted-array/" TargetMode="External"/><Relationship Id="rId39" Type="http://schemas.openxmlformats.org/officeDocument/2006/relationships/hyperlink" Target="https://leetcode.com/problems/set-matrix-zeroes/" TargetMode="External"/><Relationship Id="rId109" Type="http://schemas.openxmlformats.org/officeDocument/2006/relationships/hyperlink" Target="https://leetcode.com/problems/insert-delete-getrandom-o1/" TargetMode="External"/><Relationship Id="rId34" Type="http://schemas.openxmlformats.org/officeDocument/2006/relationships/hyperlink" Target="https://leetcode.com/problems/insert-interval/" TargetMode="External"/><Relationship Id="rId50" Type="http://schemas.openxmlformats.org/officeDocument/2006/relationships/hyperlink" Target="https://leetcode.com/problems/word-ladder/" TargetMode="External"/><Relationship Id="rId55" Type="http://schemas.openxmlformats.org/officeDocument/2006/relationships/hyperlink" Target="https://leetcode.com/problems/word-break/" TargetMode="External"/><Relationship Id="rId76" Type="http://schemas.openxmlformats.org/officeDocument/2006/relationships/hyperlink" Target="https://leetcode.com/problems/kth-largest-element-in-an-array/" TargetMode="External"/><Relationship Id="rId97" Type="http://schemas.openxmlformats.org/officeDocument/2006/relationships/hyperlink" Target="https://leetcode.com/problems/serialize-and-deserialize-binary-tree/" TargetMode="External"/><Relationship Id="rId104" Type="http://schemas.openxmlformats.org/officeDocument/2006/relationships/hyperlink" Target="https://leetcode.com/problems/reconstruct-itinerary/" TargetMode="External"/><Relationship Id="rId120" Type="http://schemas.openxmlformats.org/officeDocument/2006/relationships/hyperlink" Target="https://leetcode.com/problems/optimal-account-balancing/" TargetMode="External"/><Relationship Id="rId125" Type="http://schemas.openxmlformats.org/officeDocument/2006/relationships/hyperlink" Target="https://leetcode.com/problems/freedom-trail/" TargetMode="External"/><Relationship Id="rId141" Type="http://schemas.openxmlformats.org/officeDocument/2006/relationships/hyperlink" Target="https://leetcode.com/problems/top-k-frequent-words/" TargetMode="External"/><Relationship Id="rId146" Type="http://schemas.openxmlformats.org/officeDocument/2006/relationships/hyperlink" Target="https://leetcode.com/problems/asteroid-collision/" TargetMode="External"/><Relationship Id="rId167" Type="http://schemas.openxmlformats.org/officeDocument/2006/relationships/hyperlink" Target="https://leetcode.com/problems/interval-list-intersections/" TargetMode="External"/><Relationship Id="rId7" Type="http://schemas.openxmlformats.org/officeDocument/2006/relationships/hyperlink" Target="https://leetcode.com/problems/string-to-integer-atoi/" TargetMode="External"/><Relationship Id="rId71" Type="http://schemas.openxmlformats.org/officeDocument/2006/relationships/hyperlink" Target="https://leetcode.com/problems/implement-trie-prefix-tree/" TargetMode="External"/><Relationship Id="rId92" Type="http://schemas.openxmlformats.org/officeDocument/2006/relationships/hyperlink" Target="https://leetcode.com/problems/move-zeroes/" TargetMode="External"/><Relationship Id="rId162" Type="http://schemas.openxmlformats.org/officeDocument/2006/relationships/hyperlink" Target="https://leetcode.com/problems/shortest-bridge/" TargetMode="External"/><Relationship Id="rId183" Type="http://schemas.openxmlformats.org/officeDocument/2006/relationships/hyperlink" Target="https://leetcode.com/problems/frequency-of-the-most-frequent-element/" TargetMode="External"/><Relationship Id="rId2" Type="http://schemas.openxmlformats.org/officeDocument/2006/relationships/hyperlink" Target="https://leetcode.com/problems/add-two-numbers/" TargetMode="External"/><Relationship Id="rId29" Type="http://schemas.openxmlformats.org/officeDocument/2006/relationships/hyperlink" Target="https://leetcode.com/problems/rotate-image/" TargetMode="External"/><Relationship Id="rId24" Type="http://schemas.openxmlformats.org/officeDocument/2006/relationships/hyperlink" Target="https://leetcode.com/problems/valid-sudoku/" TargetMode="External"/><Relationship Id="rId40" Type="http://schemas.openxmlformats.org/officeDocument/2006/relationships/hyperlink" Target="https://leetcode.com/problems/minimum-window-substring/" TargetMode="External"/><Relationship Id="rId45" Type="http://schemas.openxmlformats.org/officeDocument/2006/relationships/hyperlink" Target="https://leetcode.com/problems/decode-ways/" TargetMode="External"/><Relationship Id="rId66" Type="http://schemas.openxmlformats.org/officeDocument/2006/relationships/hyperlink" Target="https://leetcode.com/problems/binary-tree-right-side-view/" TargetMode="External"/><Relationship Id="rId87" Type="http://schemas.openxmlformats.org/officeDocument/2006/relationships/hyperlink" Target="https://leetcode.com/problems/meeting-rooms-ii/" TargetMode="External"/><Relationship Id="rId110" Type="http://schemas.openxmlformats.org/officeDocument/2006/relationships/hyperlink" Target="https://leetcode.com/problems/shuffle-an-array/" TargetMode="External"/><Relationship Id="rId115" Type="http://schemas.openxmlformats.org/officeDocument/2006/relationships/hyperlink" Target="https://leetcode.com/problems/longest-repeating-character-replacement/" TargetMode="External"/><Relationship Id="rId131" Type="http://schemas.openxmlformats.org/officeDocument/2006/relationships/hyperlink" Target="https://leetcode.com/problems/subarray-sum-equals-k/" TargetMode="External"/><Relationship Id="rId136" Type="http://schemas.openxmlformats.org/officeDocument/2006/relationships/hyperlink" Target="https://leetcode.com/problems/design-search-autocomplete-system/" TargetMode="External"/><Relationship Id="rId157" Type="http://schemas.openxmlformats.org/officeDocument/2006/relationships/hyperlink" Target="https://leetcode.com/problems/making-a-large-island/" TargetMode="External"/><Relationship Id="rId178" Type="http://schemas.openxmlformats.org/officeDocument/2006/relationships/hyperlink" Target="https://leetcode.com/problems/number-of-nodes-in-the-sub-tree-with-the-same-label/" TargetMode="External"/><Relationship Id="rId61" Type="http://schemas.openxmlformats.org/officeDocument/2006/relationships/hyperlink" Target="https://leetcode.com/problems/find-peak-element/" TargetMode="External"/><Relationship Id="rId82" Type="http://schemas.openxmlformats.org/officeDocument/2006/relationships/hyperlink" Target="https://leetcode.com/problems/sliding-window-maximum/" TargetMode="External"/><Relationship Id="rId152" Type="http://schemas.openxmlformats.org/officeDocument/2006/relationships/hyperlink" Target="https://leetcode.com/problems/cheapest-flights-within-k-stops/" TargetMode="External"/><Relationship Id="rId173" Type="http://schemas.openxmlformats.org/officeDocument/2006/relationships/hyperlink" Target="https://leetcode.com/problems/minimum-number-of-taps-to-open-to-water-a-garden/" TargetMode="External"/><Relationship Id="rId19" Type="http://schemas.openxmlformats.org/officeDocument/2006/relationships/hyperlink" Target="https://leetcode.com/problems/remove-element/" TargetMode="External"/><Relationship Id="rId14" Type="http://schemas.openxmlformats.org/officeDocument/2006/relationships/hyperlink" Target="https://leetcode.com/problems/generate-parentheses/" TargetMode="External"/><Relationship Id="rId30" Type="http://schemas.openxmlformats.org/officeDocument/2006/relationships/hyperlink" Target="https://leetcode.com/problems/group-anagrams/" TargetMode="External"/><Relationship Id="rId35" Type="http://schemas.openxmlformats.org/officeDocument/2006/relationships/hyperlink" Target="https://leetcode.com/problems/minimum-path-sum/" TargetMode="External"/><Relationship Id="rId56" Type="http://schemas.openxmlformats.org/officeDocument/2006/relationships/hyperlink" Target="https://leetcode.com/problems/word-break-ii/" TargetMode="External"/><Relationship Id="rId77" Type="http://schemas.openxmlformats.org/officeDocument/2006/relationships/hyperlink" Target="https://leetcode.com/problems/the-skyline-problem/" TargetMode="External"/><Relationship Id="rId100" Type="http://schemas.openxmlformats.org/officeDocument/2006/relationships/hyperlink" Target="https://leetcode.com/problems/burst-balloons/" TargetMode="External"/><Relationship Id="rId105" Type="http://schemas.openxmlformats.org/officeDocument/2006/relationships/hyperlink" Target="https://leetcode.com/problems/house-robber-iii/" TargetMode="External"/><Relationship Id="rId126" Type="http://schemas.openxmlformats.org/officeDocument/2006/relationships/hyperlink" Target="https://leetcode.com/problems/longest-palindromic-subsequence/" TargetMode="External"/><Relationship Id="rId147" Type="http://schemas.openxmlformats.org/officeDocument/2006/relationships/hyperlink" Target="https://leetcode.com/problems/cherry-pickup/" TargetMode="External"/><Relationship Id="rId168" Type="http://schemas.openxmlformats.org/officeDocument/2006/relationships/hyperlink" Target="https://leetcode.com/problems/rotting-oranges/" TargetMode="External"/><Relationship Id="rId8" Type="http://schemas.openxmlformats.org/officeDocument/2006/relationships/hyperlink" Target="https://leetcode.com/problems/regular-expression-matching/" TargetMode="External"/><Relationship Id="rId51" Type="http://schemas.openxmlformats.org/officeDocument/2006/relationships/hyperlink" Target="https://leetcode.com/problems/longest-consecutive-sequence/" TargetMode="External"/><Relationship Id="rId72" Type="http://schemas.openxmlformats.org/officeDocument/2006/relationships/hyperlink" Target="https://leetcode.com/problems/course-schedule-ii/" TargetMode="External"/><Relationship Id="rId93" Type="http://schemas.openxmlformats.org/officeDocument/2006/relationships/hyperlink" Target="https://leetcode.com/problems/walls-and-gates/" TargetMode="External"/><Relationship Id="rId98" Type="http://schemas.openxmlformats.org/officeDocument/2006/relationships/hyperlink" Target="https://leetcode.com/problems/longest-increasing-subsequence/" TargetMode="External"/><Relationship Id="rId121" Type="http://schemas.openxmlformats.org/officeDocument/2006/relationships/hyperlink" Target="https://leetcode.com/problems/matchsticks-to-square/" TargetMode="External"/><Relationship Id="rId142" Type="http://schemas.openxmlformats.org/officeDocument/2006/relationships/hyperlink" Target="https://leetcode.com/problems/falling-squares/" TargetMode="External"/><Relationship Id="rId163" Type="http://schemas.openxmlformats.org/officeDocument/2006/relationships/hyperlink" Target="https://leetcode.com/problems/verifying-an-alien-dictionary/" TargetMode="External"/><Relationship Id="rId3" Type="http://schemas.openxmlformats.org/officeDocument/2006/relationships/hyperlink" Target="https://leetcode.com/problems/longest-substring-without-repeating-characters/" TargetMode="External"/><Relationship Id="rId25" Type="http://schemas.openxmlformats.org/officeDocument/2006/relationships/hyperlink" Target="https://leetcode.com/problems/sudoku-solver/" TargetMode="External"/><Relationship Id="rId46" Type="http://schemas.openxmlformats.org/officeDocument/2006/relationships/hyperlink" Target="https://leetcode.com/problems/maximum-depth-of-binary-tree/" TargetMode="External"/><Relationship Id="rId67" Type="http://schemas.openxmlformats.org/officeDocument/2006/relationships/hyperlink" Target="https://leetcode.com/problems/number-of-islands/" TargetMode="External"/><Relationship Id="rId116" Type="http://schemas.openxmlformats.org/officeDocument/2006/relationships/hyperlink" Target="https://leetcode.com/problems/all-oone-data-structure/" TargetMode="External"/><Relationship Id="rId137" Type="http://schemas.openxmlformats.org/officeDocument/2006/relationships/hyperlink" Target="https://leetcode.com/problems/replace-words/" TargetMode="External"/><Relationship Id="rId158" Type="http://schemas.openxmlformats.org/officeDocument/2006/relationships/hyperlink" Target="https://leetcode.com/problems/exam-room/" TargetMode="External"/><Relationship Id="rId20" Type="http://schemas.openxmlformats.org/officeDocument/2006/relationships/hyperlink" Target="https://leetcode.com/problems/next-permutation/" TargetMode="External"/><Relationship Id="rId41" Type="http://schemas.openxmlformats.org/officeDocument/2006/relationships/hyperlink" Target="https://leetcode.com/problems/subsets/" TargetMode="External"/><Relationship Id="rId62" Type="http://schemas.openxmlformats.org/officeDocument/2006/relationships/hyperlink" Target="https://leetcode.com/problems/excel-sheet-column-number/" TargetMode="External"/><Relationship Id="rId83" Type="http://schemas.openxmlformats.org/officeDocument/2006/relationships/hyperlink" Target="https://leetcode.com/problems/search-a-2d-matrix-ii/" TargetMode="External"/><Relationship Id="rId88" Type="http://schemas.openxmlformats.org/officeDocument/2006/relationships/hyperlink" Target="https://leetcode.com/problems/factor-combinations/" TargetMode="External"/><Relationship Id="rId111" Type="http://schemas.openxmlformats.org/officeDocument/2006/relationships/hyperlink" Target="https://leetcode.com/problems/evaluate-division/" TargetMode="External"/><Relationship Id="rId132" Type="http://schemas.openxmlformats.org/officeDocument/2006/relationships/hyperlink" Target="https://leetcode.com/problems/find-the-closest-palindrome/" TargetMode="External"/><Relationship Id="rId153" Type="http://schemas.openxmlformats.org/officeDocument/2006/relationships/hyperlink" Target="https://leetcode.com/problems/custom-sort-string/" TargetMode="External"/><Relationship Id="rId174" Type="http://schemas.openxmlformats.org/officeDocument/2006/relationships/hyperlink" Target="https://leetcode.com/problems/find-the-city-with-the-smallest-number-of-neighbors-at-a-threshold-distance/" TargetMode="External"/><Relationship Id="rId179" Type="http://schemas.openxmlformats.org/officeDocument/2006/relationships/hyperlink" Target="https://leetcode.com/problems/remove-max-number-of-edges-to-keep-graph-fully-traversable/" TargetMode="External"/><Relationship Id="rId15" Type="http://schemas.openxmlformats.org/officeDocument/2006/relationships/hyperlink" Target="https://leetcode.com/problems/merge-k-sorted-lists/" TargetMode="External"/><Relationship Id="rId36" Type="http://schemas.openxmlformats.org/officeDocument/2006/relationships/hyperlink" Target="https://leetcode.com/problems/text-justification/" TargetMode="External"/><Relationship Id="rId57" Type="http://schemas.openxmlformats.org/officeDocument/2006/relationships/hyperlink" Target="https://leetcode.com/problems/lru-cache/" TargetMode="External"/><Relationship Id="rId106" Type="http://schemas.openxmlformats.org/officeDocument/2006/relationships/hyperlink" Target="https://leetcode.com/problems/top-k-frequent-elements/" TargetMode="External"/><Relationship Id="rId127" Type="http://schemas.openxmlformats.org/officeDocument/2006/relationships/hyperlink" Target="https://leetcode.com/problems/random-pick-with-weight/" TargetMode="External"/><Relationship Id="rId10" Type="http://schemas.openxmlformats.org/officeDocument/2006/relationships/hyperlink" Target="https://leetcode.com/problems/roman-to-integer/" TargetMode="External"/><Relationship Id="rId31" Type="http://schemas.openxmlformats.org/officeDocument/2006/relationships/hyperlink" Target="https://leetcode.com/problems/maximum-subarray/" TargetMode="External"/><Relationship Id="rId52" Type="http://schemas.openxmlformats.org/officeDocument/2006/relationships/hyperlink" Target="https://leetcode.com/problems/clone-graph/" TargetMode="External"/><Relationship Id="rId73" Type="http://schemas.openxmlformats.org/officeDocument/2006/relationships/hyperlink" Target="https://leetcode.com/problems/word-search-ii/" TargetMode="External"/><Relationship Id="rId78" Type="http://schemas.openxmlformats.org/officeDocument/2006/relationships/hyperlink" Target="https://leetcode.com/problems/basic-calculator/" TargetMode="External"/><Relationship Id="rId94" Type="http://schemas.openxmlformats.org/officeDocument/2006/relationships/hyperlink" Target="https://leetcode.com/problems/word-pattern/" TargetMode="External"/><Relationship Id="rId99" Type="http://schemas.openxmlformats.org/officeDocument/2006/relationships/hyperlink" Target="https://leetcode.com/problems/number-of-islands-ii/" TargetMode="External"/><Relationship Id="rId101" Type="http://schemas.openxmlformats.org/officeDocument/2006/relationships/hyperlink" Target="https://leetcode.com/problems/coin-change/" TargetMode="External"/><Relationship Id="rId122" Type="http://schemas.openxmlformats.org/officeDocument/2006/relationships/hyperlink" Target="https://leetcode.com/problems/predict-the-winner/" TargetMode="External"/><Relationship Id="rId143" Type="http://schemas.openxmlformats.org/officeDocument/2006/relationships/hyperlink" Target="https://leetcode.com/problems/candy-crush/" TargetMode="External"/><Relationship Id="rId148" Type="http://schemas.openxmlformats.org/officeDocument/2006/relationships/hyperlink" Target="https://leetcode.com/problems/open-the-lock/" TargetMode="External"/><Relationship Id="rId164" Type="http://schemas.openxmlformats.org/officeDocument/2006/relationships/hyperlink" Target="https://leetcode.com/problems/squares-of-a-sorted-array/" TargetMode="External"/><Relationship Id="rId169" Type="http://schemas.openxmlformats.org/officeDocument/2006/relationships/hyperlink" Target="https://leetcode.com/problems/capacity-to-ship-packages-within-d-days/" TargetMode="External"/><Relationship Id="rId4" Type="http://schemas.openxmlformats.org/officeDocument/2006/relationships/hyperlink" Target="https://leetcode.com/problems/median-of-two-sorted-arrays/" TargetMode="External"/><Relationship Id="rId9" Type="http://schemas.openxmlformats.org/officeDocument/2006/relationships/hyperlink" Target="https://leetcode.com/problems/container-with-most-water/" TargetMode="External"/><Relationship Id="rId180" Type="http://schemas.openxmlformats.org/officeDocument/2006/relationships/hyperlink" Target="https://leetcode.com/problems/min-cost-to-connect-all-points/" TargetMode="External"/><Relationship Id="rId26" Type="http://schemas.openxmlformats.org/officeDocument/2006/relationships/hyperlink" Target="https://leetcode.com/problems/combination-sum/" TargetMode="External"/><Relationship Id="rId47" Type="http://schemas.openxmlformats.org/officeDocument/2006/relationships/hyperlink" Target="https://leetcode.com/problems/best-time-to-buy-and-sell-stock/" TargetMode="External"/><Relationship Id="rId68" Type="http://schemas.openxmlformats.org/officeDocument/2006/relationships/hyperlink" Target="https://leetcode.com/problems/happy-number/" TargetMode="External"/><Relationship Id="rId89" Type="http://schemas.openxmlformats.org/officeDocument/2006/relationships/hyperlink" Target="https://leetcode.com/problems/add-digits/" TargetMode="External"/><Relationship Id="rId112" Type="http://schemas.openxmlformats.org/officeDocument/2006/relationships/hyperlink" Target="https://leetcode.com/problems/split-array-largest-sum/" TargetMode="External"/><Relationship Id="rId133" Type="http://schemas.openxmlformats.org/officeDocument/2006/relationships/hyperlink" Target="https://leetcode.com/problems/design-in-memory-file-system/" TargetMode="External"/><Relationship Id="rId154" Type="http://schemas.openxmlformats.org/officeDocument/2006/relationships/hyperlink" Target="https://leetcode.com/problems/number-of-matching-subsequences/" TargetMode="External"/><Relationship Id="rId175" Type="http://schemas.openxmlformats.org/officeDocument/2006/relationships/hyperlink" Target="https://leetcode.com/problems/construct-k-palindrome-strings/" TargetMode="External"/><Relationship Id="rId16" Type="http://schemas.openxmlformats.org/officeDocument/2006/relationships/hyperlink" Target="https://leetcode.com/problems/swap-nodes-in-pairs/" TargetMode="External"/><Relationship Id="rId37" Type="http://schemas.openxmlformats.org/officeDocument/2006/relationships/hyperlink" Target="https://leetcode.com/problems/sqrtx/" TargetMode="External"/><Relationship Id="rId58" Type="http://schemas.openxmlformats.org/officeDocument/2006/relationships/hyperlink" Target="https://leetcode.com/problems/find-minimum-in-rotated-sorted-array/" TargetMode="External"/><Relationship Id="rId79" Type="http://schemas.openxmlformats.org/officeDocument/2006/relationships/hyperlink" Target="https://leetcode.com/problems/basic-calculator-ii/" TargetMode="External"/><Relationship Id="rId102" Type="http://schemas.openxmlformats.org/officeDocument/2006/relationships/hyperlink" Target="https://leetcode.com/problems/longest-increasing-path-in-a-matrix/" TargetMode="External"/><Relationship Id="rId123" Type="http://schemas.openxmlformats.org/officeDocument/2006/relationships/hyperlink" Target="https://leetcode.com/problems/the-maze/" TargetMode="External"/><Relationship Id="rId144" Type="http://schemas.openxmlformats.org/officeDocument/2006/relationships/hyperlink" Target="https://leetcode.com/problems/my-calendar-i/" TargetMode="External"/><Relationship Id="rId90" Type="http://schemas.openxmlformats.org/officeDocument/2006/relationships/hyperlink" Target="https://leetcode.com/problems/palindrome-permutation/" TargetMode="External"/><Relationship Id="rId165" Type="http://schemas.openxmlformats.org/officeDocument/2006/relationships/hyperlink" Target="https://leetcode.com/problems/time-based-key-value-store/" TargetMode="External"/><Relationship Id="rId27" Type="http://schemas.openxmlformats.org/officeDocument/2006/relationships/hyperlink" Target="https://leetcode.com/problems/trapping-rain-water/" TargetMode="External"/><Relationship Id="rId48" Type="http://schemas.openxmlformats.org/officeDocument/2006/relationships/hyperlink" Target="https://leetcode.com/problems/binary-tree-maximum-path-sum/" TargetMode="External"/><Relationship Id="rId69" Type="http://schemas.openxmlformats.org/officeDocument/2006/relationships/hyperlink" Target="https://leetcode.com/problems/reverse-linked-list/" TargetMode="External"/><Relationship Id="rId113" Type="http://schemas.openxmlformats.org/officeDocument/2006/relationships/hyperlink" Target="https://leetcode.com/problems/fizz-buzz/" TargetMode="External"/><Relationship Id="rId134" Type="http://schemas.openxmlformats.org/officeDocument/2006/relationships/hyperlink" Target="https://leetcode.com/problems/task-scheduler/" TargetMode="External"/><Relationship Id="rId80" Type="http://schemas.openxmlformats.org/officeDocument/2006/relationships/hyperlink" Target="https://leetcode.com/problems/kth-smallest-element-in-a-bst/" TargetMode="External"/><Relationship Id="rId155" Type="http://schemas.openxmlformats.org/officeDocument/2006/relationships/hyperlink" Target="https://leetcode.com/problems/find-eventual-safe-states/" TargetMode="External"/><Relationship Id="rId176" Type="http://schemas.openxmlformats.org/officeDocument/2006/relationships/hyperlink" Target="https://leetcode.com/problems/longest-continuous-subarray-with-absolute-diff-less-than-or-equal-to-limit/" TargetMode="External"/><Relationship Id="rId17" Type="http://schemas.openxmlformats.org/officeDocument/2006/relationships/hyperlink" Target="https://leetcode.com/problems/reverse-nodes-in-k-group/" TargetMode="External"/><Relationship Id="rId38" Type="http://schemas.openxmlformats.org/officeDocument/2006/relationships/hyperlink" Target="https://leetcode.com/problems/climbing-stairs/" TargetMode="External"/><Relationship Id="rId59" Type="http://schemas.openxmlformats.org/officeDocument/2006/relationships/hyperlink" Target="https://leetcode.com/problems/min-stack/" TargetMode="External"/><Relationship Id="rId103" Type="http://schemas.openxmlformats.org/officeDocument/2006/relationships/hyperlink" Target="https://leetcode.com/problems/patching-array/" TargetMode="External"/><Relationship Id="rId124" Type="http://schemas.openxmlformats.org/officeDocument/2006/relationships/hyperlink" Target="https://leetcode.com/problems/next-greater-element-i/" TargetMode="External"/><Relationship Id="rId70" Type="http://schemas.openxmlformats.org/officeDocument/2006/relationships/hyperlink" Target="https://leetcode.com/problems/course-schedule/" TargetMode="External"/><Relationship Id="rId91" Type="http://schemas.openxmlformats.org/officeDocument/2006/relationships/hyperlink" Target="https://leetcode.com/problems/alien-dictionary/" TargetMode="External"/><Relationship Id="rId145" Type="http://schemas.openxmlformats.org/officeDocument/2006/relationships/hyperlink" Target="https://leetcode.com/problems/flood-fill/" TargetMode="External"/><Relationship Id="rId166" Type="http://schemas.openxmlformats.org/officeDocument/2006/relationships/hyperlink" Target="https://leetcode.com/problems/minimum-cost-for-tickets/" TargetMode="External"/><Relationship Id="rId1" Type="http://schemas.openxmlformats.org/officeDocument/2006/relationships/hyperlink" Target="https://leetcode.com/problems/two-sum/" TargetMode="External"/><Relationship Id="rId28" Type="http://schemas.openxmlformats.org/officeDocument/2006/relationships/hyperlink" Target="https://leetcode.com/problems/permutations/" TargetMode="External"/><Relationship Id="rId49" Type="http://schemas.openxmlformats.org/officeDocument/2006/relationships/hyperlink" Target="https://leetcode.com/problems/valid-palindrome/" TargetMode="External"/><Relationship Id="rId114" Type="http://schemas.openxmlformats.org/officeDocument/2006/relationships/hyperlink" Target="https://leetcode.com/problems/pacific-atlantic-water-fl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showGridLines="0" zoomScaleNormal="100" workbookViewId="0">
      <pane ySplit="6" topLeftCell="A7" activePane="bottomLeft" state="frozen"/>
      <selection pane="bottomLeft" activeCell="A4" sqref="A4"/>
    </sheetView>
  </sheetViews>
  <sheetFormatPr baseColWidth="10" defaultColWidth="8.6640625" defaultRowHeight="15" x14ac:dyDescent="0.2"/>
  <cols>
    <col min="1" max="2" width="9" customWidth="1"/>
    <col min="3" max="3" width="24" customWidth="1"/>
    <col min="4" max="4" width="42" customWidth="1"/>
    <col min="5" max="5" width="18" style="52" customWidth="1"/>
    <col min="6" max="6" width="30" customWidth="1"/>
    <col min="7" max="8" width="14" customWidth="1"/>
    <col min="9" max="9" width="24" customWidth="1"/>
    <col min="10" max="10" width="18" customWidth="1"/>
  </cols>
  <sheetData>
    <row r="1" spans="1:10" ht="30" customHeight="1" x14ac:dyDescent="0.2">
      <c r="A1" s="298" t="s">
        <v>3342</v>
      </c>
      <c r="B1" s="292"/>
      <c r="C1" s="292"/>
      <c r="D1" s="292"/>
      <c r="E1" s="292"/>
      <c r="F1" s="292"/>
      <c r="G1" s="292"/>
      <c r="H1" s="292"/>
      <c r="I1" s="292"/>
      <c r="J1" s="292"/>
    </row>
    <row r="2" spans="1:10" ht="30" customHeight="1" x14ac:dyDescent="0.2">
      <c r="A2" s="292"/>
      <c r="B2" s="292"/>
      <c r="C2" s="292"/>
      <c r="D2" s="292"/>
      <c r="E2" s="292"/>
      <c r="F2" s="292"/>
      <c r="G2" s="292"/>
      <c r="H2" s="292"/>
      <c r="I2" s="292"/>
      <c r="J2" s="292"/>
    </row>
    <row r="3" spans="1:10" ht="19.5" customHeight="1" x14ac:dyDescent="0.2">
      <c r="A3" s="299" t="s">
        <v>3343</v>
      </c>
      <c r="B3" s="292"/>
      <c r="C3" s="292"/>
      <c r="D3" s="292"/>
      <c r="E3" s="292"/>
      <c r="F3" s="292"/>
      <c r="G3" s="292"/>
      <c r="H3" s="292"/>
      <c r="I3" s="292"/>
      <c r="J3" s="292"/>
    </row>
    <row r="5" spans="1:10" ht="21.75" customHeight="1" x14ac:dyDescent="0.2">
      <c r="A5" s="296" t="s">
        <v>3344</v>
      </c>
      <c r="B5" s="292"/>
      <c r="C5" s="292"/>
      <c r="D5" s="292"/>
      <c r="E5" s="292"/>
      <c r="F5" s="292"/>
      <c r="G5" s="292"/>
      <c r="H5" s="292"/>
      <c r="I5" s="292"/>
      <c r="J5" s="292"/>
    </row>
    <row r="6" spans="1:10" ht="31.5" customHeight="1" x14ac:dyDescent="0.2">
      <c r="A6" s="1" t="s">
        <v>3345</v>
      </c>
      <c r="B6" s="1" t="s">
        <v>3346</v>
      </c>
      <c r="C6" s="1" t="s">
        <v>3347</v>
      </c>
      <c r="D6" s="1" t="s">
        <v>3348</v>
      </c>
      <c r="E6" s="224" t="s">
        <v>3349</v>
      </c>
      <c r="F6" s="1" t="s">
        <v>3350</v>
      </c>
      <c r="G6" s="1" t="s">
        <v>3351</v>
      </c>
      <c r="H6" s="1" t="s">
        <v>3352</v>
      </c>
      <c r="I6" s="1" t="s">
        <v>3353</v>
      </c>
      <c r="J6" s="1" t="s">
        <v>3354</v>
      </c>
    </row>
    <row r="7" spans="1:10" ht="43.5" customHeight="1" x14ac:dyDescent="0.2">
      <c r="A7" s="2" t="s">
        <v>3355</v>
      </c>
      <c r="B7" s="2" t="s">
        <v>3356</v>
      </c>
      <c r="C7" s="3" t="s">
        <v>3357</v>
      </c>
      <c r="D7" s="3" t="s">
        <v>3358</v>
      </c>
      <c r="E7" s="225">
        <v>60</v>
      </c>
      <c r="F7" s="3" t="s">
        <v>3359</v>
      </c>
      <c r="G7" s="2" t="s">
        <v>3360</v>
      </c>
      <c r="H7" s="2" t="s">
        <v>3361</v>
      </c>
      <c r="I7" s="3" t="s">
        <v>3362</v>
      </c>
      <c r="J7" s="2" t="s">
        <v>3363</v>
      </c>
    </row>
    <row r="8" spans="1:10" ht="43.5" customHeight="1" x14ac:dyDescent="0.2">
      <c r="A8" s="4" t="s">
        <v>3364</v>
      </c>
      <c r="B8" s="4" t="s">
        <v>3365</v>
      </c>
      <c r="C8" s="5" t="s">
        <v>3366</v>
      </c>
      <c r="D8" s="5" t="s">
        <v>3367</v>
      </c>
      <c r="E8" s="226">
        <v>60</v>
      </c>
      <c r="F8" s="5" t="s">
        <v>3368</v>
      </c>
      <c r="G8" s="4" t="s">
        <v>3360</v>
      </c>
      <c r="H8" s="4" t="s">
        <v>3361</v>
      </c>
      <c r="I8" s="5" t="s">
        <v>3369</v>
      </c>
      <c r="J8" s="4" t="s">
        <v>3370</v>
      </c>
    </row>
    <row r="9" spans="1:10" ht="43.5" customHeight="1" x14ac:dyDescent="0.2">
      <c r="A9" s="2" t="s">
        <v>3371</v>
      </c>
      <c r="B9" s="2" t="s">
        <v>3372</v>
      </c>
      <c r="C9" s="3" t="s">
        <v>3373</v>
      </c>
      <c r="D9" s="3" t="s">
        <v>3374</v>
      </c>
      <c r="E9" s="225">
        <v>80</v>
      </c>
      <c r="F9" s="3" t="s">
        <v>3375</v>
      </c>
      <c r="G9" s="2" t="s">
        <v>3376</v>
      </c>
      <c r="H9" s="2" t="s">
        <v>3377</v>
      </c>
      <c r="I9" s="3" t="s">
        <v>3378</v>
      </c>
      <c r="J9" s="2" t="s">
        <v>3379</v>
      </c>
    </row>
    <row r="10" spans="1:10" ht="43.5" customHeight="1" x14ac:dyDescent="0.2">
      <c r="A10" s="4" t="s">
        <v>3380</v>
      </c>
      <c r="B10" s="4" t="s">
        <v>3381</v>
      </c>
      <c r="C10" s="5" t="s">
        <v>3382</v>
      </c>
      <c r="D10" s="5" t="s">
        <v>3383</v>
      </c>
      <c r="E10" s="226">
        <v>80</v>
      </c>
      <c r="F10" s="5" t="s">
        <v>3384</v>
      </c>
      <c r="G10" s="4" t="s">
        <v>3385</v>
      </c>
      <c r="H10" s="4" t="s">
        <v>3386</v>
      </c>
      <c r="I10" s="5" t="s">
        <v>3387</v>
      </c>
      <c r="J10" s="4" t="s">
        <v>3388</v>
      </c>
    </row>
    <row r="11" spans="1:10" ht="43.5" customHeight="1" x14ac:dyDescent="0.2">
      <c r="A11" s="2" t="s">
        <v>3389</v>
      </c>
      <c r="B11" s="2" t="s">
        <v>3390</v>
      </c>
      <c r="C11" s="3" t="s">
        <v>3391</v>
      </c>
      <c r="D11" s="3" t="s">
        <v>3392</v>
      </c>
      <c r="E11" s="225">
        <v>70</v>
      </c>
      <c r="F11" s="3" t="s">
        <v>3393</v>
      </c>
      <c r="G11" s="2" t="s">
        <v>3394</v>
      </c>
      <c r="H11" s="2" t="s">
        <v>3394</v>
      </c>
      <c r="I11" s="3" t="s">
        <v>3395</v>
      </c>
      <c r="J11" s="2" t="s">
        <v>3396</v>
      </c>
    </row>
    <row r="12" spans="1:10" ht="43.5" customHeight="1" x14ac:dyDescent="0.2">
      <c r="A12" s="4" t="s">
        <v>3397</v>
      </c>
      <c r="B12" s="4" t="s">
        <v>3398</v>
      </c>
      <c r="C12" s="5" t="s">
        <v>3399</v>
      </c>
      <c r="D12" s="5" t="s">
        <v>3400</v>
      </c>
      <c r="E12" s="226">
        <v>60</v>
      </c>
      <c r="F12" s="5" t="s">
        <v>3401</v>
      </c>
      <c r="G12" s="4" t="s">
        <v>3394</v>
      </c>
      <c r="H12" s="4" t="s">
        <v>3394</v>
      </c>
      <c r="I12" s="5" t="s">
        <v>3402</v>
      </c>
      <c r="J12" s="4" t="s">
        <v>3403</v>
      </c>
    </row>
    <row r="13" spans="1:10" ht="43.5" customHeight="1" x14ac:dyDescent="0.2">
      <c r="A13" s="2" t="s">
        <v>3404</v>
      </c>
      <c r="B13" s="2" t="s">
        <v>3405</v>
      </c>
      <c r="C13" s="3" t="s">
        <v>3406</v>
      </c>
      <c r="D13" s="3" t="s">
        <v>3407</v>
      </c>
      <c r="E13" s="225">
        <v>50</v>
      </c>
      <c r="F13" s="3" t="s">
        <v>3408</v>
      </c>
      <c r="G13" s="2" t="s">
        <v>3386</v>
      </c>
      <c r="H13" s="2" t="s">
        <v>3385</v>
      </c>
      <c r="I13" s="3" t="s">
        <v>3409</v>
      </c>
      <c r="J13" s="2" t="s">
        <v>3410</v>
      </c>
    </row>
    <row r="14" spans="1:10" ht="43.5" customHeight="1" x14ac:dyDescent="0.2">
      <c r="A14" s="4" t="s">
        <v>3411</v>
      </c>
      <c r="B14" s="4" t="s">
        <v>3412</v>
      </c>
      <c r="C14" s="5" t="s">
        <v>3413</v>
      </c>
      <c r="D14" s="5" t="s">
        <v>3414</v>
      </c>
      <c r="E14" s="226">
        <v>40</v>
      </c>
      <c r="F14" s="5" t="s">
        <v>3415</v>
      </c>
      <c r="G14" s="4" t="s">
        <v>3416</v>
      </c>
      <c r="H14" s="4" t="s">
        <v>3417</v>
      </c>
      <c r="I14" s="5" t="s">
        <v>3418</v>
      </c>
      <c r="J14" s="4" t="s">
        <v>3419</v>
      </c>
    </row>
    <row r="17" spans="1:5" ht="21.75" customHeight="1" x14ac:dyDescent="0.2">
      <c r="A17" s="297" t="s">
        <v>3420</v>
      </c>
      <c r="B17" s="292"/>
      <c r="C17" s="292"/>
      <c r="D17" s="292"/>
      <c r="E17" s="292"/>
    </row>
    <row r="18" spans="1:5" ht="27.75" customHeight="1" x14ac:dyDescent="0.2">
      <c r="A18" s="6" t="s">
        <v>3421</v>
      </c>
      <c r="B18" s="6" t="s">
        <v>3422</v>
      </c>
      <c r="C18" s="6" t="s">
        <v>3423</v>
      </c>
      <c r="D18" s="6" t="s">
        <v>3424</v>
      </c>
      <c r="E18" s="227" t="s">
        <v>13</v>
      </c>
    </row>
    <row r="19" spans="1:5" ht="33.75" customHeight="1" x14ac:dyDescent="0.2">
      <c r="A19" s="7" t="s">
        <v>3425</v>
      </c>
      <c r="B19" s="3" t="s">
        <v>3361</v>
      </c>
      <c r="C19" s="3" t="s">
        <v>3426</v>
      </c>
      <c r="D19" s="3" t="s">
        <v>3427</v>
      </c>
      <c r="E19" s="228" t="s">
        <v>3428</v>
      </c>
    </row>
    <row r="20" spans="1:5" ht="33.75" customHeight="1" x14ac:dyDescent="0.2">
      <c r="A20" s="8" t="s">
        <v>3429</v>
      </c>
      <c r="B20" s="5" t="s">
        <v>3394</v>
      </c>
      <c r="C20" s="5" t="s">
        <v>3430</v>
      </c>
      <c r="D20" s="5" t="s">
        <v>3431</v>
      </c>
      <c r="E20" s="229" t="s">
        <v>3432</v>
      </c>
    </row>
    <row r="21" spans="1:5" ht="33.75" customHeight="1" x14ac:dyDescent="0.2">
      <c r="A21" s="7" t="s">
        <v>3433</v>
      </c>
      <c r="B21" s="3" t="s">
        <v>3361</v>
      </c>
      <c r="C21" s="3" t="s">
        <v>3434</v>
      </c>
      <c r="D21" s="3" t="s">
        <v>3435</v>
      </c>
      <c r="E21" s="228" t="s">
        <v>3436</v>
      </c>
    </row>
    <row r="22" spans="1:5" ht="33.75" customHeight="1" x14ac:dyDescent="0.2">
      <c r="A22" s="8" t="s">
        <v>3437</v>
      </c>
      <c r="B22" s="5" t="s">
        <v>3394</v>
      </c>
      <c r="C22" s="5" t="s">
        <v>3438</v>
      </c>
      <c r="D22" s="5" t="s">
        <v>3439</v>
      </c>
      <c r="E22" s="229" t="s">
        <v>3440</v>
      </c>
    </row>
    <row r="23" spans="1:5" ht="33.75" customHeight="1" x14ac:dyDescent="0.2">
      <c r="A23" s="7" t="s">
        <v>3441</v>
      </c>
      <c r="B23" s="3" t="s">
        <v>3442</v>
      </c>
      <c r="C23" s="3" t="s">
        <v>3443</v>
      </c>
      <c r="D23" s="3" t="s">
        <v>3444</v>
      </c>
      <c r="E23" s="228" t="s">
        <v>3445</v>
      </c>
    </row>
  </sheetData>
  <mergeCells count="4">
    <mergeCell ref="A5:J5"/>
    <mergeCell ref="A17:E17"/>
    <mergeCell ref="A1:J2"/>
    <mergeCell ref="A3:J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
  <sheetViews>
    <sheetView showGridLines="0" zoomScaleNormal="100" workbookViewId="0">
      <pane ySplit="3" topLeftCell="A4" activePane="bottomLeft" state="frozen"/>
      <selection pane="bottomLeft" activeCell="J6" sqref="J6"/>
    </sheetView>
  </sheetViews>
  <sheetFormatPr baseColWidth="10" defaultColWidth="8.6640625" defaultRowHeight="15" x14ac:dyDescent="0.2"/>
  <cols>
    <col min="1" max="1" width="4" customWidth="1"/>
    <col min="2" max="2" width="22" customWidth="1"/>
    <col min="3" max="4" width="36" style="52" customWidth="1"/>
    <col min="5" max="5" width="68" style="52" customWidth="1"/>
    <col min="6" max="8" width="10" customWidth="1"/>
    <col min="9" max="9" width="32" customWidth="1"/>
    <col min="10" max="10" width="38" customWidth="1"/>
    <col min="11" max="11" width="16" customWidth="1"/>
  </cols>
  <sheetData>
    <row r="1" spans="1:11" ht="27.75" customHeight="1" x14ac:dyDescent="0.2">
      <c r="A1" s="300" t="s">
        <v>3446</v>
      </c>
      <c r="B1" s="292"/>
      <c r="C1" s="292"/>
      <c r="D1" s="292"/>
      <c r="E1" s="292"/>
      <c r="F1" s="292"/>
      <c r="G1" s="292"/>
      <c r="H1" s="292"/>
      <c r="I1" s="292"/>
      <c r="J1" s="292"/>
    </row>
    <row r="2" spans="1:11" ht="9.75" customHeight="1" x14ac:dyDescent="0.2">
      <c r="A2" s="292"/>
      <c r="B2" s="292"/>
      <c r="C2" s="292"/>
      <c r="D2" s="292"/>
      <c r="E2" s="292"/>
      <c r="F2" s="292"/>
      <c r="G2" s="292"/>
      <c r="H2" s="292"/>
      <c r="I2" s="292"/>
      <c r="J2" s="292"/>
    </row>
    <row r="3" spans="1:11" ht="31.5" customHeight="1" x14ac:dyDescent="0.2">
      <c r="A3" s="1" t="s">
        <v>1</v>
      </c>
      <c r="B3" s="1" t="s">
        <v>3447</v>
      </c>
      <c r="C3" s="224" t="s">
        <v>3448</v>
      </c>
      <c r="D3" s="224" t="s">
        <v>3449</v>
      </c>
      <c r="E3" s="224" t="s">
        <v>3450</v>
      </c>
      <c r="F3" s="1" t="s">
        <v>5</v>
      </c>
      <c r="G3" s="1" t="s">
        <v>3451</v>
      </c>
      <c r="H3" s="1" t="s">
        <v>3345</v>
      </c>
      <c r="I3" s="1" t="s">
        <v>3452</v>
      </c>
      <c r="J3" s="1" t="s">
        <v>3453</v>
      </c>
      <c r="K3" s="282" t="s">
        <v>3454</v>
      </c>
    </row>
    <row r="4" spans="1:11" ht="72" customHeight="1" x14ac:dyDescent="0.2">
      <c r="A4" s="2">
        <v>1</v>
      </c>
      <c r="B4" s="9" t="s">
        <v>3455</v>
      </c>
      <c r="C4" s="228" t="s">
        <v>3456</v>
      </c>
      <c r="D4" s="228" t="s">
        <v>3457</v>
      </c>
      <c r="E4" s="228" t="s">
        <v>3458</v>
      </c>
      <c r="F4" s="2" t="s">
        <v>3459</v>
      </c>
      <c r="G4" s="2">
        <v>8</v>
      </c>
      <c r="H4" s="2" t="s">
        <v>3355</v>
      </c>
      <c r="I4" s="3" t="s">
        <v>3460</v>
      </c>
      <c r="J4" s="186" t="s">
        <v>3461</v>
      </c>
      <c r="K4" s="279" t="s">
        <v>3462</v>
      </c>
    </row>
    <row r="5" spans="1:11" ht="72" customHeight="1" x14ac:dyDescent="0.2">
      <c r="A5" s="4">
        <v>2</v>
      </c>
      <c r="B5" s="10" t="s">
        <v>689</v>
      </c>
      <c r="C5" s="229" t="s">
        <v>3463</v>
      </c>
      <c r="D5" s="229" t="s">
        <v>3464</v>
      </c>
      <c r="E5" s="229" t="s">
        <v>3465</v>
      </c>
      <c r="F5" s="4" t="s">
        <v>3466</v>
      </c>
      <c r="G5" s="4">
        <v>5</v>
      </c>
      <c r="H5" s="4" t="s">
        <v>3355</v>
      </c>
      <c r="I5" s="5" t="s">
        <v>3467</v>
      </c>
      <c r="J5" s="281" t="s">
        <v>3468</v>
      </c>
      <c r="K5" s="280" t="s">
        <v>3462</v>
      </c>
    </row>
    <row r="6" spans="1:11" ht="72" customHeight="1" x14ac:dyDescent="0.2">
      <c r="A6" s="2">
        <v>3</v>
      </c>
      <c r="B6" s="9" t="s">
        <v>917</v>
      </c>
      <c r="C6" s="228" t="s">
        <v>3469</v>
      </c>
      <c r="D6" s="228" t="s">
        <v>3470</v>
      </c>
      <c r="E6" s="228" t="s">
        <v>3471</v>
      </c>
      <c r="F6" s="2" t="s">
        <v>3466</v>
      </c>
      <c r="G6" s="2">
        <v>6</v>
      </c>
      <c r="H6" s="2" t="s">
        <v>3355</v>
      </c>
      <c r="I6" s="3" t="s">
        <v>3472</v>
      </c>
      <c r="J6" s="186" t="s">
        <v>3473</v>
      </c>
      <c r="K6" s="279" t="s">
        <v>3462</v>
      </c>
    </row>
    <row r="7" spans="1:11" ht="72" customHeight="1" x14ac:dyDescent="0.2">
      <c r="A7" s="4">
        <v>4</v>
      </c>
      <c r="B7" s="10" t="s">
        <v>540</v>
      </c>
      <c r="C7" s="229" t="s">
        <v>3474</v>
      </c>
      <c r="D7" s="229" t="s">
        <v>3475</v>
      </c>
      <c r="E7" s="229" t="s">
        <v>3476</v>
      </c>
      <c r="F7" s="4" t="s">
        <v>3466</v>
      </c>
      <c r="G7" s="4">
        <v>7</v>
      </c>
      <c r="H7" s="4" t="s">
        <v>3364</v>
      </c>
      <c r="I7" s="5" t="s">
        <v>3477</v>
      </c>
      <c r="J7" s="281" t="s">
        <v>3478</v>
      </c>
      <c r="K7" s="280" t="s">
        <v>3462</v>
      </c>
    </row>
    <row r="8" spans="1:11" ht="72" customHeight="1" x14ac:dyDescent="0.2">
      <c r="A8" s="2">
        <v>5</v>
      </c>
      <c r="B8" s="9" t="s">
        <v>3479</v>
      </c>
      <c r="C8" s="228" t="s">
        <v>3480</v>
      </c>
      <c r="D8" s="228" t="s">
        <v>3481</v>
      </c>
      <c r="E8" s="228" t="s">
        <v>3482</v>
      </c>
      <c r="F8" s="2" t="s">
        <v>3466</v>
      </c>
      <c r="G8" s="2">
        <v>8</v>
      </c>
      <c r="H8" s="2" t="s">
        <v>3364</v>
      </c>
      <c r="I8" s="3" t="s">
        <v>679</v>
      </c>
      <c r="J8" s="186" t="s">
        <v>3483</v>
      </c>
      <c r="K8" s="279" t="s">
        <v>3462</v>
      </c>
    </row>
    <row r="9" spans="1:11" ht="72" customHeight="1" x14ac:dyDescent="0.2">
      <c r="A9" s="4">
        <v>6</v>
      </c>
      <c r="B9" s="10" t="s">
        <v>512</v>
      </c>
      <c r="C9" s="229" t="s">
        <v>3484</v>
      </c>
      <c r="D9" s="229" t="s">
        <v>3485</v>
      </c>
      <c r="E9" s="229" t="s">
        <v>3486</v>
      </c>
      <c r="F9" s="4" t="s">
        <v>3466</v>
      </c>
      <c r="G9" s="4">
        <v>7</v>
      </c>
      <c r="H9" s="4" t="s">
        <v>3364</v>
      </c>
      <c r="I9" s="5" t="s">
        <v>3487</v>
      </c>
      <c r="J9" s="281" t="s">
        <v>3488</v>
      </c>
      <c r="K9" s="280" t="s">
        <v>3462</v>
      </c>
    </row>
    <row r="10" spans="1:11" ht="72" customHeight="1" x14ac:dyDescent="0.2">
      <c r="A10" s="2">
        <v>7</v>
      </c>
      <c r="B10" s="9" t="s">
        <v>3489</v>
      </c>
      <c r="C10" s="228" t="s">
        <v>3490</v>
      </c>
      <c r="D10" s="228" t="s">
        <v>3491</v>
      </c>
      <c r="E10" s="228" t="s">
        <v>3492</v>
      </c>
      <c r="F10" s="2" t="s">
        <v>3459</v>
      </c>
      <c r="G10" s="2">
        <v>8</v>
      </c>
      <c r="H10" s="2" t="s">
        <v>3371</v>
      </c>
      <c r="I10" s="3" t="s">
        <v>3493</v>
      </c>
      <c r="J10" s="186" t="s">
        <v>3494</v>
      </c>
      <c r="K10" s="279" t="s">
        <v>3462</v>
      </c>
    </row>
    <row r="11" spans="1:11" ht="72" customHeight="1" x14ac:dyDescent="0.2">
      <c r="A11" s="4">
        <v>8</v>
      </c>
      <c r="B11" s="10" t="s">
        <v>3495</v>
      </c>
      <c r="C11" s="229" t="s">
        <v>3496</v>
      </c>
      <c r="D11" s="229" t="s">
        <v>3497</v>
      </c>
      <c r="E11" s="229" t="s">
        <v>3498</v>
      </c>
      <c r="F11" s="4" t="s">
        <v>3459</v>
      </c>
      <c r="G11" s="4">
        <v>6</v>
      </c>
      <c r="H11" s="4" t="s">
        <v>3371</v>
      </c>
      <c r="I11" s="5" t="s">
        <v>3499</v>
      </c>
      <c r="J11" s="281" t="s">
        <v>3500</v>
      </c>
      <c r="K11" s="280" t="s">
        <v>3462</v>
      </c>
    </row>
    <row r="12" spans="1:11" ht="72" customHeight="1" x14ac:dyDescent="0.2">
      <c r="A12" s="2">
        <v>9</v>
      </c>
      <c r="B12" s="9" t="s">
        <v>3501</v>
      </c>
      <c r="C12" s="228" t="s">
        <v>3502</v>
      </c>
      <c r="D12" s="228" t="s">
        <v>3503</v>
      </c>
      <c r="E12" s="228" t="s">
        <v>3504</v>
      </c>
      <c r="F12" s="2" t="s">
        <v>3505</v>
      </c>
      <c r="G12" s="2">
        <v>4</v>
      </c>
      <c r="H12" s="2" t="s">
        <v>3371</v>
      </c>
      <c r="I12" s="3" t="s">
        <v>3506</v>
      </c>
      <c r="J12" s="186" t="s">
        <v>3507</v>
      </c>
      <c r="K12" s="279" t="s">
        <v>3462</v>
      </c>
    </row>
    <row r="13" spans="1:11" ht="72" customHeight="1" x14ac:dyDescent="0.2">
      <c r="A13" s="4">
        <v>10</v>
      </c>
      <c r="B13" s="10" t="s">
        <v>957</v>
      </c>
      <c r="C13" s="229" t="s">
        <v>3508</v>
      </c>
      <c r="D13" s="229" t="s">
        <v>3509</v>
      </c>
      <c r="E13" s="229" t="s">
        <v>3510</v>
      </c>
      <c r="F13" s="4" t="s">
        <v>3505</v>
      </c>
      <c r="G13" s="4">
        <v>7</v>
      </c>
      <c r="H13" s="4" t="s">
        <v>3389</v>
      </c>
      <c r="I13" s="5" t="s">
        <v>3511</v>
      </c>
      <c r="J13" s="281" t="s">
        <v>3512</v>
      </c>
      <c r="K13" s="280" t="s">
        <v>3462</v>
      </c>
    </row>
    <row r="14" spans="1:11" ht="72" customHeight="1" x14ac:dyDescent="0.2">
      <c r="A14" s="2">
        <v>11</v>
      </c>
      <c r="B14" s="9" t="s">
        <v>3513</v>
      </c>
      <c r="C14" s="228" t="s">
        <v>3514</v>
      </c>
      <c r="D14" s="228" t="s">
        <v>3515</v>
      </c>
      <c r="E14" s="228" t="s">
        <v>3516</v>
      </c>
      <c r="F14" s="2" t="s">
        <v>3505</v>
      </c>
      <c r="G14" s="2">
        <v>8</v>
      </c>
      <c r="H14" s="2" t="s">
        <v>3371</v>
      </c>
      <c r="I14" s="3" t="s">
        <v>1512</v>
      </c>
      <c r="J14" s="186" t="s">
        <v>3517</v>
      </c>
      <c r="K14" s="279" t="s">
        <v>3462</v>
      </c>
    </row>
    <row r="15" spans="1:11" ht="72" customHeight="1" x14ac:dyDescent="0.2">
      <c r="A15" s="4">
        <v>12</v>
      </c>
      <c r="B15" s="10" t="s">
        <v>3518</v>
      </c>
      <c r="C15" s="229" t="s">
        <v>3519</v>
      </c>
      <c r="D15" s="229" t="s">
        <v>3520</v>
      </c>
      <c r="E15" s="229" t="s">
        <v>3521</v>
      </c>
      <c r="F15" s="4" t="s">
        <v>3522</v>
      </c>
      <c r="G15" s="4">
        <v>7</v>
      </c>
      <c r="H15" s="4" t="s">
        <v>3389</v>
      </c>
      <c r="I15" s="5" t="s">
        <v>3523</v>
      </c>
      <c r="J15" s="281" t="s">
        <v>3524</v>
      </c>
      <c r="K15" s="280" t="s">
        <v>3462</v>
      </c>
    </row>
    <row r="16" spans="1:11" ht="72" customHeight="1" x14ac:dyDescent="0.2">
      <c r="A16" s="2">
        <v>13</v>
      </c>
      <c r="B16" s="9" t="s">
        <v>3525</v>
      </c>
      <c r="C16" s="228" t="s">
        <v>3526</v>
      </c>
      <c r="D16" s="228" t="s">
        <v>3527</v>
      </c>
      <c r="E16" s="228" t="s">
        <v>3528</v>
      </c>
      <c r="F16" s="2" t="s">
        <v>3466</v>
      </c>
      <c r="G16" s="2">
        <v>10</v>
      </c>
      <c r="H16" s="2" t="s">
        <v>3380</v>
      </c>
      <c r="I16" s="3" t="s">
        <v>3529</v>
      </c>
      <c r="J16" s="186" t="s">
        <v>3530</v>
      </c>
      <c r="K16" s="279" t="s">
        <v>3462</v>
      </c>
    </row>
    <row r="17" spans="1:11" ht="72" customHeight="1" x14ac:dyDescent="0.2">
      <c r="A17" s="4">
        <v>14</v>
      </c>
      <c r="B17" s="10" t="s">
        <v>3531</v>
      </c>
      <c r="C17" s="229" t="s">
        <v>3532</v>
      </c>
      <c r="D17" s="229" t="s">
        <v>3533</v>
      </c>
      <c r="E17" s="229" t="s">
        <v>3534</v>
      </c>
      <c r="F17" s="4" t="s">
        <v>3505</v>
      </c>
      <c r="G17" s="4">
        <v>10</v>
      </c>
      <c r="H17" s="4" t="s">
        <v>3380</v>
      </c>
      <c r="I17" s="5" t="s">
        <v>3535</v>
      </c>
      <c r="J17" s="281" t="s">
        <v>3536</v>
      </c>
      <c r="K17" s="280" t="s">
        <v>3462</v>
      </c>
    </row>
    <row r="18" spans="1:11" ht="72" customHeight="1" x14ac:dyDescent="0.2">
      <c r="A18" s="2">
        <v>15</v>
      </c>
      <c r="B18" s="9" t="s">
        <v>300</v>
      </c>
      <c r="C18" s="228" t="s">
        <v>3537</v>
      </c>
      <c r="D18" s="228" t="s">
        <v>3538</v>
      </c>
      <c r="E18" s="228" t="s">
        <v>3539</v>
      </c>
      <c r="F18" s="2" t="s">
        <v>3505</v>
      </c>
      <c r="G18" s="2">
        <v>9</v>
      </c>
      <c r="H18" s="2" t="s">
        <v>3380</v>
      </c>
      <c r="I18" s="3" t="s">
        <v>3540</v>
      </c>
      <c r="J18" s="186" t="s">
        <v>3541</v>
      </c>
      <c r="K18" s="279" t="s">
        <v>3462</v>
      </c>
    </row>
    <row r="19" spans="1:11" ht="72" customHeight="1" x14ac:dyDescent="0.2">
      <c r="A19" s="4">
        <v>16</v>
      </c>
      <c r="B19" s="10" t="s">
        <v>3091</v>
      </c>
      <c r="C19" s="229" t="s">
        <v>3542</v>
      </c>
      <c r="D19" s="229" t="s">
        <v>3543</v>
      </c>
      <c r="E19" s="229" t="s">
        <v>3544</v>
      </c>
      <c r="F19" s="4" t="s">
        <v>3505</v>
      </c>
      <c r="G19" s="4">
        <v>9</v>
      </c>
      <c r="H19" s="4" t="s">
        <v>3380</v>
      </c>
      <c r="I19" s="5" t="s">
        <v>3545</v>
      </c>
      <c r="J19" s="281" t="s">
        <v>3546</v>
      </c>
      <c r="K19" s="280" t="s">
        <v>3462</v>
      </c>
    </row>
    <row r="20" spans="1:11" ht="72" customHeight="1" x14ac:dyDescent="0.2">
      <c r="A20" s="2">
        <v>17</v>
      </c>
      <c r="B20" s="9" t="s">
        <v>3547</v>
      </c>
      <c r="C20" s="228" t="s">
        <v>3548</v>
      </c>
      <c r="D20" s="228" t="s">
        <v>3549</v>
      </c>
      <c r="E20" s="228" t="s">
        <v>3550</v>
      </c>
      <c r="F20" s="2" t="s">
        <v>3505</v>
      </c>
      <c r="G20" s="2">
        <v>6</v>
      </c>
      <c r="H20" s="2" t="s">
        <v>3389</v>
      </c>
      <c r="I20" s="3" t="s">
        <v>3551</v>
      </c>
      <c r="J20" s="186" t="s">
        <v>3552</v>
      </c>
      <c r="K20" s="279" t="s">
        <v>3462</v>
      </c>
    </row>
    <row r="21" spans="1:11" ht="72" customHeight="1" x14ac:dyDescent="0.2">
      <c r="A21" s="4">
        <v>18</v>
      </c>
      <c r="B21" s="10" t="s">
        <v>666</v>
      </c>
      <c r="C21" s="229" t="s">
        <v>3553</v>
      </c>
      <c r="D21" s="229" t="s">
        <v>3554</v>
      </c>
      <c r="E21" s="229" t="s">
        <v>3555</v>
      </c>
      <c r="F21" s="4" t="s">
        <v>3459</v>
      </c>
      <c r="G21" s="4">
        <v>7</v>
      </c>
      <c r="H21" s="4" t="s">
        <v>3389</v>
      </c>
      <c r="I21" s="5" t="s">
        <v>666</v>
      </c>
      <c r="J21" s="281" t="s">
        <v>3556</v>
      </c>
      <c r="K21" s="280" t="s">
        <v>3462</v>
      </c>
    </row>
    <row r="22" spans="1:11" ht="72" customHeight="1" x14ac:dyDescent="0.2">
      <c r="A22" s="2">
        <v>19</v>
      </c>
      <c r="B22" s="9" t="s">
        <v>3557</v>
      </c>
      <c r="C22" s="228" t="s">
        <v>3558</v>
      </c>
      <c r="D22" s="228" t="s">
        <v>3559</v>
      </c>
      <c r="E22" s="228" t="s">
        <v>3560</v>
      </c>
      <c r="F22" s="2" t="s">
        <v>3459</v>
      </c>
      <c r="G22" s="2">
        <v>8</v>
      </c>
      <c r="H22" s="2" t="s">
        <v>3397</v>
      </c>
      <c r="I22" s="3" t="s">
        <v>3561</v>
      </c>
      <c r="J22" s="186" t="s">
        <v>3562</v>
      </c>
      <c r="K22" s="279" t="s">
        <v>3462</v>
      </c>
    </row>
    <row r="23" spans="1:11" ht="72" customHeight="1" x14ac:dyDescent="0.2">
      <c r="A23" s="4">
        <v>20</v>
      </c>
      <c r="B23" s="10" t="s">
        <v>3563</v>
      </c>
      <c r="C23" s="229" t="s">
        <v>3564</v>
      </c>
      <c r="D23" s="229" t="s">
        <v>3565</v>
      </c>
      <c r="E23" s="229" t="s">
        <v>3566</v>
      </c>
      <c r="F23" s="4" t="s">
        <v>3522</v>
      </c>
      <c r="G23" s="4">
        <v>5</v>
      </c>
      <c r="H23" s="4" t="s">
        <v>3397</v>
      </c>
      <c r="I23" s="5" t="s">
        <v>3567</v>
      </c>
      <c r="J23" s="281" t="s">
        <v>3568</v>
      </c>
      <c r="K23" s="280" t="s">
        <v>3462</v>
      </c>
    </row>
  </sheetData>
  <mergeCells count="1">
    <mergeCell ref="A1:J2"/>
  </mergeCells>
  <dataValidations count="1">
    <dataValidation type="list" allowBlank="1" error="Pick a mastery level from the list" prompt="Select your mastery level" sqref="K4 K5 K6 K7 K8 K9 K10 K11 K12 K13 K14 K15 K16 K17 K18 K19 K20 K21 K22 K23" xr:uid="{00000000-0002-0000-0100-000000000000}">
      <formula1>"⬜ Not Started,📖 Learning,🛠️ Practiced,💪 Confident,🏆 Mastered"</formula1>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83"/>
  <sheetViews>
    <sheetView showGridLines="0" zoomScaleNormal="100" workbookViewId="0">
      <pane ySplit="3" topLeftCell="A5" activePane="bottomLeft" state="frozen"/>
      <selection pane="bottomLeft" activeCell="Q1" sqref="Q1:Q1048576"/>
    </sheetView>
  </sheetViews>
  <sheetFormatPr baseColWidth="10" defaultColWidth="8.6640625" defaultRowHeight="15" x14ac:dyDescent="0.2"/>
  <cols>
    <col min="1" max="1" width="4" customWidth="1"/>
    <col min="2" max="2" width="6" customWidth="1"/>
    <col min="3" max="3" width="40" style="52" customWidth="1"/>
    <col min="4" max="4" width="36" customWidth="1"/>
    <col min="5" max="5" width="10" customWidth="1"/>
    <col min="6" max="7" width="14" customWidth="1"/>
    <col min="8" max="8" width="12" customWidth="1"/>
    <col min="9" max="9" width="38" customWidth="1"/>
    <col min="10" max="10" width="10" customWidth="1"/>
    <col min="11" max="11" width="14" customWidth="1"/>
    <col min="12" max="12" width="40" style="52" customWidth="1"/>
    <col min="13" max="13" width="28" customWidth="1"/>
    <col min="14" max="14" width="52" style="52" customWidth="1"/>
    <col min="15" max="16" width="33.33203125" customWidth="1"/>
    <col min="17" max="17" width="86.33203125" bestFit="1" customWidth="1"/>
  </cols>
  <sheetData>
    <row r="1" spans="1:20" ht="27.75" customHeight="1" x14ac:dyDescent="0.2">
      <c r="A1" s="301" t="s">
        <v>0</v>
      </c>
      <c r="B1" s="292"/>
      <c r="C1" s="292"/>
      <c r="D1" s="292"/>
      <c r="E1" s="292"/>
      <c r="F1" s="292"/>
      <c r="G1" s="292"/>
      <c r="H1" s="292"/>
      <c r="I1" s="292"/>
      <c r="J1" s="292"/>
      <c r="K1" s="292"/>
      <c r="L1" s="292"/>
      <c r="M1" s="292"/>
      <c r="O1" s="11"/>
      <c r="P1" s="11"/>
      <c r="Q1" s="11"/>
      <c r="R1" s="11"/>
      <c r="S1" s="11"/>
      <c r="T1" s="11"/>
    </row>
    <row r="2" spans="1:20" ht="4.5" customHeight="1" x14ac:dyDescent="0.2">
      <c r="A2" s="302"/>
      <c r="B2" s="292"/>
      <c r="C2" s="292"/>
      <c r="D2" s="292"/>
      <c r="E2" s="292"/>
      <c r="F2" s="292"/>
      <c r="G2" s="292"/>
      <c r="H2" s="292"/>
      <c r="I2" s="292"/>
      <c r="J2" s="292"/>
      <c r="K2" s="292"/>
      <c r="L2" s="292"/>
      <c r="M2" s="292"/>
      <c r="O2" s="11"/>
      <c r="P2" s="11"/>
      <c r="Q2" s="11"/>
      <c r="R2" s="11"/>
      <c r="S2" s="11"/>
      <c r="T2" s="11"/>
    </row>
    <row r="3" spans="1:20" ht="31.5" customHeight="1" x14ac:dyDescent="0.2">
      <c r="A3" s="12" t="s">
        <v>1</v>
      </c>
      <c r="B3" s="12" t="s">
        <v>2</v>
      </c>
      <c r="C3" s="230" t="s">
        <v>3</v>
      </c>
      <c r="D3" s="12" t="s">
        <v>4</v>
      </c>
      <c r="E3" s="12" t="s">
        <v>5</v>
      </c>
      <c r="F3" s="12" t="s">
        <v>6</v>
      </c>
      <c r="G3" s="12" t="s">
        <v>7</v>
      </c>
      <c r="H3" s="12" t="s">
        <v>8</v>
      </c>
      <c r="I3" s="12" t="s">
        <v>9</v>
      </c>
      <c r="J3" s="12" t="s">
        <v>10</v>
      </c>
      <c r="K3" s="12" t="s">
        <v>11</v>
      </c>
      <c r="L3" s="230" t="s">
        <v>12</v>
      </c>
      <c r="M3" s="12" t="s">
        <v>13</v>
      </c>
      <c r="N3" s="230" t="s">
        <v>14</v>
      </c>
      <c r="O3" s="12" t="s">
        <v>15</v>
      </c>
      <c r="P3" s="12" t="s">
        <v>16</v>
      </c>
      <c r="Q3" s="220" t="s">
        <v>17</v>
      </c>
      <c r="R3" s="11"/>
      <c r="S3" s="11"/>
      <c r="T3" s="11"/>
    </row>
    <row r="4" spans="1:20" ht="36" customHeight="1" x14ac:dyDescent="0.2">
      <c r="A4" s="7">
        <v>1</v>
      </c>
      <c r="B4" s="7">
        <v>1</v>
      </c>
      <c r="C4" s="231" t="s">
        <v>18</v>
      </c>
      <c r="D4" s="3" t="s">
        <v>19</v>
      </c>
      <c r="E4" s="14" t="s">
        <v>20</v>
      </c>
      <c r="F4" s="7"/>
      <c r="G4" s="7"/>
      <c r="H4" s="7"/>
      <c r="I4" s="3" t="s">
        <v>21</v>
      </c>
      <c r="J4" s="7"/>
      <c r="K4" s="7"/>
      <c r="L4" s="228" t="s">
        <v>22</v>
      </c>
      <c r="M4" s="3"/>
      <c r="N4" s="228" t="s">
        <v>23</v>
      </c>
      <c r="O4" s="3" t="s">
        <v>24</v>
      </c>
      <c r="P4" s="186" t="s">
        <v>24</v>
      </c>
      <c r="Q4" s="223" t="s">
        <v>25</v>
      </c>
      <c r="R4" s="11"/>
      <c r="S4" s="11"/>
      <c r="T4" s="11"/>
    </row>
    <row r="5" spans="1:20" ht="36" customHeight="1" x14ac:dyDescent="0.2">
      <c r="A5" s="15">
        <v>2</v>
      </c>
      <c r="B5" s="15">
        <v>2</v>
      </c>
      <c r="C5" s="232" t="s">
        <v>26</v>
      </c>
      <c r="D5" s="16" t="s">
        <v>27</v>
      </c>
      <c r="E5" s="17" t="s">
        <v>28</v>
      </c>
      <c r="F5" s="15"/>
      <c r="G5" s="15"/>
      <c r="H5" s="15"/>
      <c r="I5" s="16" t="s">
        <v>29</v>
      </c>
      <c r="J5" s="15"/>
      <c r="K5" s="15"/>
      <c r="L5" s="233" t="s">
        <v>30</v>
      </c>
      <c r="M5" s="16"/>
      <c r="N5" s="233" t="s">
        <v>31</v>
      </c>
      <c r="O5" s="16" t="s">
        <v>32</v>
      </c>
      <c r="P5" s="219" t="s">
        <v>32</v>
      </c>
      <c r="Q5" s="221" t="s">
        <v>33</v>
      </c>
      <c r="R5" s="11"/>
      <c r="S5" s="11"/>
      <c r="T5" s="11"/>
    </row>
    <row r="6" spans="1:20" ht="36" customHeight="1" x14ac:dyDescent="0.2">
      <c r="A6" s="7">
        <v>3</v>
      </c>
      <c r="B6" s="7">
        <v>3</v>
      </c>
      <c r="C6" s="231" t="s">
        <v>34</v>
      </c>
      <c r="D6" s="3" t="s">
        <v>35</v>
      </c>
      <c r="E6" s="18" t="s">
        <v>28</v>
      </c>
      <c r="F6" s="7"/>
      <c r="G6" s="7"/>
      <c r="H6" s="7"/>
      <c r="I6" s="3" t="s">
        <v>36</v>
      </c>
      <c r="J6" s="7"/>
      <c r="K6" s="7"/>
      <c r="L6" s="228" t="s">
        <v>22</v>
      </c>
      <c r="M6" s="3"/>
      <c r="N6" s="228" t="s">
        <v>37</v>
      </c>
      <c r="O6" s="3" t="s">
        <v>24</v>
      </c>
      <c r="P6" s="186" t="s">
        <v>38</v>
      </c>
      <c r="Q6" s="222" t="s">
        <v>39</v>
      </c>
      <c r="R6" s="11"/>
      <c r="S6" s="11"/>
      <c r="T6" s="11"/>
    </row>
    <row r="7" spans="1:20" ht="36" customHeight="1" x14ac:dyDescent="0.2">
      <c r="A7" s="15">
        <v>4</v>
      </c>
      <c r="B7" s="15">
        <v>4</v>
      </c>
      <c r="C7" s="232" t="s">
        <v>40</v>
      </c>
      <c r="D7" s="16" t="s">
        <v>41</v>
      </c>
      <c r="E7" s="19" t="s">
        <v>42</v>
      </c>
      <c r="F7" s="15"/>
      <c r="G7" s="15"/>
      <c r="H7" s="15"/>
      <c r="I7" s="16" t="s">
        <v>43</v>
      </c>
      <c r="J7" s="15"/>
      <c r="K7" s="15"/>
      <c r="L7" s="233" t="s">
        <v>44</v>
      </c>
      <c r="M7" s="16"/>
      <c r="N7" s="233" t="s">
        <v>45</v>
      </c>
      <c r="O7" s="16" t="s">
        <v>46</v>
      </c>
      <c r="P7" s="219" t="s">
        <v>47</v>
      </c>
      <c r="Q7" s="221" t="s">
        <v>48</v>
      </c>
      <c r="R7" s="11"/>
      <c r="S7" s="11"/>
      <c r="T7" s="11"/>
    </row>
    <row r="8" spans="1:20" ht="36" customHeight="1" x14ac:dyDescent="0.2">
      <c r="A8" s="7">
        <v>5</v>
      </c>
      <c r="B8" s="7">
        <v>5</v>
      </c>
      <c r="C8" s="231" t="s">
        <v>49</v>
      </c>
      <c r="D8" s="3" t="s">
        <v>50</v>
      </c>
      <c r="E8" s="20" t="s">
        <v>28</v>
      </c>
      <c r="F8" s="7"/>
      <c r="G8" s="7"/>
      <c r="H8" s="7"/>
      <c r="I8" s="3" t="s">
        <v>51</v>
      </c>
      <c r="J8" s="7"/>
      <c r="K8" s="7"/>
      <c r="L8" s="228" t="s">
        <v>22</v>
      </c>
      <c r="M8" s="3"/>
      <c r="N8" s="228" t="s">
        <v>52</v>
      </c>
      <c r="O8" s="3" t="s">
        <v>53</v>
      </c>
      <c r="P8" s="186" t="s">
        <v>47</v>
      </c>
      <c r="Q8" s="222" t="s">
        <v>54</v>
      </c>
      <c r="R8" s="11"/>
      <c r="S8" s="11"/>
      <c r="T8" s="11"/>
    </row>
    <row r="9" spans="1:20" ht="36" customHeight="1" x14ac:dyDescent="0.2">
      <c r="A9" s="15">
        <v>6</v>
      </c>
      <c r="B9" s="15">
        <v>6</v>
      </c>
      <c r="C9" s="232" t="s">
        <v>55</v>
      </c>
      <c r="D9" s="16" t="s">
        <v>56</v>
      </c>
      <c r="E9" s="19" t="s">
        <v>28</v>
      </c>
      <c r="F9" s="15"/>
      <c r="G9" s="15"/>
      <c r="H9" s="15"/>
      <c r="I9" s="16" t="s">
        <v>57</v>
      </c>
      <c r="J9" s="15"/>
      <c r="K9" s="15"/>
      <c r="L9" s="233" t="s">
        <v>58</v>
      </c>
      <c r="M9" s="16"/>
      <c r="N9" s="233" t="s">
        <v>59</v>
      </c>
      <c r="O9" s="16" t="s">
        <v>24</v>
      </c>
      <c r="P9" s="219" t="s">
        <v>24</v>
      </c>
      <c r="Q9" s="221" t="s">
        <v>60</v>
      </c>
      <c r="R9" s="11"/>
      <c r="S9" s="11"/>
      <c r="T9" s="11"/>
    </row>
    <row r="10" spans="1:20" ht="36" customHeight="1" x14ac:dyDescent="0.2">
      <c r="A10" s="7">
        <v>7</v>
      </c>
      <c r="B10" s="7">
        <v>7</v>
      </c>
      <c r="C10" s="231" t="s">
        <v>61</v>
      </c>
      <c r="D10" s="3" t="s">
        <v>62</v>
      </c>
      <c r="E10" s="18" t="s">
        <v>28</v>
      </c>
      <c r="F10" s="7"/>
      <c r="G10" s="7"/>
      <c r="H10" s="7"/>
      <c r="I10" s="3" t="s">
        <v>63</v>
      </c>
      <c r="J10" s="7"/>
      <c r="K10" s="7"/>
      <c r="L10" s="228" t="s">
        <v>44</v>
      </c>
      <c r="M10" s="3"/>
      <c r="N10" s="228" t="s">
        <v>64</v>
      </c>
      <c r="O10" s="3" t="s">
        <v>65</v>
      </c>
      <c r="P10" s="186" t="s">
        <v>47</v>
      </c>
      <c r="Q10" s="222" t="s">
        <v>66</v>
      </c>
      <c r="R10" s="11"/>
      <c r="S10" s="11"/>
      <c r="T10" s="11"/>
    </row>
    <row r="11" spans="1:20" ht="36" customHeight="1" x14ac:dyDescent="0.2">
      <c r="A11" s="15">
        <v>8</v>
      </c>
      <c r="B11" s="15">
        <v>8</v>
      </c>
      <c r="C11" s="232" t="s">
        <v>67</v>
      </c>
      <c r="D11" s="16" t="s">
        <v>56</v>
      </c>
      <c r="E11" s="19" t="s">
        <v>28</v>
      </c>
      <c r="F11" s="15"/>
      <c r="G11" s="15"/>
      <c r="H11" s="15"/>
      <c r="I11" s="16" t="s">
        <v>68</v>
      </c>
      <c r="J11" s="15"/>
      <c r="K11" s="15"/>
      <c r="L11" s="233" t="s">
        <v>69</v>
      </c>
      <c r="M11" s="16"/>
      <c r="N11" s="233" t="s">
        <v>70</v>
      </c>
      <c r="O11" s="16" t="s">
        <v>24</v>
      </c>
      <c r="P11" s="219" t="s">
        <v>47</v>
      </c>
      <c r="Q11" s="221" t="s">
        <v>71</v>
      </c>
      <c r="R11" s="11"/>
      <c r="S11" s="11"/>
      <c r="T11" s="11"/>
    </row>
    <row r="12" spans="1:20" ht="36" customHeight="1" x14ac:dyDescent="0.2">
      <c r="A12" s="7">
        <v>9</v>
      </c>
      <c r="B12" s="7">
        <v>9</v>
      </c>
      <c r="C12" s="231" t="s">
        <v>72</v>
      </c>
      <c r="D12" s="3" t="s">
        <v>62</v>
      </c>
      <c r="E12" s="18" t="s">
        <v>20</v>
      </c>
      <c r="F12" s="7"/>
      <c r="G12" s="7"/>
      <c r="H12" s="7"/>
      <c r="I12" s="3" t="s">
        <v>73</v>
      </c>
      <c r="J12" s="7"/>
      <c r="K12" s="7"/>
      <c r="L12" s="228" t="s">
        <v>74</v>
      </c>
      <c r="M12" s="3"/>
      <c r="N12" s="228" t="s">
        <v>75</v>
      </c>
      <c r="O12" s="3" t="s">
        <v>65</v>
      </c>
      <c r="P12" s="186" t="s">
        <v>47</v>
      </c>
      <c r="Q12" s="222" t="s">
        <v>76</v>
      </c>
      <c r="R12" s="11"/>
      <c r="S12" s="11"/>
      <c r="T12" s="11"/>
    </row>
    <row r="13" spans="1:20" ht="36" customHeight="1" x14ac:dyDescent="0.2">
      <c r="A13" s="15">
        <v>10</v>
      </c>
      <c r="B13" s="15">
        <v>10</v>
      </c>
      <c r="C13" s="232" t="s">
        <v>77</v>
      </c>
      <c r="D13" s="16" t="s">
        <v>50</v>
      </c>
      <c r="E13" s="17" t="s">
        <v>42</v>
      </c>
      <c r="F13" s="15"/>
      <c r="G13" s="15"/>
      <c r="H13" s="15"/>
      <c r="I13" s="16" t="s">
        <v>78</v>
      </c>
      <c r="J13" s="15"/>
      <c r="K13" s="15"/>
      <c r="L13" s="233" t="s">
        <v>79</v>
      </c>
      <c r="M13" s="16"/>
      <c r="N13" s="233" t="s">
        <v>80</v>
      </c>
      <c r="O13" s="16" t="s">
        <v>81</v>
      </c>
      <c r="P13" s="219" t="s">
        <v>81</v>
      </c>
      <c r="Q13" s="221" t="s">
        <v>82</v>
      </c>
      <c r="R13" s="11"/>
      <c r="S13" s="11"/>
      <c r="T13" s="11"/>
    </row>
    <row r="14" spans="1:20" ht="36" customHeight="1" x14ac:dyDescent="0.2">
      <c r="A14" s="7">
        <v>11</v>
      </c>
      <c r="B14" s="7">
        <v>11</v>
      </c>
      <c r="C14" s="231" t="s">
        <v>83</v>
      </c>
      <c r="D14" s="3" t="s">
        <v>84</v>
      </c>
      <c r="E14" s="20" t="s">
        <v>28</v>
      </c>
      <c r="F14" s="7"/>
      <c r="G14" s="7"/>
      <c r="H14" s="7"/>
      <c r="I14" s="3" t="s">
        <v>85</v>
      </c>
      <c r="J14" s="7"/>
      <c r="K14" s="7"/>
      <c r="L14" s="228" t="s">
        <v>22</v>
      </c>
      <c r="M14" s="3"/>
      <c r="N14" s="228" t="s">
        <v>86</v>
      </c>
      <c r="O14" s="3" t="s">
        <v>24</v>
      </c>
      <c r="P14" s="186" t="s">
        <v>47</v>
      </c>
      <c r="Q14" s="222" t="s">
        <v>87</v>
      </c>
      <c r="R14" s="11"/>
      <c r="S14" s="11"/>
      <c r="T14" s="11"/>
    </row>
    <row r="15" spans="1:20" ht="36" customHeight="1" x14ac:dyDescent="0.2">
      <c r="A15" s="15">
        <v>12</v>
      </c>
      <c r="B15" s="15">
        <v>12</v>
      </c>
      <c r="C15" s="232" t="s">
        <v>88</v>
      </c>
      <c r="D15" s="16" t="s">
        <v>56</v>
      </c>
      <c r="E15" s="19" t="s">
        <v>28</v>
      </c>
      <c r="F15" s="15"/>
      <c r="G15" s="15"/>
      <c r="H15" s="15"/>
      <c r="I15" s="16" t="s">
        <v>89</v>
      </c>
      <c r="J15" s="15"/>
      <c r="K15" s="15"/>
      <c r="L15" s="233" t="s">
        <v>90</v>
      </c>
      <c r="M15" s="16"/>
      <c r="N15" s="233" t="s">
        <v>91</v>
      </c>
      <c r="O15" s="16" t="s">
        <v>47</v>
      </c>
      <c r="P15" s="219" t="s">
        <v>47</v>
      </c>
      <c r="Q15" s="221" t="s">
        <v>92</v>
      </c>
      <c r="R15" s="11"/>
      <c r="S15" s="11"/>
      <c r="T15" s="11"/>
    </row>
    <row r="16" spans="1:20" ht="36" customHeight="1" x14ac:dyDescent="0.2">
      <c r="A16" s="7">
        <v>13</v>
      </c>
      <c r="B16" s="7">
        <v>13</v>
      </c>
      <c r="C16" s="231" t="s">
        <v>93</v>
      </c>
      <c r="D16" s="3" t="s">
        <v>56</v>
      </c>
      <c r="E16" s="18" t="s">
        <v>20</v>
      </c>
      <c r="F16" s="7"/>
      <c r="G16" s="7"/>
      <c r="H16" s="7"/>
      <c r="I16" s="3" t="s">
        <v>94</v>
      </c>
      <c r="J16" s="7"/>
      <c r="K16" s="7"/>
      <c r="L16" s="228" t="s">
        <v>30</v>
      </c>
      <c r="M16" s="3"/>
      <c r="N16" s="228" t="s">
        <v>95</v>
      </c>
      <c r="O16" s="3" t="s">
        <v>24</v>
      </c>
      <c r="P16" s="186" t="s">
        <v>47</v>
      </c>
      <c r="Q16" s="222" t="s">
        <v>96</v>
      </c>
      <c r="R16" s="11"/>
      <c r="S16" s="11"/>
      <c r="T16" s="11"/>
    </row>
    <row r="17" spans="1:20" ht="36" customHeight="1" x14ac:dyDescent="0.2">
      <c r="A17" s="15">
        <v>14</v>
      </c>
      <c r="B17" s="15">
        <v>14</v>
      </c>
      <c r="C17" s="232" t="s">
        <v>97</v>
      </c>
      <c r="D17" s="16" t="s">
        <v>98</v>
      </c>
      <c r="E17" s="17" t="s">
        <v>20</v>
      </c>
      <c r="F17" s="15"/>
      <c r="G17" s="15"/>
      <c r="H17" s="15"/>
      <c r="I17" s="16" t="s">
        <v>99</v>
      </c>
      <c r="J17" s="15"/>
      <c r="K17" s="15"/>
      <c r="L17" s="233" t="s">
        <v>30</v>
      </c>
      <c r="M17" s="16"/>
      <c r="N17" s="233" t="s">
        <v>100</v>
      </c>
      <c r="O17" s="16" t="s">
        <v>101</v>
      </c>
      <c r="P17" s="219" t="s">
        <v>47</v>
      </c>
      <c r="Q17" s="221" t="s">
        <v>102</v>
      </c>
      <c r="R17" s="11"/>
      <c r="S17" s="11"/>
      <c r="T17" s="11"/>
    </row>
    <row r="18" spans="1:20" ht="36" customHeight="1" x14ac:dyDescent="0.2">
      <c r="A18" s="7">
        <v>15</v>
      </c>
      <c r="B18" s="7">
        <v>15</v>
      </c>
      <c r="C18" s="231" t="s">
        <v>103</v>
      </c>
      <c r="D18" s="3" t="s">
        <v>84</v>
      </c>
      <c r="E18" s="21" t="s">
        <v>28</v>
      </c>
      <c r="F18" s="7"/>
      <c r="G18" s="7"/>
      <c r="H18" s="7"/>
      <c r="I18" s="3" t="s">
        <v>104</v>
      </c>
      <c r="J18" s="7"/>
      <c r="K18" s="7"/>
      <c r="L18" s="228" t="s">
        <v>105</v>
      </c>
      <c r="M18" s="3"/>
      <c r="N18" s="228" t="s">
        <v>106</v>
      </c>
      <c r="O18" s="3" t="s">
        <v>53</v>
      </c>
      <c r="P18" s="186" t="s">
        <v>47</v>
      </c>
      <c r="Q18" s="222" t="s">
        <v>107</v>
      </c>
      <c r="R18" s="11"/>
      <c r="S18" s="11"/>
      <c r="T18" s="11"/>
    </row>
    <row r="19" spans="1:20" ht="36" customHeight="1" x14ac:dyDescent="0.2">
      <c r="A19" s="15">
        <v>16</v>
      </c>
      <c r="B19" s="15">
        <v>16</v>
      </c>
      <c r="C19" s="232" t="s">
        <v>108</v>
      </c>
      <c r="D19" s="16" t="s">
        <v>84</v>
      </c>
      <c r="E19" s="19" t="s">
        <v>28</v>
      </c>
      <c r="F19" s="15"/>
      <c r="G19" s="15"/>
      <c r="H19" s="15"/>
      <c r="I19" s="16" t="s">
        <v>109</v>
      </c>
      <c r="J19" s="15"/>
      <c r="K19" s="15"/>
      <c r="L19" s="233" t="s">
        <v>110</v>
      </c>
      <c r="M19" s="16"/>
      <c r="N19" s="233" t="s">
        <v>111</v>
      </c>
      <c r="O19" s="16" t="s">
        <v>53</v>
      </c>
      <c r="P19" s="219" t="s">
        <v>47</v>
      </c>
      <c r="Q19" s="221" t="s">
        <v>112</v>
      </c>
      <c r="R19" s="11"/>
      <c r="S19" s="11"/>
      <c r="T19" s="11"/>
    </row>
    <row r="20" spans="1:20" ht="36" customHeight="1" x14ac:dyDescent="0.2">
      <c r="A20" s="7">
        <v>17</v>
      </c>
      <c r="B20" s="7">
        <v>17</v>
      </c>
      <c r="C20" s="231" t="s">
        <v>113</v>
      </c>
      <c r="D20" s="3" t="s">
        <v>114</v>
      </c>
      <c r="E20" s="18" t="s">
        <v>28</v>
      </c>
      <c r="F20" s="7"/>
      <c r="G20" s="7"/>
      <c r="H20" s="7"/>
      <c r="I20" s="3" t="s">
        <v>115</v>
      </c>
      <c r="J20" s="7"/>
      <c r="K20" s="7"/>
      <c r="L20" s="228" t="s">
        <v>116</v>
      </c>
      <c r="M20" s="3"/>
      <c r="N20" s="228" t="s">
        <v>117</v>
      </c>
      <c r="O20" s="3" t="s">
        <v>118</v>
      </c>
      <c r="P20" s="186" t="s">
        <v>24</v>
      </c>
      <c r="Q20" s="222" t="s">
        <v>119</v>
      </c>
      <c r="R20" s="11"/>
      <c r="S20" s="11"/>
      <c r="T20" s="11"/>
    </row>
    <row r="21" spans="1:20" ht="36" customHeight="1" x14ac:dyDescent="0.2">
      <c r="A21" s="15">
        <v>18</v>
      </c>
      <c r="B21" s="15">
        <v>18</v>
      </c>
      <c r="C21" s="232" t="s">
        <v>120</v>
      </c>
      <c r="D21" s="16" t="s">
        <v>84</v>
      </c>
      <c r="E21" s="19" t="s">
        <v>28</v>
      </c>
      <c r="F21" s="15"/>
      <c r="G21" s="15"/>
      <c r="H21" s="15"/>
      <c r="I21" s="16" t="s">
        <v>121</v>
      </c>
      <c r="J21" s="15"/>
      <c r="K21" s="15"/>
      <c r="L21" s="233" t="s">
        <v>122</v>
      </c>
      <c r="M21" s="16"/>
      <c r="N21" s="233" t="s">
        <v>123</v>
      </c>
      <c r="O21" s="16" t="s">
        <v>124</v>
      </c>
      <c r="P21" s="219" t="s">
        <v>47</v>
      </c>
      <c r="Q21" s="221" t="s">
        <v>125</v>
      </c>
      <c r="R21" s="11"/>
      <c r="S21" s="11"/>
      <c r="T21" s="11"/>
    </row>
    <row r="22" spans="1:20" ht="36" customHeight="1" x14ac:dyDescent="0.2">
      <c r="A22" s="7">
        <v>19</v>
      </c>
      <c r="B22" s="7">
        <v>19</v>
      </c>
      <c r="C22" s="231" t="s">
        <v>126</v>
      </c>
      <c r="D22" s="3" t="s">
        <v>127</v>
      </c>
      <c r="E22" s="18" t="s">
        <v>28</v>
      </c>
      <c r="F22" s="7"/>
      <c r="G22" s="7"/>
      <c r="H22" s="7"/>
      <c r="I22" s="3" t="s">
        <v>128</v>
      </c>
      <c r="J22" s="7"/>
      <c r="K22" s="7"/>
      <c r="L22" s="228" t="s">
        <v>129</v>
      </c>
      <c r="M22" s="3"/>
      <c r="N22" s="228" t="s">
        <v>130</v>
      </c>
      <c r="O22" s="3" t="s">
        <v>24</v>
      </c>
      <c r="P22" s="186" t="s">
        <v>47</v>
      </c>
      <c r="Q22" s="222" t="s">
        <v>131</v>
      </c>
      <c r="R22" s="11"/>
      <c r="S22" s="11"/>
      <c r="T22" s="11"/>
    </row>
    <row r="23" spans="1:20" ht="36" customHeight="1" x14ac:dyDescent="0.2">
      <c r="A23" s="15">
        <v>20</v>
      </c>
      <c r="B23" s="15">
        <v>20</v>
      </c>
      <c r="C23" s="232" t="s">
        <v>132</v>
      </c>
      <c r="D23" s="16" t="s">
        <v>133</v>
      </c>
      <c r="E23" s="19" t="s">
        <v>20</v>
      </c>
      <c r="F23" s="15"/>
      <c r="G23" s="15"/>
      <c r="H23" s="15"/>
      <c r="I23" s="16" t="s">
        <v>134</v>
      </c>
      <c r="J23" s="15"/>
      <c r="K23" s="15"/>
      <c r="L23" s="233" t="s">
        <v>22</v>
      </c>
      <c r="M23" s="16"/>
      <c r="N23" s="233" t="s">
        <v>135</v>
      </c>
      <c r="O23" s="16" t="s">
        <v>24</v>
      </c>
      <c r="P23" s="219" t="s">
        <v>24</v>
      </c>
      <c r="Q23" s="221" t="s">
        <v>136</v>
      </c>
      <c r="R23" s="11"/>
      <c r="S23" s="11"/>
      <c r="T23" s="11"/>
    </row>
    <row r="24" spans="1:20" ht="36" customHeight="1" x14ac:dyDescent="0.2">
      <c r="A24" s="7">
        <v>21</v>
      </c>
      <c r="B24" s="7">
        <v>21</v>
      </c>
      <c r="C24" s="231" t="s">
        <v>137</v>
      </c>
      <c r="D24" s="3" t="s">
        <v>127</v>
      </c>
      <c r="E24" s="21" t="s">
        <v>20</v>
      </c>
      <c r="F24" s="7"/>
      <c r="G24" s="7"/>
      <c r="H24" s="7"/>
      <c r="I24" s="3" t="s">
        <v>138</v>
      </c>
      <c r="J24" s="7"/>
      <c r="K24" s="7"/>
      <c r="L24" s="228" t="s">
        <v>105</v>
      </c>
      <c r="M24" s="3"/>
      <c r="N24" s="228" t="s">
        <v>139</v>
      </c>
      <c r="O24" s="3" t="s">
        <v>140</v>
      </c>
      <c r="P24" s="186" t="s">
        <v>141</v>
      </c>
      <c r="Q24" s="222" t="s">
        <v>142</v>
      </c>
      <c r="R24" s="11"/>
      <c r="S24" s="11"/>
      <c r="T24" s="11"/>
    </row>
    <row r="25" spans="1:20" ht="36" customHeight="1" x14ac:dyDescent="0.2">
      <c r="A25" s="15">
        <v>22</v>
      </c>
      <c r="B25" s="15">
        <v>22</v>
      </c>
      <c r="C25" s="232" t="s">
        <v>143</v>
      </c>
      <c r="D25" s="16" t="s">
        <v>114</v>
      </c>
      <c r="E25" s="17" t="s">
        <v>28</v>
      </c>
      <c r="F25" s="15"/>
      <c r="G25" s="15"/>
      <c r="H25" s="15"/>
      <c r="I25" s="16" t="s">
        <v>144</v>
      </c>
      <c r="J25" s="15"/>
      <c r="K25" s="15"/>
      <c r="L25" s="233" t="s">
        <v>44</v>
      </c>
      <c r="M25" s="16"/>
      <c r="N25" s="233" t="s">
        <v>145</v>
      </c>
      <c r="O25" s="16" t="s">
        <v>146</v>
      </c>
      <c r="P25" s="219" t="s">
        <v>24</v>
      </c>
      <c r="Q25" s="221" t="s">
        <v>147</v>
      </c>
      <c r="R25" s="11"/>
      <c r="S25" s="11"/>
      <c r="T25" s="11"/>
    </row>
    <row r="26" spans="1:20" ht="36" customHeight="1" x14ac:dyDescent="0.2">
      <c r="A26" s="7">
        <v>23</v>
      </c>
      <c r="B26" s="7">
        <v>23</v>
      </c>
      <c r="C26" s="231" t="s">
        <v>148</v>
      </c>
      <c r="D26" s="3" t="s">
        <v>149</v>
      </c>
      <c r="E26" s="18" t="s">
        <v>42</v>
      </c>
      <c r="F26" s="7"/>
      <c r="G26" s="7"/>
      <c r="H26" s="7"/>
      <c r="I26" s="3" t="s">
        <v>150</v>
      </c>
      <c r="J26" s="7"/>
      <c r="K26" s="7"/>
      <c r="L26" s="228" t="s">
        <v>22</v>
      </c>
      <c r="M26" s="3"/>
      <c r="N26" s="228" t="s">
        <v>151</v>
      </c>
      <c r="O26" s="3" t="s">
        <v>152</v>
      </c>
      <c r="P26" s="186" t="s">
        <v>153</v>
      </c>
      <c r="Q26" s="222" t="s">
        <v>154</v>
      </c>
      <c r="R26" s="11"/>
      <c r="S26" s="11"/>
      <c r="T26" s="11"/>
    </row>
    <row r="27" spans="1:20" ht="36" customHeight="1" x14ac:dyDescent="0.2">
      <c r="A27" s="15">
        <v>24</v>
      </c>
      <c r="B27" s="15">
        <v>24</v>
      </c>
      <c r="C27" s="232" t="s">
        <v>155</v>
      </c>
      <c r="D27" s="16" t="s">
        <v>127</v>
      </c>
      <c r="E27" s="22" t="s">
        <v>28</v>
      </c>
      <c r="F27" s="15"/>
      <c r="G27" s="15"/>
      <c r="H27" s="15"/>
      <c r="I27" s="16" t="s">
        <v>156</v>
      </c>
      <c r="J27" s="15"/>
      <c r="K27" s="15"/>
      <c r="L27" s="233" t="s">
        <v>157</v>
      </c>
      <c r="M27" s="16"/>
      <c r="N27" s="233" t="s">
        <v>158</v>
      </c>
      <c r="O27" s="16" t="s">
        <v>24</v>
      </c>
      <c r="P27" s="219" t="s">
        <v>47</v>
      </c>
      <c r="Q27" s="221" t="s">
        <v>159</v>
      </c>
      <c r="R27" s="11"/>
      <c r="S27" s="11"/>
      <c r="T27" s="11"/>
    </row>
    <row r="28" spans="1:20" ht="36" customHeight="1" x14ac:dyDescent="0.2">
      <c r="A28" s="7">
        <v>25</v>
      </c>
      <c r="B28" s="7">
        <v>25</v>
      </c>
      <c r="C28" s="231" t="s">
        <v>160</v>
      </c>
      <c r="D28" s="3" t="s">
        <v>127</v>
      </c>
      <c r="E28" s="18" t="s">
        <v>42</v>
      </c>
      <c r="F28" s="7"/>
      <c r="G28" s="7"/>
      <c r="H28" s="7"/>
      <c r="I28" s="3" t="s">
        <v>161</v>
      </c>
      <c r="J28" s="7"/>
      <c r="K28" s="7"/>
      <c r="L28" s="228" t="s">
        <v>162</v>
      </c>
      <c r="M28" s="3"/>
      <c r="N28" s="228" t="s">
        <v>163</v>
      </c>
      <c r="O28" s="3" t="s">
        <v>24</v>
      </c>
      <c r="P28" s="186" t="s">
        <v>47</v>
      </c>
      <c r="Q28" s="222" t="s">
        <v>164</v>
      </c>
      <c r="R28" s="11"/>
      <c r="S28" s="11"/>
      <c r="T28" s="11"/>
    </row>
    <row r="29" spans="1:20" ht="36" customHeight="1" x14ac:dyDescent="0.2">
      <c r="A29" s="15">
        <v>26</v>
      </c>
      <c r="B29" s="15">
        <v>26</v>
      </c>
      <c r="C29" s="232" t="s">
        <v>165</v>
      </c>
      <c r="D29" s="16" t="s">
        <v>166</v>
      </c>
      <c r="E29" s="22" t="s">
        <v>20</v>
      </c>
      <c r="F29" s="15"/>
      <c r="G29" s="15"/>
      <c r="H29" s="15"/>
      <c r="I29" s="16" t="s">
        <v>167</v>
      </c>
      <c r="J29" s="15"/>
      <c r="K29" s="15"/>
      <c r="L29" s="233" t="s">
        <v>168</v>
      </c>
      <c r="M29" s="16"/>
      <c r="N29" s="233" t="s">
        <v>169</v>
      </c>
      <c r="O29" s="16" t="s">
        <v>24</v>
      </c>
      <c r="P29" s="219" t="s">
        <v>47</v>
      </c>
      <c r="Q29" s="221" t="s">
        <v>170</v>
      </c>
      <c r="R29" s="11"/>
      <c r="S29" s="11"/>
      <c r="T29" s="11"/>
    </row>
    <row r="30" spans="1:20" ht="36" customHeight="1" x14ac:dyDescent="0.2">
      <c r="A30" s="7">
        <v>27</v>
      </c>
      <c r="B30" s="7">
        <v>27</v>
      </c>
      <c r="C30" s="231" t="s">
        <v>171</v>
      </c>
      <c r="D30" s="3" t="s">
        <v>166</v>
      </c>
      <c r="E30" s="21" t="s">
        <v>20</v>
      </c>
      <c r="F30" s="7"/>
      <c r="G30" s="7"/>
      <c r="H30" s="7"/>
      <c r="I30" s="3" t="s">
        <v>172</v>
      </c>
      <c r="J30" s="7"/>
      <c r="K30" s="7"/>
      <c r="L30" s="228" t="s">
        <v>168</v>
      </c>
      <c r="M30" s="3"/>
      <c r="N30" s="228" t="s">
        <v>173</v>
      </c>
      <c r="O30" s="3" t="s">
        <v>24</v>
      </c>
      <c r="P30" s="186" t="s">
        <v>47</v>
      </c>
      <c r="Q30" s="222" t="s">
        <v>174</v>
      </c>
      <c r="R30" s="11"/>
      <c r="S30" s="11"/>
      <c r="T30" s="11"/>
    </row>
    <row r="31" spans="1:20" ht="36" customHeight="1" x14ac:dyDescent="0.2">
      <c r="A31" s="15">
        <v>28</v>
      </c>
      <c r="B31" s="15">
        <v>28</v>
      </c>
      <c r="C31" s="232" t="s">
        <v>175</v>
      </c>
      <c r="D31" s="16" t="s">
        <v>98</v>
      </c>
      <c r="E31" s="17" t="s">
        <v>20</v>
      </c>
      <c r="F31" s="15"/>
      <c r="G31" s="15"/>
      <c r="H31" s="15"/>
      <c r="I31" s="16" t="s">
        <v>176</v>
      </c>
      <c r="J31" s="15"/>
      <c r="K31" s="15"/>
      <c r="L31" s="233" t="s">
        <v>122</v>
      </c>
      <c r="M31" s="16"/>
      <c r="N31" s="233" t="s">
        <v>177</v>
      </c>
      <c r="O31" s="16" t="s">
        <v>178</v>
      </c>
      <c r="P31" s="219" t="s">
        <v>47</v>
      </c>
      <c r="Q31" s="221" t="s">
        <v>179</v>
      </c>
      <c r="R31" s="11"/>
      <c r="S31" s="11"/>
      <c r="T31" s="11"/>
    </row>
    <row r="32" spans="1:20" ht="36" customHeight="1" x14ac:dyDescent="0.2">
      <c r="A32" s="7">
        <v>29</v>
      </c>
      <c r="B32" s="7">
        <v>29</v>
      </c>
      <c r="C32" s="231" t="s">
        <v>180</v>
      </c>
      <c r="D32" s="3" t="s">
        <v>181</v>
      </c>
      <c r="E32" s="21" t="s">
        <v>28</v>
      </c>
      <c r="F32" s="7"/>
      <c r="G32" s="7"/>
      <c r="H32" s="7"/>
      <c r="I32" s="3" t="s">
        <v>182</v>
      </c>
      <c r="J32" s="7"/>
      <c r="K32" s="7"/>
      <c r="L32" s="228" t="s">
        <v>183</v>
      </c>
      <c r="M32" s="3"/>
      <c r="N32" s="228" t="s">
        <v>184</v>
      </c>
      <c r="O32" s="3" t="s">
        <v>65</v>
      </c>
      <c r="P32" s="186" t="s">
        <v>47</v>
      </c>
      <c r="Q32" s="222" t="s">
        <v>185</v>
      </c>
      <c r="R32" s="11"/>
      <c r="S32" s="11"/>
      <c r="T32" s="11"/>
    </row>
    <row r="33" spans="1:20" ht="36" customHeight="1" x14ac:dyDescent="0.2">
      <c r="A33" s="15">
        <v>30</v>
      </c>
      <c r="B33" s="15">
        <v>30</v>
      </c>
      <c r="C33" s="232" t="s">
        <v>186</v>
      </c>
      <c r="D33" s="16" t="s">
        <v>35</v>
      </c>
      <c r="E33" s="19" t="s">
        <v>42</v>
      </c>
      <c r="F33" s="15"/>
      <c r="G33" s="15"/>
      <c r="H33" s="15"/>
      <c r="I33" s="16" t="s">
        <v>187</v>
      </c>
      <c r="J33" s="15"/>
      <c r="K33" s="15"/>
      <c r="L33" s="233" t="s">
        <v>188</v>
      </c>
      <c r="M33" s="16"/>
      <c r="N33" s="233" t="s">
        <v>189</v>
      </c>
      <c r="O33" s="16" t="s">
        <v>190</v>
      </c>
      <c r="P33" s="219" t="s">
        <v>153</v>
      </c>
      <c r="Q33" s="221" t="s">
        <v>191</v>
      </c>
      <c r="R33" s="11"/>
      <c r="S33" s="11"/>
      <c r="T33" s="11"/>
    </row>
    <row r="34" spans="1:20" ht="36" customHeight="1" x14ac:dyDescent="0.2">
      <c r="A34" s="7">
        <v>31</v>
      </c>
      <c r="B34" s="7">
        <v>31</v>
      </c>
      <c r="C34" s="231" t="s">
        <v>192</v>
      </c>
      <c r="D34" s="3" t="s">
        <v>84</v>
      </c>
      <c r="E34" s="20" t="s">
        <v>28</v>
      </c>
      <c r="F34" s="7"/>
      <c r="G34" s="7"/>
      <c r="H34" s="7"/>
      <c r="I34" s="3" t="s">
        <v>193</v>
      </c>
      <c r="J34" s="7"/>
      <c r="K34" s="7"/>
      <c r="L34" s="228" t="s">
        <v>194</v>
      </c>
      <c r="M34" s="3"/>
      <c r="N34" s="228" t="s">
        <v>195</v>
      </c>
      <c r="O34" s="3" t="s">
        <v>24</v>
      </c>
      <c r="P34" s="186" t="s">
        <v>47</v>
      </c>
      <c r="Q34" s="222" t="s">
        <v>196</v>
      </c>
      <c r="R34" s="11"/>
      <c r="S34" s="11"/>
      <c r="T34" s="11"/>
    </row>
    <row r="35" spans="1:20" ht="36" customHeight="1" x14ac:dyDescent="0.2">
      <c r="A35" s="15">
        <v>32</v>
      </c>
      <c r="B35" s="15">
        <v>32</v>
      </c>
      <c r="C35" s="232" t="s">
        <v>197</v>
      </c>
      <c r="D35" s="16" t="s">
        <v>198</v>
      </c>
      <c r="E35" s="19" t="s">
        <v>42</v>
      </c>
      <c r="F35" s="15"/>
      <c r="G35" s="15"/>
      <c r="H35" s="15"/>
      <c r="I35" s="16" t="s">
        <v>199</v>
      </c>
      <c r="J35" s="15"/>
      <c r="K35" s="15"/>
      <c r="L35" s="233" t="s">
        <v>194</v>
      </c>
      <c r="M35" s="16"/>
      <c r="N35" s="233" t="s">
        <v>200</v>
      </c>
      <c r="O35" s="16" t="s">
        <v>24</v>
      </c>
      <c r="P35" s="219" t="s">
        <v>24</v>
      </c>
      <c r="Q35" s="221" t="s">
        <v>201</v>
      </c>
      <c r="R35" s="11"/>
      <c r="S35" s="11"/>
      <c r="T35" s="11"/>
    </row>
    <row r="36" spans="1:20" ht="36" customHeight="1" x14ac:dyDescent="0.2">
      <c r="A36" s="7">
        <v>33</v>
      </c>
      <c r="B36" s="7">
        <v>33</v>
      </c>
      <c r="C36" s="231" t="s">
        <v>202</v>
      </c>
      <c r="D36" s="3" t="s">
        <v>41</v>
      </c>
      <c r="E36" s="20" t="s">
        <v>28</v>
      </c>
      <c r="F36" s="7"/>
      <c r="G36" s="7"/>
      <c r="H36" s="7"/>
      <c r="I36" s="3" t="s">
        <v>203</v>
      </c>
      <c r="J36" s="7"/>
      <c r="K36" s="7"/>
      <c r="L36" s="228" t="s">
        <v>22</v>
      </c>
      <c r="M36" s="3"/>
      <c r="N36" s="228" t="s">
        <v>204</v>
      </c>
      <c r="O36" s="3" t="s">
        <v>65</v>
      </c>
      <c r="P36" s="186" t="s">
        <v>47</v>
      </c>
      <c r="Q36" s="222" t="s">
        <v>205</v>
      </c>
      <c r="R36" s="11"/>
      <c r="S36" s="11"/>
      <c r="T36" s="11"/>
    </row>
    <row r="37" spans="1:20" ht="36" customHeight="1" x14ac:dyDescent="0.2">
      <c r="A37" s="15">
        <v>34</v>
      </c>
      <c r="B37" s="15">
        <v>34</v>
      </c>
      <c r="C37" s="232" t="s">
        <v>206</v>
      </c>
      <c r="D37" s="16" t="s">
        <v>41</v>
      </c>
      <c r="E37" s="19" t="s">
        <v>28</v>
      </c>
      <c r="F37" s="15"/>
      <c r="G37" s="15"/>
      <c r="H37" s="15"/>
      <c r="I37" s="16" t="s">
        <v>207</v>
      </c>
      <c r="J37" s="15"/>
      <c r="K37" s="15"/>
      <c r="L37" s="233" t="s">
        <v>168</v>
      </c>
      <c r="M37" s="16"/>
      <c r="N37" s="233" t="s">
        <v>208</v>
      </c>
      <c r="O37" s="16" t="s">
        <v>65</v>
      </c>
      <c r="P37" s="219" t="s">
        <v>47</v>
      </c>
      <c r="Q37" s="221" t="s">
        <v>209</v>
      </c>
      <c r="R37" s="11"/>
      <c r="S37" s="11"/>
      <c r="T37" s="11"/>
    </row>
    <row r="38" spans="1:20" ht="36" customHeight="1" x14ac:dyDescent="0.2">
      <c r="A38" s="7">
        <v>35</v>
      </c>
      <c r="B38" s="7">
        <v>35</v>
      </c>
      <c r="C38" s="231" t="s">
        <v>210</v>
      </c>
      <c r="D38" s="3" t="s">
        <v>41</v>
      </c>
      <c r="E38" s="18" t="s">
        <v>20</v>
      </c>
      <c r="F38" s="7"/>
      <c r="G38" s="7"/>
      <c r="H38" s="7"/>
      <c r="I38" s="3" t="s">
        <v>211</v>
      </c>
      <c r="J38" s="7"/>
      <c r="K38" s="7"/>
      <c r="L38" s="228" t="s">
        <v>90</v>
      </c>
      <c r="M38" s="3"/>
      <c r="N38" s="228" t="s">
        <v>212</v>
      </c>
      <c r="O38" s="3" t="s">
        <v>65</v>
      </c>
      <c r="P38" s="186" t="s">
        <v>47</v>
      </c>
      <c r="Q38" s="222" t="s">
        <v>213</v>
      </c>
      <c r="R38" s="11"/>
      <c r="S38" s="11"/>
      <c r="T38" s="11"/>
    </row>
    <row r="39" spans="1:20" ht="36" customHeight="1" x14ac:dyDescent="0.2">
      <c r="A39" s="15">
        <v>36</v>
      </c>
      <c r="B39" s="15">
        <v>36</v>
      </c>
      <c r="C39" s="232" t="s">
        <v>214</v>
      </c>
      <c r="D39" s="16" t="s">
        <v>215</v>
      </c>
      <c r="E39" s="17" t="s">
        <v>28</v>
      </c>
      <c r="F39" s="15"/>
      <c r="G39" s="15"/>
      <c r="H39" s="15"/>
      <c r="I39" s="16" t="s">
        <v>216</v>
      </c>
      <c r="J39" s="15"/>
      <c r="K39" s="15"/>
      <c r="L39" s="233" t="s">
        <v>217</v>
      </c>
      <c r="M39" s="16"/>
      <c r="N39" s="233" t="s">
        <v>218</v>
      </c>
      <c r="O39" s="16" t="s">
        <v>47</v>
      </c>
      <c r="P39" s="219" t="s">
        <v>47</v>
      </c>
      <c r="Q39" s="221" t="s">
        <v>219</v>
      </c>
      <c r="R39" s="11"/>
      <c r="S39" s="11"/>
      <c r="T39" s="11"/>
    </row>
    <row r="40" spans="1:20" ht="36" customHeight="1" x14ac:dyDescent="0.2">
      <c r="A40" s="7">
        <v>37</v>
      </c>
      <c r="B40" s="7">
        <v>37</v>
      </c>
      <c r="C40" s="231" t="s">
        <v>220</v>
      </c>
      <c r="D40" s="3" t="s">
        <v>221</v>
      </c>
      <c r="E40" s="18" t="s">
        <v>42</v>
      </c>
      <c r="F40" s="7"/>
      <c r="G40" s="7"/>
      <c r="H40" s="7"/>
      <c r="I40" s="3" t="s">
        <v>222</v>
      </c>
      <c r="J40" s="7"/>
      <c r="K40" s="7"/>
      <c r="L40" s="228" t="s">
        <v>223</v>
      </c>
      <c r="M40" s="3"/>
      <c r="N40" s="228" t="s">
        <v>224</v>
      </c>
      <c r="O40" s="3" t="s">
        <v>225</v>
      </c>
      <c r="P40" s="186" t="s">
        <v>226</v>
      </c>
      <c r="Q40" s="222" t="s">
        <v>227</v>
      </c>
      <c r="R40" s="11"/>
      <c r="S40" s="11"/>
      <c r="T40" s="11"/>
    </row>
    <row r="41" spans="1:20" ht="36" customHeight="1" x14ac:dyDescent="0.2">
      <c r="A41" s="15">
        <v>38</v>
      </c>
      <c r="B41" s="15">
        <v>38</v>
      </c>
      <c r="C41" s="232" t="s">
        <v>228</v>
      </c>
      <c r="D41" s="16" t="s">
        <v>56</v>
      </c>
      <c r="E41" s="22" t="s">
        <v>28</v>
      </c>
      <c r="F41" s="15"/>
      <c r="G41" s="15"/>
      <c r="H41" s="15"/>
      <c r="I41" s="16" t="s">
        <v>229</v>
      </c>
      <c r="J41" s="15"/>
      <c r="K41" s="15"/>
      <c r="L41" s="233" t="s">
        <v>183</v>
      </c>
      <c r="M41" s="16"/>
      <c r="N41" s="233" t="s">
        <v>230</v>
      </c>
      <c r="O41" s="16" t="s">
        <v>231</v>
      </c>
      <c r="P41" s="219" t="s">
        <v>231</v>
      </c>
      <c r="Q41" s="221" t="s">
        <v>232</v>
      </c>
      <c r="R41" s="11"/>
      <c r="S41" s="11"/>
      <c r="T41" s="11"/>
    </row>
    <row r="42" spans="1:20" ht="36" customHeight="1" x14ac:dyDescent="0.2">
      <c r="A42" s="7">
        <v>39</v>
      </c>
      <c r="B42" s="7">
        <v>39</v>
      </c>
      <c r="C42" s="231" t="s">
        <v>233</v>
      </c>
      <c r="D42" s="3" t="s">
        <v>234</v>
      </c>
      <c r="E42" s="18" t="s">
        <v>28</v>
      </c>
      <c r="F42" s="7"/>
      <c r="G42" s="7"/>
      <c r="H42" s="7"/>
      <c r="I42" s="3" t="s">
        <v>235</v>
      </c>
      <c r="J42" s="7"/>
      <c r="K42" s="7"/>
      <c r="L42" s="228" t="s">
        <v>236</v>
      </c>
      <c r="M42" s="3"/>
      <c r="N42" s="228" t="s">
        <v>237</v>
      </c>
      <c r="O42" s="3" t="s">
        <v>238</v>
      </c>
      <c r="P42" s="186" t="s">
        <v>239</v>
      </c>
      <c r="Q42" s="222" t="s">
        <v>240</v>
      </c>
      <c r="R42" s="11"/>
      <c r="S42" s="11"/>
      <c r="T42" s="11"/>
    </row>
    <row r="43" spans="1:20" ht="36" customHeight="1" x14ac:dyDescent="0.2">
      <c r="A43" s="15">
        <v>40</v>
      </c>
      <c r="B43" s="15">
        <v>40</v>
      </c>
      <c r="C43" s="232" t="s">
        <v>241</v>
      </c>
      <c r="D43" s="16" t="s">
        <v>234</v>
      </c>
      <c r="E43" s="19" t="s">
        <v>28</v>
      </c>
      <c r="F43" s="15"/>
      <c r="G43" s="15"/>
      <c r="H43" s="15"/>
      <c r="I43" s="16" t="s">
        <v>242</v>
      </c>
      <c r="J43" s="15"/>
      <c r="K43" s="15"/>
      <c r="L43" s="233" t="s">
        <v>243</v>
      </c>
      <c r="M43" s="16"/>
      <c r="N43" s="233" t="s">
        <v>244</v>
      </c>
      <c r="O43" s="16" t="s">
        <v>231</v>
      </c>
      <c r="P43" s="219" t="s">
        <v>24</v>
      </c>
      <c r="Q43" s="221" t="s">
        <v>245</v>
      </c>
      <c r="R43" s="11"/>
      <c r="S43" s="11"/>
      <c r="T43" s="11"/>
    </row>
    <row r="44" spans="1:20" ht="36" customHeight="1" x14ac:dyDescent="0.2">
      <c r="A44" s="7">
        <v>41</v>
      </c>
      <c r="B44" s="7">
        <v>41</v>
      </c>
      <c r="C44" s="231" t="s">
        <v>246</v>
      </c>
      <c r="D44" s="3" t="s">
        <v>19</v>
      </c>
      <c r="E44" s="18" t="s">
        <v>42</v>
      </c>
      <c r="F44" s="7"/>
      <c r="G44" s="7"/>
      <c r="H44" s="7"/>
      <c r="I44" s="3" t="s">
        <v>247</v>
      </c>
      <c r="J44" s="7"/>
      <c r="K44" s="7"/>
      <c r="L44" s="228" t="s">
        <v>248</v>
      </c>
      <c r="M44" s="3"/>
      <c r="N44" s="228" t="s">
        <v>249</v>
      </c>
      <c r="O44" s="3" t="s">
        <v>24</v>
      </c>
      <c r="P44" s="186" t="s">
        <v>47</v>
      </c>
      <c r="Q44" s="222" t="s">
        <v>250</v>
      </c>
      <c r="R44" s="11"/>
      <c r="S44" s="11"/>
      <c r="T44" s="11"/>
    </row>
    <row r="45" spans="1:20" ht="36" customHeight="1" x14ac:dyDescent="0.2">
      <c r="A45" s="15">
        <v>42</v>
      </c>
      <c r="B45" s="15">
        <v>42</v>
      </c>
      <c r="C45" s="232" t="s">
        <v>251</v>
      </c>
      <c r="D45" s="16" t="s">
        <v>252</v>
      </c>
      <c r="E45" s="22" t="s">
        <v>42</v>
      </c>
      <c r="F45" s="15"/>
      <c r="G45" s="15"/>
      <c r="H45" s="15"/>
      <c r="I45" s="16" t="s">
        <v>253</v>
      </c>
      <c r="J45" s="15"/>
      <c r="K45" s="15"/>
      <c r="L45" s="233" t="s">
        <v>116</v>
      </c>
      <c r="M45" s="16"/>
      <c r="N45" s="233" t="s">
        <v>254</v>
      </c>
      <c r="O45" s="16" t="s">
        <v>24</v>
      </c>
      <c r="P45" s="219" t="s">
        <v>47</v>
      </c>
      <c r="Q45" s="221" t="s">
        <v>255</v>
      </c>
      <c r="R45" s="11"/>
      <c r="S45" s="11"/>
      <c r="T45" s="11"/>
    </row>
    <row r="46" spans="1:20" ht="36" customHeight="1" x14ac:dyDescent="0.2">
      <c r="A46" s="7">
        <v>43</v>
      </c>
      <c r="B46" s="7">
        <v>43</v>
      </c>
      <c r="C46" s="231" t="s">
        <v>256</v>
      </c>
      <c r="D46" s="3" t="s">
        <v>56</v>
      </c>
      <c r="E46" s="20" t="s">
        <v>28</v>
      </c>
      <c r="F46" s="7"/>
      <c r="G46" s="7"/>
      <c r="H46" s="7"/>
      <c r="I46" s="3" t="s">
        <v>257</v>
      </c>
      <c r="J46" s="7"/>
      <c r="K46" s="7"/>
      <c r="L46" s="228" t="s">
        <v>183</v>
      </c>
      <c r="M46" s="3"/>
      <c r="N46" s="228" t="s">
        <v>258</v>
      </c>
      <c r="O46" s="3" t="s">
        <v>81</v>
      </c>
      <c r="P46" s="186" t="s">
        <v>259</v>
      </c>
      <c r="Q46" s="222" t="s">
        <v>260</v>
      </c>
      <c r="R46" s="11"/>
      <c r="S46" s="11"/>
      <c r="T46" s="11"/>
    </row>
    <row r="47" spans="1:20" ht="36" customHeight="1" x14ac:dyDescent="0.2">
      <c r="A47" s="15">
        <v>44</v>
      </c>
      <c r="B47" s="15">
        <v>44</v>
      </c>
      <c r="C47" s="232" t="s">
        <v>261</v>
      </c>
      <c r="D47" s="16" t="s">
        <v>50</v>
      </c>
      <c r="E47" s="19" t="s">
        <v>42</v>
      </c>
      <c r="F47" s="15"/>
      <c r="G47" s="15"/>
      <c r="H47" s="15"/>
      <c r="I47" s="16" t="s">
        <v>262</v>
      </c>
      <c r="J47" s="15"/>
      <c r="K47" s="15"/>
      <c r="L47" s="233" t="s">
        <v>263</v>
      </c>
      <c r="M47" s="16"/>
      <c r="N47" s="233" t="s">
        <v>264</v>
      </c>
      <c r="O47" s="16" t="s">
        <v>81</v>
      </c>
      <c r="P47" s="219" t="s">
        <v>81</v>
      </c>
      <c r="Q47" s="221" t="s">
        <v>265</v>
      </c>
      <c r="R47" s="11"/>
      <c r="S47" s="11"/>
      <c r="T47" s="11"/>
    </row>
    <row r="48" spans="1:20" ht="36" customHeight="1" x14ac:dyDescent="0.2">
      <c r="A48" s="7">
        <v>45</v>
      </c>
      <c r="B48" s="7">
        <v>45</v>
      </c>
      <c r="C48" s="231" t="s">
        <v>266</v>
      </c>
      <c r="D48" s="3" t="s">
        <v>267</v>
      </c>
      <c r="E48" s="20" t="s">
        <v>28</v>
      </c>
      <c r="F48" s="7"/>
      <c r="G48" s="7"/>
      <c r="H48" s="7"/>
      <c r="I48" s="3" t="s">
        <v>268</v>
      </c>
      <c r="J48" s="7"/>
      <c r="K48" s="7"/>
      <c r="L48" s="228" t="s">
        <v>269</v>
      </c>
      <c r="M48" s="3"/>
      <c r="N48" s="228" t="s">
        <v>270</v>
      </c>
      <c r="O48" s="3" t="s">
        <v>24</v>
      </c>
      <c r="P48" s="186" t="s">
        <v>47</v>
      </c>
      <c r="Q48" s="222" t="s">
        <v>271</v>
      </c>
      <c r="R48" s="11"/>
      <c r="S48" s="11"/>
      <c r="T48" s="11"/>
    </row>
    <row r="49" spans="1:20" ht="36" customHeight="1" x14ac:dyDescent="0.2">
      <c r="A49" s="15">
        <v>46</v>
      </c>
      <c r="B49" s="15">
        <v>46</v>
      </c>
      <c r="C49" s="232" t="s">
        <v>272</v>
      </c>
      <c r="D49" s="16" t="s">
        <v>234</v>
      </c>
      <c r="E49" s="19" t="s">
        <v>28</v>
      </c>
      <c r="F49" s="15"/>
      <c r="G49" s="15"/>
      <c r="H49" s="15"/>
      <c r="I49" s="16" t="s">
        <v>273</v>
      </c>
      <c r="J49" s="15"/>
      <c r="K49" s="15"/>
      <c r="L49" s="233" t="s">
        <v>116</v>
      </c>
      <c r="M49" s="16"/>
      <c r="N49" s="233" t="s">
        <v>274</v>
      </c>
      <c r="O49" s="16" t="s">
        <v>275</v>
      </c>
      <c r="P49" s="219" t="s">
        <v>24</v>
      </c>
      <c r="Q49" s="221" t="s">
        <v>276</v>
      </c>
      <c r="R49" s="11"/>
      <c r="S49" s="11"/>
      <c r="T49" s="11"/>
    </row>
    <row r="50" spans="1:20" ht="36" customHeight="1" x14ac:dyDescent="0.2">
      <c r="A50" s="7">
        <v>47</v>
      </c>
      <c r="B50" s="7">
        <v>47</v>
      </c>
      <c r="C50" s="231" t="s">
        <v>277</v>
      </c>
      <c r="D50" s="3" t="s">
        <v>234</v>
      </c>
      <c r="E50" s="18" t="s">
        <v>28</v>
      </c>
      <c r="F50" s="7"/>
      <c r="G50" s="7"/>
      <c r="H50" s="7"/>
      <c r="I50" s="3" t="s">
        <v>278</v>
      </c>
      <c r="J50" s="7"/>
      <c r="K50" s="7"/>
      <c r="L50" s="228" t="s">
        <v>279</v>
      </c>
      <c r="M50" s="3"/>
      <c r="N50" s="228" t="s">
        <v>280</v>
      </c>
      <c r="O50" s="3" t="s">
        <v>275</v>
      </c>
      <c r="P50" s="186" t="s">
        <v>24</v>
      </c>
      <c r="Q50" s="222" t="s">
        <v>281</v>
      </c>
      <c r="R50" s="11"/>
      <c r="S50" s="11"/>
      <c r="T50" s="11"/>
    </row>
    <row r="51" spans="1:20" ht="36" customHeight="1" x14ac:dyDescent="0.2">
      <c r="A51" s="15">
        <v>48</v>
      </c>
      <c r="B51" s="15">
        <v>48</v>
      </c>
      <c r="C51" s="232" t="s">
        <v>282</v>
      </c>
      <c r="D51" s="16" t="s">
        <v>283</v>
      </c>
      <c r="E51" s="19" t="s">
        <v>28</v>
      </c>
      <c r="F51" s="15"/>
      <c r="G51" s="15"/>
      <c r="H51" s="15"/>
      <c r="I51" s="16" t="s">
        <v>284</v>
      </c>
      <c r="J51" s="15"/>
      <c r="K51" s="15"/>
      <c r="L51" s="233" t="s">
        <v>285</v>
      </c>
      <c r="M51" s="16"/>
      <c r="N51" s="233" t="s">
        <v>286</v>
      </c>
      <c r="O51" s="16" t="s">
        <v>53</v>
      </c>
      <c r="P51" s="219" t="s">
        <v>47</v>
      </c>
      <c r="Q51" s="221" t="s">
        <v>287</v>
      </c>
      <c r="R51" s="11"/>
      <c r="S51" s="11"/>
      <c r="T51" s="11"/>
    </row>
    <row r="52" spans="1:20" ht="36" customHeight="1" x14ac:dyDescent="0.2">
      <c r="A52" s="7">
        <v>49</v>
      </c>
      <c r="B52" s="7">
        <v>49</v>
      </c>
      <c r="C52" s="231" t="s">
        <v>288</v>
      </c>
      <c r="D52" s="3" t="s">
        <v>289</v>
      </c>
      <c r="E52" s="18" t="s">
        <v>28</v>
      </c>
      <c r="F52" s="7"/>
      <c r="G52" s="7"/>
      <c r="H52" s="7"/>
      <c r="I52" s="3" t="s">
        <v>290</v>
      </c>
      <c r="J52" s="7"/>
      <c r="K52" s="7"/>
      <c r="L52" s="228" t="s">
        <v>285</v>
      </c>
      <c r="M52" s="3"/>
      <c r="N52" s="228" t="s">
        <v>291</v>
      </c>
      <c r="O52" s="3" t="s">
        <v>292</v>
      </c>
      <c r="P52" s="186" t="s">
        <v>292</v>
      </c>
      <c r="Q52" s="222" t="s">
        <v>293</v>
      </c>
      <c r="R52" s="11"/>
      <c r="S52" s="11"/>
      <c r="T52" s="11"/>
    </row>
    <row r="53" spans="1:20" ht="36" customHeight="1" x14ac:dyDescent="0.2">
      <c r="A53" s="15">
        <v>50</v>
      </c>
      <c r="B53" s="15">
        <v>50</v>
      </c>
      <c r="C53" s="232" t="s">
        <v>294</v>
      </c>
      <c r="D53" s="16" t="s">
        <v>295</v>
      </c>
      <c r="E53" s="19" t="s">
        <v>28</v>
      </c>
      <c r="F53" s="15"/>
      <c r="G53" s="15"/>
      <c r="H53" s="15"/>
      <c r="I53" s="16" t="s">
        <v>296</v>
      </c>
      <c r="J53" s="15"/>
      <c r="K53" s="15"/>
      <c r="L53" s="233" t="s">
        <v>74</v>
      </c>
      <c r="M53" s="16"/>
      <c r="N53" s="233" t="s">
        <v>297</v>
      </c>
      <c r="O53" s="16" t="s">
        <v>65</v>
      </c>
      <c r="P53" s="219" t="s">
        <v>47</v>
      </c>
      <c r="Q53" s="221" t="s">
        <v>298</v>
      </c>
      <c r="R53" s="11"/>
      <c r="S53" s="11"/>
      <c r="T53" s="11"/>
    </row>
    <row r="54" spans="1:20" ht="36" customHeight="1" x14ac:dyDescent="0.2">
      <c r="A54" s="7">
        <v>51</v>
      </c>
      <c r="B54" s="7">
        <v>51</v>
      </c>
      <c r="C54" s="231" t="s">
        <v>299</v>
      </c>
      <c r="D54" s="3" t="s">
        <v>234</v>
      </c>
      <c r="E54" s="18" t="s">
        <v>42</v>
      </c>
      <c r="F54" s="7"/>
      <c r="G54" s="7"/>
      <c r="H54" s="7"/>
      <c r="I54" s="3" t="s">
        <v>300</v>
      </c>
      <c r="J54" s="7"/>
      <c r="K54" s="7"/>
      <c r="L54" s="228" t="s">
        <v>301</v>
      </c>
      <c r="M54" s="3"/>
      <c r="N54" s="228" t="s">
        <v>302</v>
      </c>
      <c r="O54" s="3" t="s">
        <v>303</v>
      </c>
      <c r="P54" s="186" t="s">
        <v>304</v>
      </c>
      <c r="Q54" s="222" t="s">
        <v>305</v>
      </c>
      <c r="R54" s="11"/>
      <c r="S54" s="11"/>
      <c r="T54" s="11"/>
    </row>
    <row r="55" spans="1:20" ht="36" customHeight="1" x14ac:dyDescent="0.2">
      <c r="A55" s="15">
        <v>52</v>
      </c>
      <c r="B55" s="15">
        <v>52</v>
      </c>
      <c r="C55" s="232" t="s">
        <v>306</v>
      </c>
      <c r="D55" s="16" t="s">
        <v>234</v>
      </c>
      <c r="E55" s="22" t="s">
        <v>42</v>
      </c>
      <c r="F55" s="15"/>
      <c r="G55" s="15"/>
      <c r="H55" s="15"/>
      <c r="I55" s="16" t="s">
        <v>300</v>
      </c>
      <c r="J55" s="15"/>
      <c r="K55" s="15"/>
      <c r="L55" s="233"/>
      <c r="M55" s="16"/>
      <c r="N55" s="233" t="s">
        <v>302</v>
      </c>
      <c r="O55" s="16" t="s">
        <v>303</v>
      </c>
      <c r="P55" s="219" t="s">
        <v>304</v>
      </c>
      <c r="Q55" s="221" t="s">
        <v>307</v>
      </c>
      <c r="R55" s="11"/>
      <c r="S55" s="11"/>
      <c r="T55" s="11"/>
    </row>
    <row r="56" spans="1:20" ht="36" customHeight="1" x14ac:dyDescent="0.2">
      <c r="A56" s="7">
        <v>53</v>
      </c>
      <c r="B56" s="7">
        <v>53</v>
      </c>
      <c r="C56" s="231" t="s">
        <v>308</v>
      </c>
      <c r="D56" s="3" t="s">
        <v>309</v>
      </c>
      <c r="E56" s="14" t="s">
        <v>28</v>
      </c>
      <c r="F56" s="7"/>
      <c r="G56" s="7"/>
      <c r="H56" s="7"/>
      <c r="I56" s="3" t="s">
        <v>310</v>
      </c>
      <c r="J56" s="7"/>
      <c r="K56" s="7"/>
      <c r="L56" s="228" t="s">
        <v>22</v>
      </c>
      <c r="M56" s="3"/>
      <c r="N56" s="228" t="s">
        <v>311</v>
      </c>
      <c r="O56" s="3" t="s">
        <v>24</v>
      </c>
      <c r="P56" s="186" t="s">
        <v>47</v>
      </c>
      <c r="Q56" s="222" t="s">
        <v>312</v>
      </c>
      <c r="R56" s="11"/>
      <c r="S56" s="11"/>
      <c r="T56" s="11"/>
    </row>
    <row r="57" spans="1:20" ht="36" customHeight="1" x14ac:dyDescent="0.2">
      <c r="A57" s="15">
        <v>54</v>
      </c>
      <c r="B57" s="15">
        <v>54</v>
      </c>
      <c r="C57" s="232" t="s">
        <v>313</v>
      </c>
      <c r="D57" s="16" t="s">
        <v>283</v>
      </c>
      <c r="E57" s="19" t="s">
        <v>28</v>
      </c>
      <c r="F57" s="15"/>
      <c r="G57" s="15"/>
      <c r="H57" s="15"/>
      <c r="I57" s="16" t="s">
        <v>314</v>
      </c>
      <c r="J57" s="15"/>
      <c r="K57" s="15"/>
      <c r="L57" s="233" t="s">
        <v>22</v>
      </c>
      <c r="M57" s="16"/>
      <c r="N57" s="233" t="s">
        <v>315</v>
      </c>
      <c r="O57" s="16" t="s">
        <v>81</v>
      </c>
      <c r="P57" s="219" t="s">
        <v>47</v>
      </c>
      <c r="Q57" s="221" t="s">
        <v>316</v>
      </c>
      <c r="R57" s="11"/>
      <c r="S57" s="11"/>
      <c r="T57" s="11"/>
    </row>
    <row r="58" spans="1:20" ht="36" customHeight="1" x14ac:dyDescent="0.2">
      <c r="A58" s="7">
        <v>55</v>
      </c>
      <c r="B58" s="7">
        <v>55</v>
      </c>
      <c r="C58" s="231" t="s">
        <v>317</v>
      </c>
      <c r="D58" s="3" t="s">
        <v>318</v>
      </c>
      <c r="E58" s="18" t="s">
        <v>28</v>
      </c>
      <c r="F58" s="7"/>
      <c r="G58" s="7"/>
      <c r="H58" s="7"/>
      <c r="I58" s="3" t="s">
        <v>319</v>
      </c>
      <c r="J58" s="7"/>
      <c r="K58" s="7"/>
      <c r="L58" s="228" t="s">
        <v>129</v>
      </c>
      <c r="M58" s="3"/>
      <c r="N58" s="228" t="s">
        <v>320</v>
      </c>
      <c r="O58" s="3" t="s">
        <v>24</v>
      </c>
      <c r="P58" s="186" t="s">
        <v>47</v>
      </c>
      <c r="Q58" s="222" t="s">
        <v>321</v>
      </c>
      <c r="R58" s="11"/>
      <c r="S58" s="11"/>
      <c r="T58" s="11"/>
    </row>
    <row r="59" spans="1:20" ht="36" customHeight="1" x14ac:dyDescent="0.2">
      <c r="A59" s="15">
        <v>56</v>
      </c>
      <c r="B59" s="15">
        <v>56</v>
      </c>
      <c r="C59" s="232" t="s">
        <v>322</v>
      </c>
      <c r="D59" s="16" t="s">
        <v>323</v>
      </c>
      <c r="E59" s="19" t="s">
        <v>28</v>
      </c>
      <c r="F59" s="15"/>
      <c r="G59" s="15"/>
      <c r="H59" s="15"/>
      <c r="I59" s="16" t="s">
        <v>324</v>
      </c>
      <c r="J59" s="15"/>
      <c r="K59" s="15"/>
      <c r="L59" s="233" t="s">
        <v>22</v>
      </c>
      <c r="M59" s="16"/>
      <c r="N59" s="233" t="s">
        <v>325</v>
      </c>
      <c r="O59" s="16" t="s">
        <v>326</v>
      </c>
      <c r="P59" s="219" t="s">
        <v>24</v>
      </c>
      <c r="Q59" s="221" t="s">
        <v>327</v>
      </c>
      <c r="R59" s="11"/>
      <c r="S59" s="11"/>
      <c r="T59" s="11"/>
    </row>
    <row r="60" spans="1:20" ht="36" customHeight="1" x14ac:dyDescent="0.2">
      <c r="A60" s="7">
        <v>57</v>
      </c>
      <c r="B60" s="7">
        <v>57</v>
      </c>
      <c r="C60" s="231" t="s">
        <v>328</v>
      </c>
      <c r="D60" s="3" t="s">
        <v>323</v>
      </c>
      <c r="E60" s="18" t="s">
        <v>28</v>
      </c>
      <c r="F60" s="7"/>
      <c r="G60" s="7"/>
      <c r="H60" s="7"/>
      <c r="I60" s="3" t="s">
        <v>329</v>
      </c>
      <c r="J60" s="7"/>
      <c r="K60" s="7"/>
      <c r="L60" s="228" t="s">
        <v>330</v>
      </c>
      <c r="M60" s="3"/>
      <c r="N60" s="228" t="s">
        <v>331</v>
      </c>
      <c r="O60" s="3" t="s">
        <v>24</v>
      </c>
      <c r="P60" s="186" t="s">
        <v>24</v>
      </c>
      <c r="Q60" s="222" t="s">
        <v>332</v>
      </c>
      <c r="R60" s="11"/>
      <c r="S60" s="11"/>
      <c r="T60" s="11"/>
    </row>
    <row r="61" spans="1:20" ht="36" customHeight="1" x14ac:dyDescent="0.2">
      <c r="A61" s="15">
        <v>58</v>
      </c>
      <c r="B61" s="15">
        <v>58</v>
      </c>
      <c r="C61" s="232" t="s">
        <v>333</v>
      </c>
      <c r="D61" s="16" t="s">
        <v>98</v>
      </c>
      <c r="E61" s="19" t="s">
        <v>20</v>
      </c>
      <c r="F61" s="15"/>
      <c r="G61" s="15"/>
      <c r="H61" s="15"/>
      <c r="I61" s="16" t="s">
        <v>334</v>
      </c>
      <c r="J61" s="15"/>
      <c r="K61" s="15"/>
      <c r="L61" s="233" t="s">
        <v>90</v>
      </c>
      <c r="M61" s="16"/>
      <c r="N61" s="233" t="s">
        <v>335</v>
      </c>
      <c r="O61" s="16" t="s">
        <v>24</v>
      </c>
      <c r="P61" s="219" t="s">
        <v>47</v>
      </c>
      <c r="Q61" s="221" t="s">
        <v>336</v>
      </c>
      <c r="R61" s="11"/>
      <c r="S61" s="11"/>
      <c r="T61" s="11"/>
    </row>
    <row r="62" spans="1:20" ht="36" customHeight="1" x14ac:dyDescent="0.2">
      <c r="A62" s="7">
        <v>59</v>
      </c>
      <c r="B62" s="7">
        <v>59</v>
      </c>
      <c r="C62" s="231" t="s">
        <v>337</v>
      </c>
      <c r="D62" s="3" t="s">
        <v>283</v>
      </c>
      <c r="E62" s="21" t="s">
        <v>28</v>
      </c>
      <c r="F62" s="7"/>
      <c r="G62" s="7"/>
      <c r="H62" s="7"/>
      <c r="I62" s="3" t="s">
        <v>338</v>
      </c>
      <c r="J62" s="7"/>
      <c r="K62" s="7"/>
      <c r="L62" s="228" t="s">
        <v>339</v>
      </c>
      <c r="M62" s="3"/>
      <c r="N62" s="228" t="s">
        <v>340</v>
      </c>
      <c r="O62" s="3" t="s">
        <v>341</v>
      </c>
      <c r="P62" s="186" t="s">
        <v>47</v>
      </c>
      <c r="Q62" s="222" t="s">
        <v>342</v>
      </c>
      <c r="R62" s="11"/>
      <c r="S62" s="11"/>
      <c r="T62" s="11"/>
    </row>
    <row r="63" spans="1:20" ht="36" customHeight="1" x14ac:dyDescent="0.2">
      <c r="A63" s="15">
        <v>60</v>
      </c>
      <c r="B63" s="15">
        <v>60</v>
      </c>
      <c r="C63" s="232" t="s">
        <v>343</v>
      </c>
      <c r="D63" s="16" t="s">
        <v>344</v>
      </c>
      <c r="E63" s="22" t="s">
        <v>42</v>
      </c>
      <c r="F63" s="15"/>
      <c r="G63" s="15"/>
      <c r="H63" s="15"/>
      <c r="I63" s="16" t="s">
        <v>345</v>
      </c>
      <c r="J63" s="15"/>
      <c r="K63" s="15"/>
      <c r="L63" s="233" t="s">
        <v>183</v>
      </c>
      <c r="M63" s="16"/>
      <c r="N63" s="233" t="s">
        <v>346</v>
      </c>
      <c r="O63" s="16" t="s">
        <v>53</v>
      </c>
      <c r="P63" s="219" t="s">
        <v>24</v>
      </c>
      <c r="Q63" s="221" t="s">
        <v>347</v>
      </c>
      <c r="R63" s="11"/>
      <c r="S63" s="11"/>
      <c r="T63" s="11"/>
    </row>
    <row r="64" spans="1:20" ht="36" customHeight="1" x14ac:dyDescent="0.2">
      <c r="A64" s="7">
        <v>61</v>
      </c>
      <c r="B64" s="7">
        <v>61</v>
      </c>
      <c r="C64" s="231" t="s">
        <v>348</v>
      </c>
      <c r="D64" s="3" t="s">
        <v>127</v>
      </c>
      <c r="E64" s="18" t="s">
        <v>28</v>
      </c>
      <c r="F64" s="7"/>
      <c r="G64" s="7"/>
      <c r="H64" s="7"/>
      <c r="I64" s="3" t="s">
        <v>349</v>
      </c>
      <c r="J64" s="7"/>
      <c r="K64" s="7"/>
      <c r="L64" s="228" t="s">
        <v>350</v>
      </c>
      <c r="M64" s="3"/>
      <c r="N64" s="228" t="s">
        <v>351</v>
      </c>
      <c r="O64" s="3" t="s">
        <v>24</v>
      </c>
      <c r="P64" s="186" t="s">
        <v>47</v>
      </c>
      <c r="Q64" s="222" t="s">
        <v>352</v>
      </c>
      <c r="R64" s="11"/>
      <c r="S64" s="11"/>
      <c r="T64" s="11"/>
    </row>
    <row r="65" spans="1:20" ht="36" customHeight="1" x14ac:dyDescent="0.2">
      <c r="A65" s="15">
        <v>62</v>
      </c>
      <c r="B65" s="15">
        <v>62</v>
      </c>
      <c r="C65" s="232" t="s">
        <v>353</v>
      </c>
      <c r="D65" s="16" t="s">
        <v>354</v>
      </c>
      <c r="E65" s="19" t="s">
        <v>28</v>
      </c>
      <c r="F65" s="15"/>
      <c r="G65" s="15"/>
      <c r="H65" s="15"/>
      <c r="I65" s="16" t="s">
        <v>355</v>
      </c>
      <c r="J65" s="15"/>
      <c r="K65" s="15"/>
      <c r="L65" s="233" t="s">
        <v>356</v>
      </c>
      <c r="M65" s="16"/>
      <c r="N65" s="233" t="s">
        <v>357</v>
      </c>
      <c r="O65" s="16" t="s">
        <v>81</v>
      </c>
      <c r="P65" s="219" t="s">
        <v>24</v>
      </c>
      <c r="Q65" s="221" t="s">
        <v>358</v>
      </c>
      <c r="R65" s="11"/>
      <c r="S65" s="11"/>
      <c r="T65" s="11"/>
    </row>
    <row r="66" spans="1:20" ht="36" customHeight="1" x14ac:dyDescent="0.2">
      <c r="A66" s="7">
        <v>63</v>
      </c>
      <c r="B66" s="7">
        <v>63</v>
      </c>
      <c r="C66" s="231" t="s">
        <v>359</v>
      </c>
      <c r="D66" s="3" t="s">
        <v>360</v>
      </c>
      <c r="E66" s="18" t="s">
        <v>28</v>
      </c>
      <c r="F66" s="7"/>
      <c r="G66" s="7"/>
      <c r="H66" s="7"/>
      <c r="I66" s="3" t="s">
        <v>361</v>
      </c>
      <c r="J66" s="7"/>
      <c r="K66" s="7"/>
      <c r="L66" s="228" t="s">
        <v>339</v>
      </c>
      <c r="M66" s="3"/>
      <c r="N66" s="228" t="s">
        <v>362</v>
      </c>
      <c r="O66" s="3" t="s">
        <v>363</v>
      </c>
      <c r="P66" s="186" t="s">
        <v>24</v>
      </c>
      <c r="Q66" s="222" t="s">
        <v>364</v>
      </c>
      <c r="R66" s="11"/>
      <c r="S66" s="11"/>
      <c r="T66" s="11"/>
    </row>
    <row r="67" spans="1:20" ht="36" customHeight="1" x14ac:dyDescent="0.2">
      <c r="A67" s="15">
        <v>64</v>
      </c>
      <c r="B67" s="15">
        <v>64</v>
      </c>
      <c r="C67" s="232" t="s">
        <v>365</v>
      </c>
      <c r="D67" s="16" t="s">
        <v>360</v>
      </c>
      <c r="E67" s="22" t="s">
        <v>28</v>
      </c>
      <c r="F67" s="15"/>
      <c r="G67" s="15"/>
      <c r="H67" s="15"/>
      <c r="I67" s="16" t="s">
        <v>366</v>
      </c>
      <c r="J67" s="15"/>
      <c r="K67" s="15"/>
      <c r="L67" s="233" t="s">
        <v>367</v>
      </c>
      <c r="M67" s="16"/>
      <c r="N67" s="233" t="s">
        <v>368</v>
      </c>
      <c r="O67" s="16" t="s">
        <v>81</v>
      </c>
      <c r="P67" s="219" t="s">
        <v>24</v>
      </c>
      <c r="Q67" s="221" t="s">
        <v>369</v>
      </c>
      <c r="R67" s="11"/>
      <c r="S67" s="11"/>
      <c r="T67" s="11"/>
    </row>
    <row r="68" spans="1:20" ht="36" customHeight="1" x14ac:dyDescent="0.2">
      <c r="A68" s="7">
        <v>65</v>
      </c>
      <c r="B68" s="7">
        <v>65</v>
      </c>
      <c r="C68" s="231" t="s">
        <v>370</v>
      </c>
      <c r="D68" s="3" t="s">
        <v>98</v>
      </c>
      <c r="E68" s="21" t="s">
        <v>42</v>
      </c>
      <c r="F68" s="7"/>
      <c r="G68" s="7"/>
      <c r="H68" s="7"/>
      <c r="I68" s="3" t="s">
        <v>371</v>
      </c>
      <c r="J68" s="7"/>
      <c r="K68" s="7"/>
      <c r="L68" s="228" t="s">
        <v>372</v>
      </c>
      <c r="M68" s="3"/>
      <c r="N68" s="228" t="s">
        <v>373</v>
      </c>
      <c r="O68" s="3" t="s">
        <v>24</v>
      </c>
      <c r="P68" s="186" t="s">
        <v>47</v>
      </c>
      <c r="Q68" s="222" t="s">
        <v>374</v>
      </c>
      <c r="R68" s="11"/>
      <c r="S68" s="11"/>
      <c r="T68" s="11"/>
    </row>
    <row r="69" spans="1:20" ht="36" customHeight="1" x14ac:dyDescent="0.2">
      <c r="A69" s="15">
        <v>66</v>
      </c>
      <c r="B69" s="15">
        <v>66</v>
      </c>
      <c r="C69" s="232" t="s">
        <v>375</v>
      </c>
      <c r="D69" s="16" t="s">
        <v>376</v>
      </c>
      <c r="E69" s="17" t="s">
        <v>20</v>
      </c>
      <c r="F69" s="15"/>
      <c r="G69" s="15"/>
      <c r="H69" s="15"/>
      <c r="I69" s="16" t="s">
        <v>377</v>
      </c>
      <c r="J69" s="15"/>
      <c r="K69" s="15"/>
      <c r="L69" s="233" t="s">
        <v>90</v>
      </c>
      <c r="M69" s="16"/>
      <c r="N69" s="233" t="s">
        <v>378</v>
      </c>
      <c r="O69" s="16" t="s">
        <v>24</v>
      </c>
      <c r="P69" s="219" t="s">
        <v>47</v>
      </c>
      <c r="Q69" s="221" t="s">
        <v>379</v>
      </c>
      <c r="R69" s="11"/>
      <c r="S69" s="11"/>
      <c r="T69" s="11"/>
    </row>
    <row r="70" spans="1:20" ht="36" customHeight="1" x14ac:dyDescent="0.2">
      <c r="A70" s="7">
        <v>67</v>
      </c>
      <c r="B70" s="7">
        <v>67</v>
      </c>
      <c r="C70" s="231" t="s">
        <v>380</v>
      </c>
      <c r="D70" s="3" t="s">
        <v>381</v>
      </c>
      <c r="E70" s="20" t="s">
        <v>20</v>
      </c>
      <c r="F70" s="7"/>
      <c r="G70" s="7"/>
      <c r="H70" s="7"/>
      <c r="I70" s="3" t="s">
        <v>382</v>
      </c>
      <c r="J70" s="7"/>
      <c r="K70" s="7"/>
      <c r="L70" s="228" t="s">
        <v>383</v>
      </c>
      <c r="M70" s="3"/>
      <c r="N70" s="228" t="s">
        <v>384</v>
      </c>
      <c r="O70" s="3" t="s">
        <v>32</v>
      </c>
      <c r="P70" s="186" t="s">
        <v>32</v>
      </c>
      <c r="Q70" s="222" t="s">
        <v>385</v>
      </c>
      <c r="R70" s="11"/>
      <c r="S70" s="11"/>
      <c r="T70" s="11"/>
    </row>
    <row r="71" spans="1:20" ht="36" customHeight="1" x14ac:dyDescent="0.2">
      <c r="A71" s="15">
        <v>68</v>
      </c>
      <c r="B71" s="15">
        <v>68</v>
      </c>
      <c r="C71" s="232" t="s">
        <v>386</v>
      </c>
      <c r="D71" s="16" t="s">
        <v>387</v>
      </c>
      <c r="E71" s="17" t="s">
        <v>42</v>
      </c>
      <c r="F71" s="15"/>
      <c r="G71" s="15"/>
      <c r="H71" s="15"/>
      <c r="I71" s="16" t="s">
        <v>388</v>
      </c>
      <c r="J71" s="15"/>
      <c r="K71" s="15"/>
      <c r="L71" s="233" t="s">
        <v>389</v>
      </c>
      <c r="M71" s="16"/>
      <c r="N71" s="233" t="s">
        <v>390</v>
      </c>
      <c r="O71" s="16" t="s">
        <v>391</v>
      </c>
      <c r="P71" s="219" t="s">
        <v>392</v>
      </c>
      <c r="Q71" s="221" t="s">
        <v>393</v>
      </c>
      <c r="R71" s="11"/>
      <c r="S71" s="11"/>
      <c r="T71" s="11"/>
    </row>
    <row r="72" spans="1:20" ht="36" customHeight="1" x14ac:dyDescent="0.2">
      <c r="A72" s="7">
        <v>69</v>
      </c>
      <c r="B72" s="7">
        <v>69</v>
      </c>
      <c r="C72" s="231" t="s">
        <v>394</v>
      </c>
      <c r="D72" s="3" t="s">
        <v>295</v>
      </c>
      <c r="E72" s="21" t="s">
        <v>20</v>
      </c>
      <c r="F72" s="7"/>
      <c r="G72" s="7"/>
      <c r="H72" s="7"/>
      <c r="I72" s="3" t="s">
        <v>395</v>
      </c>
      <c r="J72" s="7"/>
      <c r="K72" s="7"/>
      <c r="L72" s="228" t="s">
        <v>168</v>
      </c>
      <c r="M72" s="3"/>
      <c r="N72" s="228" t="s">
        <v>396</v>
      </c>
      <c r="O72" s="3" t="s">
        <v>65</v>
      </c>
      <c r="P72" s="186" t="s">
        <v>47</v>
      </c>
      <c r="Q72" s="222" t="s">
        <v>397</v>
      </c>
      <c r="R72" s="11"/>
      <c r="S72" s="11"/>
      <c r="T72" s="11"/>
    </row>
    <row r="73" spans="1:20" ht="36" customHeight="1" x14ac:dyDescent="0.2">
      <c r="A73" s="15">
        <v>70</v>
      </c>
      <c r="B73" s="15">
        <v>70</v>
      </c>
      <c r="C73" s="232" t="s">
        <v>398</v>
      </c>
      <c r="D73" s="16" t="s">
        <v>354</v>
      </c>
      <c r="E73" s="19" t="s">
        <v>20</v>
      </c>
      <c r="F73" s="15"/>
      <c r="G73" s="15"/>
      <c r="H73" s="15"/>
      <c r="I73" s="16" t="s">
        <v>399</v>
      </c>
      <c r="J73" s="15"/>
      <c r="K73" s="15"/>
      <c r="L73" s="233" t="s">
        <v>22</v>
      </c>
      <c r="M73" s="16"/>
      <c r="N73" s="233" t="s">
        <v>400</v>
      </c>
      <c r="O73" s="16" t="s">
        <v>24</v>
      </c>
      <c r="P73" s="219" t="s">
        <v>47</v>
      </c>
      <c r="Q73" s="221" t="s">
        <v>401</v>
      </c>
      <c r="R73" s="11"/>
      <c r="S73" s="11"/>
      <c r="T73" s="11"/>
    </row>
    <row r="74" spans="1:20" ht="36" customHeight="1" x14ac:dyDescent="0.2">
      <c r="A74" s="7">
        <v>71</v>
      </c>
      <c r="B74" s="7">
        <v>71</v>
      </c>
      <c r="C74" s="231" t="s">
        <v>402</v>
      </c>
      <c r="D74" s="3" t="s">
        <v>133</v>
      </c>
      <c r="E74" s="18" t="s">
        <v>28</v>
      </c>
      <c r="F74" s="7"/>
      <c r="G74" s="7"/>
      <c r="H74" s="7"/>
      <c r="I74" s="3" t="s">
        <v>403</v>
      </c>
      <c r="J74" s="7"/>
      <c r="K74" s="7"/>
      <c r="L74" s="228" t="s">
        <v>122</v>
      </c>
      <c r="M74" s="3"/>
      <c r="N74" s="228" t="s">
        <v>404</v>
      </c>
      <c r="O74" s="3" t="s">
        <v>24</v>
      </c>
      <c r="P74" s="186" t="s">
        <v>24</v>
      </c>
      <c r="Q74" s="222" t="s">
        <v>405</v>
      </c>
      <c r="R74" s="11"/>
      <c r="S74" s="11"/>
      <c r="T74" s="11"/>
    </row>
    <row r="75" spans="1:20" ht="36" customHeight="1" x14ac:dyDescent="0.2">
      <c r="A75" s="15">
        <v>72</v>
      </c>
      <c r="B75" s="15">
        <v>72</v>
      </c>
      <c r="C75" s="232" t="s">
        <v>406</v>
      </c>
      <c r="D75" s="16" t="s">
        <v>50</v>
      </c>
      <c r="E75" s="19" t="s">
        <v>28</v>
      </c>
      <c r="F75" s="15"/>
      <c r="G75" s="15"/>
      <c r="H75" s="15"/>
      <c r="I75" s="16" t="s">
        <v>407</v>
      </c>
      <c r="J75" s="15"/>
      <c r="K75" s="15"/>
      <c r="L75" s="233" t="s">
        <v>269</v>
      </c>
      <c r="M75" s="16"/>
      <c r="N75" s="233" t="s">
        <v>408</v>
      </c>
      <c r="O75" s="16" t="s">
        <v>81</v>
      </c>
      <c r="P75" s="219" t="s">
        <v>409</v>
      </c>
      <c r="Q75" s="221" t="s">
        <v>410</v>
      </c>
      <c r="R75" s="11"/>
      <c r="S75" s="11"/>
      <c r="T75" s="11"/>
    </row>
    <row r="76" spans="1:20" ht="36" customHeight="1" x14ac:dyDescent="0.2">
      <c r="A76" s="7">
        <v>73</v>
      </c>
      <c r="B76" s="7">
        <v>73</v>
      </c>
      <c r="C76" s="231" t="s">
        <v>411</v>
      </c>
      <c r="D76" s="3" t="s">
        <v>283</v>
      </c>
      <c r="E76" s="18" t="s">
        <v>28</v>
      </c>
      <c r="F76" s="7"/>
      <c r="G76" s="7"/>
      <c r="H76" s="7"/>
      <c r="I76" s="3" t="s">
        <v>412</v>
      </c>
      <c r="J76" s="7"/>
      <c r="K76" s="7"/>
      <c r="L76" s="228" t="s">
        <v>285</v>
      </c>
      <c r="M76" s="3"/>
      <c r="N76" s="228" t="s">
        <v>413</v>
      </c>
      <c r="O76" s="3" t="s">
        <v>81</v>
      </c>
      <c r="P76" s="186" t="s">
        <v>47</v>
      </c>
      <c r="Q76" s="222" t="s">
        <v>414</v>
      </c>
      <c r="R76" s="11"/>
      <c r="S76" s="11"/>
      <c r="T76" s="11"/>
    </row>
    <row r="77" spans="1:20" ht="36" customHeight="1" x14ac:dyDescent="0.2">
      <c r="A77" s="15">
        <v>74</v>
      </c>
      <c r="B77" s="15">
        <v>74</v>
      </c>
      <c r="C77" s="232" t="s">
        <v>415</v>
      </c>
      <c r="D77" s="16" t="s">
        <v>416</v>
      </c>
      <c r="E77" s="19" t="s">
        <v>28</v>
      </c>
      <c r="F77" s="15"/>
      <c r="G77" s="15"/>
      <c r="H77" s="15"/>
      <c r="I77" s="16" t="s">
        <v>417</v>
      </c>
      <c r="J77" s="15"/>
      <c r="K77" s="15"/>
      <c r="L77" s="233" t="s">
        <v>418</v>
      </c>
      <c r="M77" s="16"/>
      <c r="N77" s="233" t="s">
        <v>419</v>
      </c>
      <c r="O77" s="16" t="s">
        <v>420</v>
      </c>
      <c r="P77" s="219" t="s">
        <v>47</v>
      </c>
      <c r="Q77" s="221" t="s">
        <v>421</v>
      </c>
      <c r="R77" s="11"/>
      <c r="S77" s="11"/>
      <c r="T77" s="11"/>
    </row>
    <row r="78" spans="1:20" ht="36" customHeight="1" x14ac:dyDescent="0.2">
      <c r="A78" s="7">
        <v>75</v>
      </c>
      <c r="B78" s="7">
        <v>75</v>
      </c>
      <c r="C78" s="231" t="s">
        <v>422</v>
      </c>
      <c r="D78" s="3" t="s">
        <v>84</v>
      </c>
      <c r="E78" s="20" t="s">
        <v>28</v>
      </c>
      <c r="F78" s="7"/>
      <c r="G78" s="7"/>
      <c r="H78" s="7"/>
      <c r="I78" s="3" t="s">
        <v>423</v>
      </c>
      <c r="J78" s="7"/>
      <c r="K78" s="7"/>
      <c r="L78" s="228" t="s">
        <v>383</v>
      </c>
      <c r="M78" s="3"/>
      <c r="N78" s="228" t="s">
        <v>424</v>
      </c>
      <c r="O78" s="3" t="s">
        <v>24</v>
      </c>
      <c r="P78" s="186" t="s">
        <v>47</v>
      </c>
      <c r="Q78" s="222" t="s">
        <v>425</v>
      </c>
      <c r="R78" s="11"/>
      <c r="S78" s="11"/>
      <c r="T78" s="11"/>
    </row>
    <row r="79" spans="1:20" ht="36" customHeight="1" x14ac:dyDescent="0.2">
      <c r="A79" s="15">
        <v>76</v>
      </c>
      <c r="B79" s="15">
        <v>76</v>
      </c>
      <c r="C79" s="232" t="s">
        <v>426</v>
      </c>
      <c r="D79" s="16" t="s">
        <v>427</v>
      </c>
      <c r="E79" s="23" t="s">
        <v>42</v>
      </c>
      <c r="F79" s="15"/>
      <c r="G79" s="15"/>
      <c r="H79" s="15"/>
      <c r="I79" s="16" t="s">
        <v>428</v>
      </c>
      <c r="J79" s="15"/>
      <c r="K79" s="15"/>
      <c r="L79" s="233" t="s">
        <v>429</v>
      </c>
      <c r="M79" s="16"/>
      <c r="N79" s="233" t="s">
        <v>430</v>
      </c>
      <c r="O79" s="16" t="s">
        <v>178</v>
      </c>
      <c r="P79" s="219" t="s">
        <v>153</v>
      </c>
      <c r="Q79" s="221" t="s">
        <v>431</v>
      </c>
      <c r="R79" s="11"/>
      <c r="S79" s="11"/>
      <c r="T79" s="11"/>
    </row>
    <row r="80" spans="1:20" ht="36" customHeight="1" x14ac:dyDescent="0.2">
      <c r="A80" s="7">
        <v>77</v>
      </c>
      <c r="B80" s="7">
        <v>77</v>
      </c>
      <c r="C80" s="231" t="s">
        <v>432</v>
      </c>
      <c r="D80" s="3" t="s">
        <v>300</v>
      </c>
      <c r="E80" s="18" t="s">
        <v>28</v>
      </c>
      <c r="F80" s="7"/>
      <c r="G80" s="7"/>
      <c r="H80" s="7"/>
      <c r="I80" s="3" t="s">
        <v>433</v>
      </c>
      <c r="J80" s="7"/>
      <c r="K80" s="7"/>
      <c r="L80" s="228"/>
      <c r="M80" s="3"/>
      <c r="N80" s="228" t="s">
        <v>434</v>
      </c>
      <c r="O80" s="3" t="s">
        <v>24</v>
      </c>
      <c r="P80" s="186" t="s">
        <v>24</v>
      </c>
      <c r="Q80" s="222" t="s">
        <v>435</v>
      </c>
      <c r="R80" s="11"/>
      <c r="S80" s="11"/>
      <c r="T80" s="11"/>
    </row>
    <row r="81" spans="1:20" ht="36" customHeight="1" x14ac:dyDescent="0.2">
      <c r="A81" s="15">
        <v>78</v>
      </c>
      <c r="B81" s="15">
        <v>78</v>
      </c>
      <c r="C81" s="232" t="s">
        <v>436</v>
      </c>
      <c r="D81" s="16" t="s">
        <v>234</v>
      </c>
      <c r="E81" s="19" t="s">
        <v>28</v>
      </c>
      <c r="F81" s="15"/>
      <c r="G81" s="15"/>
      <c r="H81" s="15"/>
      <c r="I81" s="16" t="s">
        <v>437</v>
      </c>
      <c r="J81" s="15"/>
      <c r="K81" s="15"/>
      <c r="L81" s="233" t="s">
        <v>438</v>
      </c>
      <c r="M81" s="16"/>
      <c r="N81" s="233" t="s">
        <v>439</v>
      </c>
      <c r="O81" s="16" t="s">
        <v>440</v>
      </c>
      <c r="P81" s="219" t="s">
        <v>24</v>
      </c>
      <c r="Q81" s="221" t="s">
        <v>441</v>
      </c>
      <c r="R81" s="11"/>
      <c r="S81" s="11"/>
      <c r="T81" s="11"/>
    </row>
    <row r="82" spans="1:20" ht="36" customHeight="1" x14ac:dyDescent="0.2">
      <c r="A82" s="7">
        <v>79</v>
      </c>
      <c r="B82" s="7">
        <v>79</v>
      </c>
      <c r="C82" s="231" t="s">
        <v>442</v>
      </c>
      <c r="D82" s="3" t="s">
        <v>443</v>
      </c>
      <c r="E82" s="18" t="s">
        <v>28</v>
      </c>
      <c r="F82" s="7"/>
      <c r="G82" s="7"/>
      <c r="H82" s="7"/>
      <c r="I82" s="3" t="s">
        <v>444</v>
      </c>
      <c r="J82" s="7"/>
      <c r="K82" s="7"/>
      <c r="L82" s="228" t="s">
        <v>22</v>
      </c>
      <c r="M82" s="3"/>
      <c r="N82" s="228" t="s">
        <v>445</v>
      </c>
      <c r="O82" s="3" t="s">
        <v>446</v>
      </c>
      <c r="P82" s="186" t="s">
        <v>392</v>
      </c>
      <c r="Q82" s="222" t="s">
        <v>447</v>
      </c>
      <c r="R82" s="11"/>
      <c r="S82" s="11"/>
      <c r="T82" s="11"/>
    </row>
    <row r="83" spans="1:20" ht="36" customHeight="1" x14ac:dyDescent="0.2">
      <c r="A83" s="15">
        <v>80</v>
      </c>
      <c r="B83" s="15">
        <v>80</v>
      </c>
      <c r="C83" s="232" t="s">
        <v>448</v>
      </c>
      <c r="D83" s="16" t="s">
        <v>84</v>
      </c>
      <c r="E83" s="23" t="s">
        <v>28</v>
      </c>
      <c r="F83" s="15"/>
      <c r="G83" s="15"/>
      <c r="H83" s="15"/>
      <c r="I83" s="16" t="s">
        <v>449</v>
      </c>
      <c r="J83" s="15"/>
      <c r="K83" s="15"/>
      <c r="L83" s="233" t="s">
        <v>183</v>
      </c>
      <c r="M83" s="16"/>
      <c r="N83" s="233" t="s">
        <v>450</v>
      </c>
      <c r="O83" s="16" t="s">
        <v>24</v>
      </c>
      <c r="P83" s="219" t="s">
        <v>47</v>
      </c>
      <c r="Q83" s="221" t="s">
        <v>451</v>
      </c>
      <c r="R83" s="11"/>
      <c r="S83" s="11"/>
      <c r="T83" s="11"/>
    </row>
    <row r="84" spans="1:20" ht="36" customHeight="1" x14ac:dyDescent="0.2">
      <c r="A84" s="7">
        <v>81</v>
      </c>
      <c r="B84" s="7">
        <v>81</v>
      </c>
      <c r="C84" s="231" t="s">
        <v>452</v>
      </c>
      <c r="D84" s="3" t="s">
        <v>41</v>
      </c>
      <c r="E84" s="18" t="s">
        <v>28</v>
      </c>
      <c r="F84" s="7"/>
      <c r="G84" s="7"/>
      <c r="H84" s="7"/>
      <c r="I84" s="3" t="s">
        <v>453</v>
      </c>
      <c r="J84" s="7"/>
      <c r="K84" s="7"/>
      <c r="L84" s="228" t="s">
        <v>454</v>
      </c>
      <c r="M84" s="3"/>
      <c r="N84" s="228" t="s">
        <v>455</v>
      </c>
      <c r="O84" s="3" t="s">
        <v>456</v>
      </c>
      <c r="P84" s="186" t="s">
        <v>47</v>
      </c>
      <c r="Q84" s="222" t="s">
        <v>457</v>
      </c>
      <c r="R84" s="11"/>
      <c r="S84" s="11"/>
      <c r="T84" s="11"/>
    </row>
    <row r="85" spans="1:20" ht="36" customHeight="1" x14ac:dyDescent="0.2">
      <c r="A85" s="15">
        <v>82</v>
      </c>
      <c r="B85" s="15">
        <v>82</v>
      </c>
      <c r="C85" s="232" t="s">
        <v>458</v>
      </c>
      <c r="D85" s="16" t="s">
        <v>127</v>
      </c>
      <c r="E85" s="17" t="s">
        <v>28</v>
      </c>
      <c r="F85" s="15"/>
      <c r="G85" s="15"/>
      <c r="H85" s="15"/>
      <c r="I85" s="16" t="s">
        <v>459</v>
      </c>
      <c r="J85" s="15"/>
      <c r="K85" s="15"/>
      <c r="L85" s="233" t="s">
        <v>460</v>
      </c>
      <c r="M85" s="16"/>
      <c r="N85" s="233" t="s">
        <v>461</v>
      </c>
      <c r="O85" s="16" t="s">
        <v>24</v>
      </c>
      <c r="P85" s="219" t="s">
        <v>47</v>
      </c>
      <c r="Q85" s="221" t="s">
        <v>462</v>
      </c>
      <c r="R85" s="11"/>
      <c r="S85" s="11"/>
      <c r="T85" s="11"/>
    </row>
    <row r="86" spans="1:20" ht="36" customHeight="1" x14ac:dyDescent="0.2">
      <c r="A86" s="7">
        <v>83</v>
      </c>
      <c r="B86" s="7">
        <v>83</v>
      </c>
      <c r="C86" s="231" t="s">
        <v>463</v>
      </c>
      <c r="D86" s="3" t="s">
        <v>127</v>
      </c>
      <c r="E86" s="20" t="s">
        <v>20</v>
      </c>
      <c r="F86" s="7"/>
      <c r="G86" s="7"/>
      <c r="H86" s="7"/>
      <c r="I86" s="3" t="s">
        <v>459</v>
      </c>
      <c r="J86" s="7"/>
      <c r="K86" s="7"/>
      <c r="L86" s="228" t="s">
        <v>183</v>
      </c>
      <c r="M86" s="3"/>
      <c r="N86" s="228" t="s">
        <v>461</v>
      </c>
      <c r="O86" s="3" t="s">
        <v>24</v>
      </c>
      <c r="P86" s="186" t="s">
        <v>47</v>
      </c>
      <c r="Q86" s="222" t="s">
        <v>464</v>
      </c>
      <c r="R86" s="11"/>
      <c r="S86" s="11"/>
      <c r="T86" s="11"/>
    </row>
    <row r="87" spans="1:20" ht="36" customHeight="1" x14ac:dyDescent="0.2">
      <c r="A87" s="15">
        <v>84</v>
      </c>
      <c r="B87" s="15">
        <v>84</v>
      </c>
      <c r="C87" s="232" t="s">
        <v>465</v>
      </c>
      <c r="D87" s="16" t="s">
        <v>466</v>
      </c>
      <c r="E87" s="22" t="s">
        <v>42</v>
      </c>
      <c r="F87" s="15"/>
      <c r="G87" s="15"/>
      <c r="H87" s="15"/>
      <c r="I87" s="16" t="s">
        <v>467</v>
      </c>
      <c r="J87" s="15"/>
      <c r="K87" s="15"/>
      <c r="L87" s="233" t="s">
        <v>116</v>
      </c>
      <c r="M87" s="16"/>
      <c r="N87" s="233" t="s">
        <v>468</v>
      </c>
      <c r="O87" s="16" t="s">
        <v>24</v>
      </c>
      <c r="P87" s="219" t="s">
        <v>24</v>
      </c>
      <c r="Q87" s="221" t="s">
        <v>469</v>
      </c>
      <c r="R87" s="11"/>
      <c r="S87" s="11"/>
      <c r="T87" s="11"/>
    </row>
    <row r="88" spans="1:20" ht="36" customHeight="1" x14ac:dyDescent="0.2">
      <c r="A88" s="7">
        <v>85</v>
      </c>
      <c r="B88" s="7">
        <v>85</v>
      </c>
      <c r="C88" s="231" t="s">
        <v>470</v>
      </c>
      <c r="D88" s="3" t="s">
        <v>471</v>
      </c>
      <c r="E88" s="21" t="s">
        <v>42</v>
      </c>
      <c r="F88" s="7"/>
      <c r="G88" s="7"/>
      <c r="H88" s="7"/>
      <c r="I88" s="3" t="s">
        <v>472</v>
      </c>
      <c r="J88" s="7"/>
      <c r="K88" s="7"/>
      <c r="L88" s="228" t="s">
        <v>90</v>
      </c>
      <c r="M88" s="3"/>
      <c r="N88" s="228" t="s">
        <v>473</v>
      </c>
      <c r="O88" s="3" t="s">
        <v>81</v>
      </c>
      <c r="P88" s="186" t="s">
        <v>24</v>
      </c>
      <c r="Q88" s="222" t="s">
        <v>474</v>
      </c>
      <c r="R88" s="11"/>
      <c r="S88" s="11"/>
      <c r="T88" s="11"/>
    </row>
    <row r="89" spans="1:20" ht="36" customHeight="1" x14ac:dyDescent="0.2">
      <c r="A89" s="15">
        <v>86</v>
      </c>
      <c r="B89" s="15">
        <v>86</v>
      </c>
      <c r="C89" s="232" t="s">
        <v>475</v>
      </c>
      <c r="D89" s="16" t="s">
        <v>127</v>
      </c>
      <c r="E89" s="19" t="s">
        <v>28</v>
      </c>
      <c r="F89" s="15"/>
      <c r="G89" s="15"/>
      <c r="H89" s="15"/>
      <c r="I89" s="16" t="s">
        <v>476</v>
      </c>
      <c r="J89" s="15"/>
      <c r="K89" s="15"/>
      <c r="L89" s="233" t="s">
        <v>339</v>
      </c>
      <c r="M89" s="16"/>
      <c r="N89" s="233" t="s">
        <v>477</v>
      </c>
      <c r="O89" s="16" t="s">
        <v>24</v>
      </c>
      <c r="P89" s="219" t="s">
        <v>47</v>
      </c>
      <c r="Q89" s="221" t="s">
        <v>478</v>
      </c>
      <c r="R89" s="11"/>
      <c r="S89" s="11"/>
      <c r="T89" s="11"/>
    </row>
    <row r="90" spans="1:20" ht="36" customHeight="1" x14ac:dyDescent="0.2">
      <c r="A90" s="7">
        <v>87</v>
      </c>
      <c r="B90" s="7">
        <v>88</v>
      </c>
      <c r="C90" s="231" t="s">
        <v>479</v>
      </c>
      <c r="D90" s="3" t="s">
        <v>84</v>
      </c>
      <c r="E90" s="18" t="s">
        <v>20</v>
      </c>
      <c r="F90" s="7"/>
      <c r="G90" s="7"/>
      <c r="H90" s="7"/>
      <c r="I90" s="3" t="s">
        <v>480</v>
      </c>
      <c r="J90" s="7"/>
      <c r="K90" s="7"/>
      <c r="L90" s="228" t="s">
        <v>122</v>
      </c>
      <c r="M90" s="3"/>
      <c r="N90" s="228" t="s">
        <v>481</v>
      </c>
      <c r="O90" s="3" t="s">
        <v>259</v>
      </c>
      <c r="P90" s="186" t="s">
        <v>47</v>
      </c>
      <c r="Q90" s="222" t="s">
        <v>482</v>
      </c>
      <c r="R90" s="11"/>
      <c r="S90" s="11"/>
      <c r="T90" s="11"/>
    </row>
    <row r="91" spans="1:20" ht="36" customHeight="1" x14ac:dyDescent="0.2">
      <c r="A91" s="15">
        <v>88</v>
      </c>
      <c r="B91" s="15">
        <v>89</v>
      </c>
      <c r="C91" s="232" t="s">
        <v>483</v>
      </c>
      <c r="D91" s="16" t="s">
        <v>376</v>
      </c>
      <c r="E91" s="19" t="s">
        <v>28</v>
      </c>
      <c r="F91" s="15"/>
      <c r="G91" s="15"/>
      <c r="H91" s="15"/>
      <c r="I91" s="16" t="s">
        <v>484</v>
      </c>
      <c r="J91" s="15"/>
      <c r="K91" s="15"/>
      <c r="L91" s="233" t="s">
        <v>339</v>
      </c>
      <c r="M91" s="16"/>
      <c r="N91" s="233" t="s">
        <v>485</v>
      </c>
      <c r="O91" s="16" t="s">
        <v>231</v>
      </c>
      <c r="P91" s="219" t="s">
        <v>47</v>
      </c>
      <c r="Q91" s="221" t="s">
        <v>486</v>
      </c>
      <c r="R91" s="11"/>
      <c r="S91" s="11"/>
      <c r="T91" s="11"/>
    </row>
    <row r="92" spans="1:20" ht="36" customHeight="1" x14ac:dyDescent="0.2">
      <c r="A92" s="7">
        <v>89</v>
      </c>
      <c r="B92" s="7">
        <v>90</v>
      </c>
      <c r="C92" s="231" t="s">
        <v>487</v>
      </c>
      <c r="D92" s="3" t="s">
        <v>234</v>
      </c>
      <c r="E92" s="18" t="s">
        <v>28</v>
      </c>
      <c r="F92" s="7"/>
      <c r="G92" s="7"/>
      <c r="H92" s="7"/>
      <c r="I92" s="3" t="s">
        <v>300</v>
      </c>
      <c r="J92" s="7"/>
      <c r="K92" s="7"/>
      <c r="L92" s="228" t="s">
        <v>488</v>
      </c>
      <c r="M92" s="3"/>
      <c r="N92" s="228" t="s">
        <v>302</v>
      </c>
      <c r="O92" s="3" t="s">
        <v>440</v>
      </c>
      <c r="P92" s="186" t="s">
        <v>24</v>
      </c>
      <c r="Q92" s="222" t="s">
        <v>489</v>
      </c>
      <c r="R92" s="11"/>
      <c r="S92" s="11"/>
      <c r="T92" s="11"/>
    </row>
    <row r="93" spans="1:20" ht="36" customHeight="1" x14ac:dyDescent="0.2">
      <c r="A93" s="15">
        <v>90</v>
      </c>
      <c r="B93" s="15">
        <v>91</v>
      </c>
      <c r="C93" s="232" t="s">
        <v>490</v>
      </c>
      <c r="D93" s="16" t="s">
        <v>50</v>
      </c>
      <c r="E93" s="17" t="s">
        <v>28</v>
      </c>
      <c r="F93" s="15"/>
      <c r="G93" s="15"/>
      <c r="H93" s="15"/>
      <c r="I93" s="16" t="s">
        <v>491</v>
      </c>
      <c r="J93" s="15"/>
      <c r="K93" s="15"/>
      <c r="L93" s="233" t="s">
        <v>285</v>
      </c>
      <c r="M93" s="16"/>
      <c r="N93" s="233" t="s">
        <v>492</v>
      </c>
      <c r="O93" s="16" t="s">
        <v>24</v>
      </c>
      <c r="P93" s="219" t="s">
        <v>47</v>
      </c>
      <c r="Q93" s="221" t="s">
        <v>493</v>
      </c>
      <c r="R93" s="11"/>
      <c r="S93" s="11"/>
      <c r="T93" s="11"/>
    </row>
    <row r="94" spans="1:20" ht="36" customHeight="1" x14ac:dyDescent="0.2">
      <c r="A94" s="7">
        <v>91</v>
      </c>
      <c r="B94" s="7">
        <v>92</v>
      </c>
      <c r="C94" s="231" t="s">
        <v>494</v>
      </c>
      <c r="D94" s="3" t="s">
        <v>127</v>
      </c>
      <c r="E94" s="14" t="s">
        <v>28</v>
      </c>
      <c r="F94" s="7"/>
      <c r="G94" s="7"/>
      <c r="H94" s="7"/>
      <c r="I94" s="3" t="s">
        <v>459</v>
      </c>
      <c r="J94" s="7"/>
      <c r="K94" s="7"/>
      <c r="L94" s="228" t="s">
        <v>122</v>
      </c>
      <c r="M94" s="3"/>
      <c r="N94" s="228" t="s">
        <v>461</v>
      </c>
      <c r="O94" s="3" t="s">
        <v>24</v>
      </c>
      <c r="P94" s="186" t="s">
        <v>47</v>
      </c>
      <c r="Q94" s="222" t="s">
        <v>495</v>
      </c>
      <c r="R94" s="11"/>
      <c r="S94" s="11"/>
      <c r="T94" s="11"/>
    </row>
    <row r="95" spans="1:20" ht="36" customHeight="1" x14ac:dyDescent="0.2">
      <c r="A95" s="15">
        <v>92</v>
      </c>
      <c r="B95" s="15">
        <v>93</v>
      </c>
      <c r="C95" s="232" t="s">
        <v>496</v>
      </c>
      <c r="D95" s="16" t="s">
        <v>114</v>
      </c>
      <c r="E95" s="19" t="s">
        <v>28</v>
      </c>
      <c r="F95" s="15"/>
      <c r="G95" s="15"/>
      <c r="H95" s="15"/>
      <c r="I95" s="16" t="s">
        <v>300</v>
      </c>
      <c r="J95" s="15"/>
      <c r="K95" s="15"/>
      <c r="L95" s="233" t="s">
        <v>497</v>
      </c>
      <c r="M95" s="16"/>
      <c r="N95" s="233" t="s">
        <v>302</v>
      </c>
      <c r="O95" s="16" t="s">
        <v>47</v>
      </c>
      <c r="P95" s="219" t="s">
        <v>47</v>
      </c>
      <c r="Q95" s="221" t="s">
        <v>498</v>
      </c>
      <c r="R95" s="11"/>
      <c r="S95" s="11"/>
      <c r="T95" s="11"/>
    </row>
    <row r="96" spans="1:20" ht="36" customHeight="1" x14ac:dyDescent="0.2">
      <c r="A96" s="7">
        <v>93</v>
      </c>
      <c r="B96" s="7">
        <v>94</v>
      </c>
      <c r="C96" s="231" t="s">
        <v>499</v>
      </c>
      <c r="D96" s="3" t="s">
        <v>500</v>
      </c>
      <c r="E96" s="18" t="s">
        <v>20</v>
      </c>
      <c r="F96" s="7"/>
      <c r="G96" s="7"/>
      <c r="H96" s="7"/>
      <c r="I96" s="3" t="s">
        <v>501</v>
      </c>
      <c r="J96" s="7"/>
      <c r="K96" s="7"/>
      <c r="L96" s="228" t="s">
        <v>183</v>
      </c>
      <c r="M96" s="3"/>
      <c r="N96" s="228" t="s">
        <v>502</v>
      </c>
      <c r="O96" s="3" t="s">
        <v>24</v>
      </c>
      <c r="P96" s="186" t="s">
        <v>503</v>
      </c>
      <c r="Q96" s="222" t="s">
        <v>504</v>
      </c>
      <c r="R96" s="11"/>
      <c r="S96" s="11"/>
      <c r="T96" s="11"/>
    </row>
    <row r="97" spans="1:20" ht="36" customHeight="1" x14ac:dyDescent="0.2">
      <c r="A97" s="15">
        <v>94</v>
      </c>
      <c r="B97" s="15">
        <v>95</v>
      </c>
      <c r="C97" s="232" t="s">
        <v>505</v>
      </c>
      <c r="D97" s="16" t="s">
        <v>506</v>
      </c>
      <c r="E97" s="19" t="s">
        <v>28</v>
      </c>
      <c r="F97" s="15"/>
      <c r="G97" s="15"/>
      <c r="H97" s="15"/>
      <c r="I97" s="16" t="s">
        <v>507</v>
      </c>
      <c r="J97" s="15"/>
      <c r="K97" s="15"/>
      <c r="L97" s="233"/>
      <c r="M97" s="16"/>
      <c r="N97" s="233" t="s">
        <v>508</v>
      </c>
      <c r="O97" s="16" t="s">
        <v>24</v>
      </c>
      <c r="P97" s="219" t="s">
        <v>503</v>
      </c>
      <c r="Q97" s="221" t="s">
        <v>509</v>
      </c>
      <c r="R97" s="11"/>
      <c r="S97" s="11"/>
      <c r="T97" s="11"/>
    </row>
    <row r="98" spans="1:20" ht="36" customHeight="1" x14ac:dyDescent="0.2">
      <c r="A98" s="7">
        <v>95</v>
      </c>
      <c r="B98" s="7">
        <v>96</v>
      </c>
      <c r="C98" s="231" t="s">
        <v>510</v>
      </c>
      <c r="D98" s="3" t="s">
        <v>511</v>
      </c>
      <c r="E98" s="18" t="s">
        <v>28</v>
      </c>
      <c r="F98" s="7"/>
      <c r="G98" s="7"/>
      <c r="H98" s="7"/>
      <c r="I98" s="3" t="s">
        <v>512</v>
      </c>
      <c r="J98" s="7"/>
      <c r="K98" s="7"/>
      <c r="L98" s="228" t="s">
        <v>372</v>
      </c>
      <c r="M98" s="3"/>
      <c r="N98" s="228" t="s">
        <v>513</v>
      </c>
      <c r="O98" s="3" t="s">
        <v>53</v>
      </c>
      <c r="P98" s="186" t="s">
        <v>24</v>
      </c>
      <c r="Q98" s="222" t="s">
        <v>514</v>
      </c>
      <c r="R98" s="11"/>
      <c r="S98" s="11"/>
      <c r="T98" s="11"/>
    </row>
    <row r="99" spans="1:20" ht="36" customHeight="1" x14ac:dyDescent="0.2">
      <c r="A99" s="15">
        <v>96</v>
      </c>
      <c r="B99" s="15">
        <v>97</v>
      </c>
      <c r="C99" s="232" t="s">
        <v>515</v>
      </c>
      <c r="D99" s="16" t="s">
        <v>50</v>
      </c>
      <c r="E99" s="17" t="s">
        <v>28</v>
      </c>
      <c r="F99" s="15"/>
      <c r="G99" s="15"/>
      <c r="H99" s="15"/>
      <c r="I99" s="16" t="s">
        <v>507</v>
      </c>
      <c r="J99" s="15"/>
      <c r="K99" s="15"/>
      <c r="L99" s="233" t="s">
        <v>269</v>
      </c>
      <c r="M99" s="16"/>
      <c r="N99" s="233" t="s">
        <v>508</v>
      </c>
      <c r="O99" s="16" t="s">
        <v>81</v>
      </c>
      <c r="P99" s="219" t="s">
        <v>81</v>
      </c>
      <c r="Q99" s="221" t="s">
        <v>516</v>
      </c>
      <c r="R99" s="11"/>
      <c r="S99" s="11"/>
      <c r="T99" s="11"/>
    </row>
    <row r="100" spans="1:20" ht="36" customHeight="1" x14ac:dyDescent="0.2">
      <c r="A100" s="7">
        <v>97</v>
      </c>
      <c r="B100" s="7">
        <v>98</v>
      </c>
      <c r="C100" s="231" t="s">
        <v>517</v>
      </c>
      <c r="D100" s="3" t="s">
        <v>518</v>
      </c>
      <c r="E100" s="21" t="s">
        <v>28</v>
      </c>
      <c r="F100" s="7"/>
      <c r="G100" s="7"/>
      <c r="H100" s="7"/>
      <c r="I100" s="3" t="s">
        <v>519</v>
      </c>
      <c r="J100" s="7"/>
      <c r="K100" s="7"/>
      <c r="L100" s="228" t="s">
        <v>105</v>
      </c>
      <c r="M100" s="3"/>
      <c r="N100" s="228" t="s">
        <v>520</v>
      </c>
      <c r="O100" s="3" t="s">
        <v>24</v>
      </c>
      <c r="P100" s="186" t="s">
        <v>503</v>
      </c>
      <c r="Q100" s="222" t="s">
        <v>521</v>
      </c>
      <c r="R100" s="11"/>
      <c r="S100" s="11"/>
      <c r="T100" s="11"/>
    </row>
    <row r="101" spans="1:20" ht="36" customHeight="1" x14ac:dyDescent="0.2">
      <c r="A101" s="15">
        <v>98</v>
      </c>
      <c r="B101" s="15">
        <v>99</v>
      </c>
      <c r="C101" s="232" t="s">
        <v>522</v>
      </c>
      <c r="D101" s="16" t="s">
        <v>518</v>
      </c>
      <c r="E101" s="19" t="s">
        <v>28</v>
      </c>
      <c r="F101" s="15"/>
      <c r="G101" s="15"/>
      <c r="H101" s="15"/>
      <c r="I101" s="16" t="s">
        <v>512</v>
      </c>
      <c r="J101" s="15"/>
      <c r="K101" s="15"/>
      <c r="L101" s="233" t="s">
        <v>263</v>
      </c>
      <c r="M101" s="16"/>
      <c r="N101" s="233" t="s">
        <v>513</v>
      </c>
      <c r="O101" s="16" t="s">
        <v>24</v>
      </c>
      <c r="P101" s="219" t="s">
        <v>503</v>
      </c>
      <c r="Q101" s="221" t="s">
        <v>523</v>
      </c>
      <c r="R101" s="11"/>
      <c r="S101" s="11"/>
      <c r="T101" s="11"/>
    </row>
    <row r="102" spans="1:20" ht="36" customHeight="1" x14ac:dyDescent="0.2">
      <c r="A102" s="7">
        <v>99</v>
      </c>
      <c r="B102" s="7">
        <v>100</v>
      </c>
      <c r="C102" s="231" t="s">
        <v>524</v>
      </c>
      <c r="D102" s="3" t="s">
        <v>500</v>
      </c>
      <c r="E102" s="18" t="s">
        <v>20</v>
      </c>
      <c r="F102" s="7"/>
      <c r="G102" s="7"/>
      <c r="H102" s="7"/>
      <c r="I102" s="3" t="s">
        <v>525</v>
      </c>
      <c r="J102" s="7"/>
      <c r="K102" s="7"/>
      <c r="L102" s="228" t="s">
        <v>129</v>
      </c>
      <c r="M102" s="3"/>
      <c r="N102" s="228" t="s">
        <v>526</v>
      </c>
      <c r="O102" s="3" t="s">
        <v>24</v>
      </c>
      <c r="P102" s="186" t="s">
        <v>503</v>
      </c>
      <c r="Q102" s="222" t="s">
        <v>527</v>
      </c>
      <c r="R102" s="11"/>
      <c r="S102" s="11"/>
      <c r="T102" s="11"/>
    </row>
    <row r="103" spans="1:20" ht="36" customHeight="1" x14ac:dyDescent="0.2">
      <c r="A103" s="15">
        <v>100</v>
      </c>
      <c r="B103" s="15">
        <v>101</v>
      </c>
      <c r="C103" s="232" t="s">
        <v>528</v>
      </c>
      <c r="D103" s="16" t="s">
        <v>529</v>
      </c>
      <c r="E103" s="17" t="s">
        <v>20</v>
      </c>
      <c r="F103" s="15"/>
      <c r="G103" s="15"/>
      <c r="H103" s="15"/>
      <c r="I103" s="16" t="s">
        <v>530</v>
      </c>
      <c r="J103" s="15"/>
      <c r="K103" s="15"/>
      <c r="L103" s="233" t="s">
        <v>248</v>
      </c>
      <c r="M103" s="16"/>
      <c r="N103" s="233" t="s">
        <v>531</v>
      </c>
      <c r="O103" s="16" t="s">
        <v>24</v>
      </c>
      <c r="P103" s="219" t="s">
        <v>503</v>
      </c>
      <c r="Q103" s="221" t="s">
        <v>532</v>
      </c>
      <c r="R103" s="11"/>
      <c r="S103" s="11"/>
      <c r="T103" s="11"/>
    </row>
    <row r="104" spans="1:20" ht="36" customHeight="1" x14ac:dyDescent="0.2">
      <c r="A104" s="7">
        <v>101</v>
      </c>
      <c r="B104" s="7">
        <v>102</v>
      </c>
      <c r="C104" s="231" t="s">
        <v>533</v>
      </c>
      <c r="D104" s="3" t="s">
        <v>534</v>
      </c>
      <c r="E104" s="18" t="s">
        <v>28</v>
      </c>
      <c r="F104" s="7"/>
      <c r="G104" s="7"/>
      <c r="H104" s="7"/>
      <c r="I104" s="3" t="s">
        <v>535</v>
      </c>
      <c r="J104" s="7"/>
      <c r="K104" s="7"/>
      <c r="L104" s="228" t="s">
        <v>105</v>
      </c>
      <c r="M104" s="3"/>
      <c r="N104" s="228" t="s">
        <v>536</v>
      </c>
      <c r="O104" s="3" t="s">
        <v>24</v>
      </c>
      <c r="P104" s="186" t="s">
        <v>24</v>
      </c>
      <c r="Q104" s="222" t="s">
        <v>537</v>
      </c>
      <c r="R104" s="11"/>
      <c r="S104" s="11"/>
      <c r="T104" s="11"/>
    </row>
    <row r="105" spans="1:20" ht="36" customHeight="1" x14ac:dyDescent="0.2">
      <c r="A105" s="15">
        <v>102</v>
      </c>
      <c r="B105" s="15">
        <v>103</v>
      </c>
      <c r="C105" s="232" t="s">
        <v>538</v>
      </c>
      <c r="D105" s="16" t="s">
        <v>539</v>
      </c>
      <c r="E105" s="17" t="s">
        <v>28</v>
      </c>
      <c r="F105" s="15"/>
      <c r="G105" s="15"/>
      <c r="H105" s="15"/>
      <c r="I105" s="16" t="s">
        <v>540</v>
      </c>
      <c r="J105" s="15"/>
      <c r="K105" s="15"/>
      <c r="L105" s="233" t="s">
        <v>541</v>
      </c>
      <c r="M105" s="16"/>
      <c r="N105" s="233" t="s">
        <v>542</v>
      </c>
      <c r="O105" s="16" t="s">
        <v>24</v>
      </c>
      <c r="P105" s="219" t="s">
        <v>24</v>
      </c>
      <c r="Q105" s="221" t="s">
        <v>543</v>
      </c>
      <c r="R105" s="11"/>
      <c r="S105" s="11"/>
      <c r="T105" s="11"/>
    </row>
    <row r="106" spans="1:20" ht="36" customHeight="1" x14ac:dyDescent="0.2">
      <c r="A106" s="7">
        <v>103</v>
      </c>
      <c r="B106" s="7">
        <v>104</v>
      </c>
      <c r="C106" s="231" t="s">
        <v>544</v>
      </c>
      <c r="D106" s="3" t="s">
        <v>500</v>
      </c>
      <c r="E106" s="18" t="s">
        <v>20</v>
      </c>
      <c r="F106" s="7"/>
      <c r="G106" s="7"/>
      <c r="H106" s="7"/>
      <c r="I106" s="3" t="s">
        <v>545</v>
      </c>
      <c r="J106" s="7"/>
      <c r="K106" s="7"/>
      <c r="L106" s="228" t="s">
        <v>22</v>
      </c>
      <c r="M106" s="3"/>
      <c r="N106" s="228" t="s">
        <v>546</v>
      </c>
      <c r="O106" s="3" t="s">
        <v>24</v>
      </c>
      <c r="P106" s="186" t="s">
        <v>503</v>
      </c>
      <c r="Q106" s="222" t="s">
        <v>547</v>
      </c>
      <c r="R106" s="11"/>
      <c r="S106" s="11"/>
      <c r="T106" s="11"/>
    </row>
    <row r="107" spans="1:20" ht="36" customHeight="1" x14ac:dyDescent="0.2">
      <c r="A107" s="15">
        <v>104</v>
      </c>
      <c r="B107" s="15">
        <v>105</v>
      </c>
      <c r="C107" s="232" t="s">
        <v>548</v>
      </c>
      <c r="D107" s="16" t="s">
        <v>549</v>
      </c>
      <c r="E107" s="17" t="s">
        <v>28</v>
      </c>
      <c r="F107" s="15"/>
      <c r="G107" s="15"/>
      <c r="H107" s="15"/>
      <c r="I107" s="16" t="s">
        <v>550</v>
      </c>
      <c r="J107" s="15"/>
      <c r="K107" s="15"/>
      <c r="L107" s="233" t="s">
        <v>356</v>
      </c>
      <c r="M107" s="16"/>
      <c r="N107" s="233" t="s">
        <v>551</v>
      </c>
      <c r="O107" s="16" t="s">
        <v>24</v>
      </c>
      <c r="P107" s="219" t="s">
        <v>24</v>
      </c>
      <c r="Q107" s="221" t="s">
        <v>552</v>
      </c>
      <c r="R107" s="11"/>
      <c r="S107" s="11"/>
      <c r="T107" s="11"/>
    </row>
    <row r="108" spans="1:20" ht="36" customHeight="1" x14ac:dyDescent="0.2">
      <c r="A108" s="7">
        <v>105</v>
      </c>
      <c r="B108" s="7">
        <v>106</v>
      </c>
      <c r="C108" s="231" t="s">
        <v>553</v>
      </c>
      <c r="D108" s="3" t="s">
        <v>549</v>
      </c>
      <c r="E108" s="21" t="s">
        <v>28</v>
      </c>
      <c r="F108" s="7"/>
      <c r="G108" s="7"/>
      <c r="H108" s="7"/>
      <c r="I108" s="3" t="s">
        <v>554</v>
      </c>
      <c r="J108" s="7"/>
      <c r="K108" s="7"/>
      <c r="L108" s="228" t="s">
        <v>339</v>
      </c>
      <c r="M108" s="3"/>
      <c r="N108" s="228" t="s">
        <v>555</v>
      </c>
      <c r="O108" s="3" t="s">
        <v>24</v>
      </c>
      <c r="P108" s="186" t="s">
        <v>24</v>
      </c>
      <c r="Q108" s="222" t="s">
        <v>556</v>
      </c>
      <c r="R108" s="11"/>
      <c r="S108" s="11"/>
      <c r="T108" s="11"/>
    </row>
    <row r="109" spans="1:20" ht="36" customHeight="1" x14ac:dyDescent="0.2">
      <c r="A109" s="15">
        <v>106</v>
      </c>
      <c r="B109" s="15">
        <v>107</v>
      </c>
      <c r="C109" s="232" t="s">
        <v>557</v>
      </c>
      <c r="D109" s="16" t="s">
        <v>534</v>
      </c>
      <c r="E109" s="17" t="s">
        <v>28</v>
      </c>
      <c r="F109" s="15"/>
      <c r="G109" s="15"/>
      <c r="H109" s="15"/>
      <c r="I109" s="16" t="s">
        <v>558</v>
      </c>
      <c r="J109" s="15"/>
      <c r="K109" s="15"/>
      <c r="L109" s="233" t="s">
        <v>339</v>
      </c>
      <c r="M109" s="16"/>
      <c r="N109" s="233" t="s">
        <v>559</v>
      </c>
      <c r="O109" s="16" t="s">
        <v>24</v>
      </c>
      <c r="P109" s="219" t="s">
        <v>24</v>
      </c>
      <c r="Q109" s="221" t="s">
        <v>560</v>
      </c>
      <c r="R109" s="11"/>
      <c r="S109" s="11"/>
      <c r="T109" s="11"/>
    </row>
    <row r="110" spans="1:20" ht="36" customHeight="1" x14ac:dyDescent="0.2">
      <c r="A110" s="7">
        <v>107</v>
      </c>
      <c r="B110" s="7">
        <v>108</v>
      </c>
      <c r="C110" s="231" t="s">
        <v>561</v>
      </c>
      <c r="D110" s="3" t="s">
        <v>562</v>
      </c>
      <c r="E110" s="18" t="s">
        <v>20</v>
      </c>
      <c r="F110" s="7"/>
      <c r="G110" s="7"/>
      <c r="H110" s="7"/>
      <c r="I110" s="3" t="s">
        <v>512</v>
      </c>
      <c r="J110" s="7"/>
      <c r="K110" s="7"/>
      <c r="L110" s="228" t="s">
        <v>563</v>
      </c>
      <c r="M110" s="3"/>
      <c r="N110" s="228" t="s">
        <v>513</v>
      </c>
      <c r="O110" s="3" t="s">
        <v>24</v>
      </c>
      <c r="P110" s="186" t="s">
        <v>65</v>
      </c>
      <c r="Q110" s="222" t="s">
        <v>564</v>
      </c>
      <c r="R110" s="11"/>
      <c r="S110" s="11"/>
      <c r="T110" s="11"/>
    </row>
    <row r="111" spans="1:20" ht="36" customHeight="1" x14ac:dyDescent="0.2">
      <c r="A111" s="15">
        <v>108</v>
      </c>
      <c r="B111" s="15">
        <v>109</v>
      </c>
      <c r="C111" s="232" t="s">
        <v>565</v>
      </c>
      <c r="D111" s="16" t="s">
        <v>566</v>
      </c>
      <c r="E111" s="19" t="s">
        <v>28</v>
      </c>
      <c r="F111" s="15"/>
      <c r="G111" s="15"/>
      <c r="H111" s="15"/>
      <c r="I111" s="16" t="s">
        <v>512</v>
      </c>
      <c r="J111" s="15"/>
      <c r="K111" s="15"/>
      <c r="L111" s="233" t="s">
        <v>188</v>
      </c>
      <c r="M111" s="16"/>
      <c r="N111" s="233" t="s">
        <v>513</v>
      </c>
      <c r="O111" s="16" t="s">
        <v>24</v>
      </c>
      <c r="P111" s="219" t="s">
        <v>65</v>
      </c>
      <c r="Q111" s="221" t="s">
        <v>567</v>
      </c>
      <c r="R111" s="11"/>
      <c r="S111" s="11"/>
      <c r="T111" s="11"/>
    </row>
    <row r="112" spans="1:20" ht="36" customHeight="1" x14ac:dyDescent="0.2">
      <c r="A112" s="7">
        <v>109</v>
      </c>
      <c r="B112" s="7">
        <v>110</v>
      </c>
      <c r="C112" s="231" t="s">
        <v>568</v>
      </c>
      <c r="D112" s="3" t="s">
        <v>500</v>
      </c>
      <c r="E112" s="20" t="s">
        <v>20</v>
      </c>
      <c r="F112" s="7"/>
      <c r="G112" s="7"/>
      <c r="H112" s="7"/>
      <c r="I112" s="3" t="s">
        <v>569</v>
      </c>
      <c r="J112" s="7"/>
      <c r="K112" s="7"/>
      <c r="L112" s="228" t="s">
        <v>570</v>
      </c>
      <c r="M112" s="3"/>
      <c r="N112" s="228" t="s">
        <v>571</v>
      </c>
      <c r="O112" s="3" t="s">
        <v>24</v>
      </c>
      <c r="P112" s="186" t="s">
        <v>503</v>
      </c>
      <c r="Q112" s="222" t="s">
        <v>572</v>
      </c>
      <c r="R112" s="11"/>
      <c r="S112" s="11"/>
      <c r="T112" s="11"/>
    </row>
    <row r="113" spans="1:20" ht="36" customHeight="1" x14ac:dyDescent="0.2">
      <c r="A113" s="15">
        <v>110</v>
      </c>
      <c r="B113" s="15">
        <v>111</v>
      </c>
      <c r="C113" s="232" t="s">
        <v>573</v>
      </c>
      <c r="D113" s="16" t="s">
        <v>534</v>
      </c>
      <c r="E113" s="19" t="s">
        <v>20</v>
      </c>
      <c r="F113" s="15"/>
      <c r="G113" s="15"/>
      <c r="H113" s="15"/>
      <c r="I113" s="16" t="s">
        <v>569</v>
      </c>
      <c r="J113" s="15"/>
      <c r="K113" s="15"/>
      <c r="L113" s="233"/>
      <c r="M113" s="16"/>
      <c r="N113" s="233" t="s">
        <v>571</v>
      </c>
      <c r="O113" s="16" t="s">
        <v>24</v>
      </c>
      <c r="P113" s="219" t="s">
        <v>24</v>
      </c>
      <c r="Q113" s="221" t="s">
        <v>574</v>
      </c>
      <c r="R113" s="11"/>
      <c r="S113" s="11"/>
      <c r="T113" s="11"/>
    </row>
    <row r="114" spans="1:20" ht="36" customHeight="1" x14ac:dyDescent="0.2">
      <c r="A114" s="7">
        <v>111</v>
      </c>
      <c r="B114" s="7">
        <v>112</v>
      </c>
      <c r="C114" s="231" t="s">
        <v>575</v>
      </c>
      <c r="D114" s="3" t="s">
        <v>500</v>
      </c>
      <c r="E114" s="18" t="s">
        <v>20</v>
      </c>
      <c r="F114" s="7"/>
      <c r="G114" s="7"/>
      <c r="H114" s="7"/>
      <c r="I114" s="3" t="s">
        <v>569</v>
      </c>
      <c r="J114" s="7"/>
      <c r="K114" s="7"/>
      <c r="L114" s="228" t="s">
        <v>576</v>
      </c>
      <c r="M114" s="3"/>
      <c r="N114" s="228" t="s">
        <v>571</v>
      </c>
      <c r="O114" s="3" t="s">
        <v>24</v>
      </c>
      <c r="P114" s="186" t="s">
        <v>503</v>
      </c>
      <c r="Q114" s="222" t="s">
        <v>577</v>
      </c>
      <c r="R114" s="11"/>
      <c r="S114" s="11"/>
      <c r="T114" s="11"/>
    </row>
    <row r="115" spans="1:20" ht="36" customHeight="1" x14ac:dyDescent="0.2">
      <c r="A115" s="15">
        <v>112</v>
      </c>
      <c r="B115" s="15">
        <v>113</v>
      </c>
      <c r="C115" s="232" t="s">
        <v>578</v>
      </c>
      <c r="D115" s="16" t="s">
        <v>579</v>
      </c>
      <c r="E115" s="17" t="s">
        <v>28</v>
      </c>
      <c r="F115" s="15"/>
      <c r="G115" s="15"/>
      <c r="H115" s="15"/>
      <c r="I115" s="16" t="s">
        <v>300</v>
      </c>
      <c r="J115" s="15"/>
      <c r="K115" s="15"/>
      <c r="L115" s="233" t="s">
        <v>580</v>
      </c>
      <c r="M115" s="16"/>
      <c r="N115" s="233" t="s">
        <v>302</v>
      </c>
      <c r="O115" s="16" t="s">
        <v>53</v>
      </c>
      <c r="P115" s="219" t="s">
        <v>503</v>
      </c>
      <c r="Q115" s="221" t="s">
        <v>581</v>
      </c>
      <c r="R115" s="11"/>
      <c r="S115" s="11"/>
      <c r="T115" s="11"/>
    </row>
    <row r="116" spans="1:20" ht="36" customHeight="1" x14ac:dyDescent="0.2">
      <c r="A116" s="7">
        <v>113</v>
      </c>
      <c r="B116" s="7">
        <v>114</v>
      </c>
      <c r="C116" s="231" t="s">
        <v>582</v>
      </c>
      <c r="D116" s="3" t="s">
        <v>500</v>
      </c>
      <c r="E116" s="18" t="s">
        <v>28</v>
      </c>
      <c r="F116" s="7"/>
      <c r="G116" s="7"/>
      <c r="H116" s="7"/>
      <c r="I116" s="3" t="s">
        <v>459</v>
      </c>
      <c r="J116" s="7"/>
      <c r="K116" s="7"/>
      <c r="L116" s="228" t="s">
        <v>497</v>
      </c>
      <c r="M116" s="3"/>
      <c r="N116" s="228" t="s">
        <v>461</v>
      </c>
      <c r="O116" s="3" t="s">
        <v>24</v>
      </c>
      <c r="P116" s="186" t="s">
        <v>503</v>
      </c>
      <c r="Q116" s="222" t="s">
        <v>583</v>
      </c>
      <c r="R116" s="11"/>
      <c r="S116" s="11"/>
      <c r="T116" s="11"/>
    </row>
    <row r="117" spans="1:20" ht="36" customHeight="1" x14ac:dyDescent="0.2">
      <c r="A117" s="15">
        <v>114</v>
      </c>
      <c r="B117" s="15">
        <v>115</v>
      </c>
      <c r="C117" s="232" t="s">
        <v>584</v>
      </c>
      <c r="D117" s="16" t="s">
        <v>50</v>
      </c>
      <c r="E117" s="17" t="s">
        <v>42</v>
      </c>
      <c r="F117" s="15"/>
      <c r="G117" s="15"/>
      <c r="H117" s="15"/>
      <c r="I117" s="16" t="s">
        <v>507</v>
      </c>
      <c r="J117" s="15"/>
      <c r="K117" s="15"/>
      <c r="L117" s="233" t="s">
        <v>243</v>
      </c>
      <c r="M117" s="16"/>
      <c r="N117" s="233" t="s">
        <v>508</v>
      </c>
      <c r="O117" s="16" t="s">
        <v>81</v>
      </c>
      <c r="P117" s="219" t="s">
        <v>24</v>
      </c>
      <c r="Q117" s="221" t="s">
        <v>585</v>
      </c>
      <c r="R117" s="11"/>
      <c r="S117" s="11"/>
      <c r="T117" s="11"/>
    </row>
    <row r="118" spans="1:20" ht="36" customHeight="1" x14ac:dyDescent="0.2">
      <c r="A118" s="7">
        <v>115</v>
      </c>
      <c r="B118" s="7">
        <v>116</v>
      </c>
      <c r="C118" s="231" t="s">
        <v>586</v>
      </c>
      <c r="D118" s="3" t="s">
        <v>534</v>
      </c>
      <c r="E118" s="18" t="s">
        <v>28</v>
      </c>
      <c r="F118" s="7"/>
      <c r="G118" s="7"/>
      <c r="H118" s="7"/>
      <c r="I118" s="3" t="s">
        <v>569</v>
      </c>
      <c r="J118" s="7"/>
      <c r="K118" s="7"/>
      <c r="L118" s="228" t="s">
        <v>90</v>
      </c>
      <c r="M118" s="3"/>
      <c r="N118" s="228" t="s">
        <v>571</v>
      </c>
      <c r="O118" s="3" t="s">
        <v>24</v>
      </c>
      <c r="P118" s="186" t="s">
        <v>47</v>
      </c>
      <c r="Q118" s="222" t="s">
        <v>587</v>
      </c>
      <c r="R118" s="11"/>
      <c r="S118" s="11"/>
      <c r="T118" s="11"/>
    </row>
    <row r="119" spans="1:20" ht="36" customHeight="1" x14ac:dyDescent="0.2">
      <c r="A119" s="15">
        <v>116</v>
      </c>
      <c r="B119" s="15">
        <v>117</v>
      </c>
      <c r="C119" s="232" t="s">
        <v>588</v>
      </c>
      <c r="D119" s="16" t="s">
        <v>534</v>
      </c>
      <c r="E119" s="22" t="s">
        <v>28</v>
      </c>
      <c r="F119" s="15"/>
      <c r="G119" s="15"/>
      <c r="H119" s="15"/>
      <c r="I119" s="16" t="s">
        <v>569</v>
      </c>
      <c r="J119" s="15"/>
      <c r="K119" s="15"/>
      <c r="L119" s="233" t="s">
        <v>589</v>
      </c>
      <c r="M119" s="16"/>
      <c r="N119" s="233" t="s">
        <v>571</v>
      </c>
      <c r="O119" s="16" t="s">
        <v>24</v>
      </c>
      <c r="P119" s="219" t="s">
        <v>47</v>
      </c>
      <c r="Q119" s="221" t="s">
        <v>590</v>
      </c>
      <c r="R119" s="11"/>
      <c r="S119" s="11"/>
      <c r="T119" s="11"/>
    </row>
    <row r="120" spans="1:20" ht="36" customHeight="1" x14ac:dyDescent="0.2">
      <c r="A120" s="7">
        <v>117</v>
      </c>
      <c r="B120" s="7">
        <v>118</v>
      </c>
      <c r="C120" s="231" t="s">
        <v>591</v>
      </c>
      <c r="D120" s="3" t="s">
        <v>376</v>
      </c>
      <c r="E120" s="20" t="s">
        <v>20</v>
      </c>
      <c r="F120" s="7"/>
      <c r="G120" s="7"/>
      <c r="H120" s="7"/>
      <c r="I120" s="3" t="s">
        <v>229</v>
      </c>
      <c r="J120" s="7"/>
      <c r="K120" s="7"/>
      <c r="L120" s="228" t="s">
        <v>122</v>
      </c>
      <c r="M120" s="3"/>
      <c r="N120" s="228" t="s">
        <v>230</v>
      </c>
      <c r="O120" s="3" t="s">
        <v>53</v>
      </c>
      <c r="P120" s="186" t="s">
        <v>53</v>
      </c>
      <c r="Q120" s="222" t="s">
        <v>592</v>
      </c>
      <c r="R120" s="11"/>
      <c r="S120" s="11"/>
      <c r="T120" s="11"/>
    </row>
    <row r="121" spans="1:20" ht="36" customHeight="1" x14ac:dyDescent="0.2">
      <c r="A121" s="15">
        <v>118</v>
      </c>
      <c r="B121" s="15">
        <v>120</v>
      </c>
      <c r="C121" s="232" t="s">
        <v>593</v>
      </c>
      <c r="D121" s="16" t="s">
        <v>309</v>
      </c>
      <c r="E121" s="17" t="s">
        <v>28</v>
      </c>
      <c r="F121" s="15"/>
      <c r="G121" s="15"/>
      <c r="H121" s="15"/>
      <c r="I121" s="16" t="s">
        <v>507</v>
      </c>
      <c r="J121" s="15"/>
      <c r="K121" s="15"/>
      <c r="L121" s="233" t="s">
        <v>183</v>
      </c>
      <c r="M121" s="16"/>
      <c r="N121" s="233" t="s">
        <v>508</v>
      </c>
      <c r="O121" s="16" t="s">
        <v>53</v>
      </c>
      <c r="P121" s="219" t="s">
        <v>24</v>
      </c>
      <c r="Q121" s="221" t="s">
        <v>594</v>
      </c>
      <c r="R121" s="11"/>
      <c r="S121" s="11"/>
      <c r="T121" s="11"/>
    </row>
    <row r="122" spans="1:20" ht="36" customHeight="1" x14ac:dyDescent="0.2">
      <c r="A122" s="7">
        <v>119</v>
      </c>
      <c r="B122" s="7">
        <v>121</v>
      </c>
      <c r="C122" s="231" t="s">
        <v>595</v>
      </c>
      <c r="D122" s="3" t="s">
        <v>318</v>
      </c>
      <c r="E122" s="20" t="s">
        <v>20</v>
      </c>
      <c r="F122" s="7"/>
      <c r="G122" s="7"/>
      <c r="H122" s="7"/>
      <c r="I122" s="3" t="s">
        <v>596</v>
      </c>
      <c r="J122" s="7"/>
      <c r="K122" s="7"/>
      <c r="L122" s="228" t="s">
        <v>22</v>
      </c>
      <c r="M122" s="3"/>
      <c r="N122" s="228" t="s">
        <v>597</v>
      </c>
      <c r="O122" s="3" t="s">
        <v>24</v>
      </c>
      <c r="P122" s="186" t="s">
        <v>47</v>
      </c>
      <c r="Q122" s="222" t="s">
        <v>598</v>
      </c>
      <c r="R122" s="11"/>
      <c r="S122" s="11"/>
      <c r="T122" s="11"/>
    </row>
    <row r="123" spans="1:20" ht="36" customHeight="1" x14ac:dyDescent="0.2">
      <c r="A123" s="15">
        <v>120</v>
      </c>
      <c r="B123" s="15">
        <v>122</v>
      </c>
      <c r="C123" s="232" t="s">
        <v>599</v>
      </c>
      <c r="D123" s="16" t="s">
        <v>318</v>
      </c>
      <c r="E123" s="22" t="s">
        <v>28</v>
      </c>
      <c r="F123" s="15"/>
      <c r="G123" s="15"/>
      <c r="H123" s="15"/>
      <c r="I123" s="16" t="s">
        <v>600</v>
      </c>
      <c r="J123" s="15"/>
      <c r="K123" s="15"/>
      <c r="L123" s="233" t="s">
        <v>122</v>
      </c>
      <c r="M123" s="16"/>
      <c r="N123" s="233" t="s">
        <v>601</v>
      </c>
      <c r="O123" s="16" t="s">
        <v>24</v>
      </c>
      <c r="P123" s="219" t="s">
        <v>47</v>
      </c>
      <c r="Q123" s="221" t="s">
        <v>602</v>
      </c>
      <c r="R123" s="11"/>
      <c r="S123" s="11"/>
      <c r="T123" s="11"/>
    </row>
    <row r="124" spans="1:20" ht="36" customHeight="1" x14ac:dyDescent="0.2">
      <c r="A124" s="7">
        <v>121</v>
      </c>
      <c r="B124" s="7">
        <v>123</v>
      </c>
      <c r="C124" s="231" t="s">
        <v>603</v>
      </c>
      <c r="D124" s="3" t="s">
        <v>309</v>
      </c>
      <c r="E124" s="18" t="s">
        <v>42</v>
      </c>
      <c r="F124" s="7"/>
      <c r="G124" s="7"/>
      <c r="H124" s="7"/>
      <c r="I124" s="3" t="s">
        <v>507</v>
      </c>
      <c r="J124" s="7"/>
      <c r="K124" s="7"/>
      <c r="L124" s="228" t="s">
        <v>58</v>
      </c>
      <c r="M124" s="3"/>
      <c r="N124" s="228" t="s">
        <v>508</v>
      </c>
      <c r="O124" s="3" t="s">
        <v>24</v>
      </c>
      <c r="P124" s="186" t="s">
        <v>47</v>
      </c>
      <c r="Q124" s="222" t="s">
        <v>604</v>
      </c>
      <c r="R124" s="11"/>
      <c r="S124" s="11"/>
      <c r="T124" s="11"/>
    </row>
    <row r="125" spans="1:20" ht="36" customHeight="1" x14ac:dyDescent="0.2">
      <c r="A125" s="15">
        <v>122</v>
      </c>
      <c r="B125" s="15">
        <v>124</v>
      </c>
      <c r="C125" s="232" t="s">
        <v>605</v>
      </c>
      <c r="D125" s="16" t="s">
        <v>606</v>
      </c>
      <c r="E125" s="19" t="s">
        <v>42</v>
      </c>
      <c r="F125" s="15"/>
      <c r="G125" s="15"/>
      <c r="H125" s="15"/>
      <c r="I125" s="16" t="s">
        <v>607</v>
      </c>
      <c r="J125" s="15"/>
      <c r="K125" s="15"/>
      <c r="L125" s="233" t="s">
        <v>285</v>
      </c>
      <c r="M125" s="16"/>
      <c r="N125" s="233" t="s">
        <v>608</v>
      </c>
      <c r="O125" s="16" t="s">
        <v>24</v>
      </c>
      <c r="P125" s="219" t="s">
        <v>503</v>
      </c>
      <c r="Q125" s="221" t="s">
        <v>609</v>
      </c>
      <c r="R125" s="11"/>
      <c r="S125" s="11"/>
      <c r="T125" s="11"/>
    </row>
    <row r="126" spans="1:20" ht="36" customHeight="1" x14ac:dyDescent="0.2">
      <c r="A126" s="7">
        <v>123</v>
      </c>
      <c r="B126" s="7">
        <v>125</v>
      </c>
      <c r="C126" s="231" t="s">
        <v>610</v>
      </c>
      <c r="D126" s="3" t="s">
        <v>611</v>
      </c>
      <c r="E126" s="18" t="s">
        <v>20</v>
      </c>
      <c r="F126" s="7"/>
      <c r="G126" s="7"/>
      <c r="H126" s="7"/>
      <c r="I126" s="3" t="s">
        <v>612</v>
      </c>
      <c r="J126" s="7"/>
      <c r="K126" s="7"/>
      <c r="L126" s="228" t="s">
        <v>22</v>
      </c>
      <c r="M126" s="3"/>
      <c r="N126" s="228" t="s">
        <v>613</v>
      </c>
      <c r="O126" s="3" t="s">
        <v>24</v>
      </c>
      <c r="P126" s="186" t="s">
        <v>47</v>
      </c>
      <c r="Q126" s="222" t="s">
        <v>614</v>
      </c>
      <c r="R126" s="11"/>
      <c r="S126" s="11"/>
      <c r="T126" s="11"/>
    </row>
    <row r="127" spans="1:20" ht="36" customHeight="1" x14ac:dyDescent="0.2">
      <c r="A127" s="15">
        <v>124</v>
      </c>
      <c r="B127" s="15">
        <v>126</v>
      </c>
      <c r="C127" s="232" t="s">
        <v>615</v>
      </c>
      <c r="D127" s="16" t="s">
        <v>616</v>
      </c>
      <c r="E127" s="19" t="s">
        <v>42</v>
      </c>
      <c r="F127" s="15"/>
      <c r="G127" s="15"/>
      <c r="H127" s="15"/>
      <c r="I127" s="16" t="s">
        <v>617</v>
      </c>
      <c r="J127" s="15"/>
      <c r="K127" s="15"/>
      <c r="L127" s="233" t="s">
        <v>618</v>
      </c>
      <c r="M127" s="16"/>
      <c r="N127" s="233" t="s">
        <v>619</v>
      </c>
      <c r="O127" s="16" t="s">
        <v>620</v>
      </c>
      <c r="P127" s="219" t="s">
        <v>621</v>
      </c>
      <c r="Q127" s="221" t="s">
        <v>622</v>
      </c>
      <c r="R127" s="11"/>
      <c r="S127" s="11"/>
      <c r="T127" s="11"/>
    </row>
    <row r="128" spans="1:20" ht="36" customHeight="1" x14ac:dyDescent="0.2">
      <c r="A128" s="7">
        <v>125</v>
      </c>
      <c r="B128" s="7">
        <v>127</v>
      </c>
      <c r="C128" s="231" t="s">
        <v>623</v>
      </c>
      <c r="D128" s="3" t="s">
        <v>624</v>
      </c>
      <c r="E128" s="18" t="s">
        <v>42</v>
      </c>
      <c r="F128" s="7"/>
      <c r="G128" s="7"/>
      <c r="H128" s="7"/>
      <c r="I128" s="3" t="s">
        <v>617</v>
      </c>
      <c r="J128" s="7"/>
      <c r="K128" s="7"/>
      <c r="L128" s="228" t="s">
        <v>116</v>
      </c>
      <c r="M128" s="3"/>
      <c r="N128" s="228" t="s">
        <v>619</v>
      </c>
      <c r="O128" s="3" t="s">
        <v>625</v>
      </c>
      <c r="P128" s="186" t="s">
        <v>626</v>
      </c>
      <c r="Q128" s="222" t="s">
        <v>627</v>
      </c>
      <c r="R128" s="11"/>
      <c r="S128" s="11"/>
      <c r="T128" s="11"/>
    </row>
    <row r="129" spans="1:20" ht="36" customHeight="1" x14ac:dyDescent="0.2">
      <c r="A129" s="15">
        <v>126</v>
      </c>
      <c r="B129" s="15">
        <v>128</v>
      </c>
      <c r="C129" s="232" t="s">
        <v>628</v>
      </c>
      <c r="D129" s="16" t="s">
        <v>629</v>
      </c>
      <c r="E129" s="19" t="s">
        <v>28</v>
      </c>
      <c r="F129" s="15"/>
      <c r="G129" s="15"/>
      <c r="H129" s="15"/>
      <c r="I129" s="16" t="s">
        <v>630</v>
      </c>
      <c r="J129" s="15"/>
      <c r="K129" s="15"/>
      <c r="L129" s="233" t="s">
        <v>285</v>
      </c>
      <c r="M129" s="16"/>
      <c r="N129" s="233" t="s">
        <v>631</v>
      </c>
      <c r="O129" s="16" t="s">
        <v>24</v>
      </c>
      <c r="P129" s="219" t="s">
        <v>24</v>
      </c>
      <c r="Q129" s="221" t="s">
        <v>632</v>
      </c>
      <c r="R129" s="11"/>
      <c r="S129" s="11"/>
      <c r="T129" s="11"/>
    </row>
    <row r="130" spans="1:20" ht="36" customHeight="1" x14ac:dyDescent="0.2">
      <c r="A130" s="7">
        <v>127</v>
      </c>
      <c r="B130" s="7">
        <v>129</v>
      </c>
      <c r="C130" s="231" t="s">
        <v>633</v>
      </c>
      <c r="D130" s="3" t="s">
        <v>500</v>
      </c>
      <c r="E130" s="20" t="s">
        <v>28</v>
      </c>
      <c r="F130" s="7"/>
      <c r="G130" s="7"/>
      <c r="H130" s="7"/>
      <c r="I130" s="3" t="s">
        <v>569</v>
      </c>
      <c r="J130" s="7"/>
      <c r="K130" s="7"/>
      <c r="L130" s="228" t="s">
        <v>634</v>
      </c>
      <c r="M130" s="3"/>
      <c r="N130" s="228" t="s">
        <v>571</v>
      </c>
      <c r="O130" s="3" t="s">
        <v>24</v>
      </c>
      <c r="P130" s="186" t="s">
        <v>503</v>
      </c>
      <c r="Q130" s="222" t="s">
        <v>635</v>
      </c>
      <c r="R130" s="11"/>
      <c r="S130" s="11"/>
      <c r="T130" s="11"/>
    </row>
    <row r="131" spans="1:20" ht="36" customHeight="1" x14ac:dyDescent="0.2">
      <c r="A131" s="15">
        <v>128</v>
      </c>
      <c r="B131" s="15">
        <v>130</v>
      </c>
      <c r="C131" s="232" t="s">
        <v>636</v>
      </c>
      <c r="D131" s="16" t="s">
        <v>637</v>
      </c>
      <c r="E131" s="17" t="s">
        <v>28</v>
      </c>
      <c r="F131" s="15"/>
      <c r="G131" s="15"/>
      <c r="H131" s="15"/>
      <c r="I131" s="16" t="s">
        <v>617</v>
      </c>
      <c r="J131" s="15"/>
      <c r="K131" s="15"/>
      <c r="L131" s="233" t="s">
        <v>638</v>
      </c>
      <c r="M131" s="16"/>
      <c r="N131" s="233" t="s">
        <v>619</v>
      </c>
      <c r="O131" s="16" t="s">
        <v>81</v>
      </c>
      <c r="P131" s="219" t="s">
        <v>81</v>
      </c>
      <c r="Q131" s="221" t="s">
        <v>639</v>
      </c>
      <c r="R131" s="11"/>
      <c r="S131" s="11"/>
      <c r="T131" s="11"/>
    </row>
    <row r="132" spans="1:20" ht="36" customHeight="1" x14ac:dyDescent="0.2">
      <c r="A132" s="7">
        <v>129</v>
      </c>
      <c r="B132" s="7">
        <v>131</v>
      </c>
      <c r="C132" s="231" t="s">
        <v>640</v>
      </c>
      <c r="D132" s="3" t="s">
        <v>641</v>
      </c>
      <c r="E132" s="18" t="s">
        <v>28</v>
      </c>
      <c r="F132" s="7"/>
      <c r="G132" s="7"/>
      <c r="H132" s="7"/>
      <c r="I132" s="3" t="s">
        <v>507</v>
      </c>
      <c r="J132" s="7"/>
      <c r="K132" s="7"/>
      <c r="L132" s="228" t="s">
        <v>642</v>
      </c>
      <c r="M132" s="3"/>
      <c r="N132" s="228" t="s">
        <v>508</v>
      </c>
      <c r="O132" s="3" t="s">
        <v>643</v>
      </c>
      <c r="P132" s="186" t="s">
        <v>53</v>
      </c>
      <c r="Q132" s="222" t="s">
        <v>644</v>
      </c>
      <c r="R132" s="11"/>
      <c r="S132" s="11"/>
      <c r="T132" s="11"/>
    </row>
    <row r="133" spans="1:20" ht="36" customHeight="1" x14ac:dyDescent="0.2">
      <c r="A133" s="15">
        <v>130</v>
      </c>
      <c r="B133" s="15">
        <v>133</v>
      </c>
      <c r="C133" s="232" t="s">
        <v>645</v>
      </c>
      <c r="D133" s="16" t="s">
        <v>646</v>
      </c>
      <c r="E133" s="19" t="s">
        <v>28</v>
      </c>
      <c r="F133" s="15"/>
      <c r="G133" s="15"/>
      <c r="H133" s="15"/>
      <c r="I133" s="16" t="s">
        <v>617</v>
      </c>
      <c r="J133" s="15"/>
      <c r="K133" s="15"/>
      <c r="L133" s="233" t="s">
        <v>647</v>
      </c>
      <c r="M133" s="16"/>
      <c r="N133" s="233" t="s">
        <v>619</v>
      </c>
      <c r="O133" s="16" t="s">
        <v>648</v>
      </c>
      <c r="P133" s="219" t="s">
        <v>649</v>
      </c>
      <c r="Q133" s="221" t="s">
        <v>650</v>
      </c>
      <c r="R133" s="11"/>
      <c r="S133" s="11"/>
      <c r="T133" s="11"/>
    </row>
    <row r="134" spans="1:20" ht="36" customHeight="1" x14ac:dyDescent="0.2">
      <c r="A134" s="7">
        <v>131</v>
      </c>
      <c r="B134" s="7">
        <v>134</v>
      </c>
      <c r="C134" s="231" t="s">
        <v>651</v>
      </c>
      <c r="D134" s="3" t="s">
        <v>318</v>
      </c>
      <c r="E134" s="18" t="s">
        <v>28</v>
      </c>
      <c r="F134" s="7"/>
      <c r="G134" s="7"/>
      <c r="H134" s="7"/>
      <c r="I134" s="3" t="s">
        <v>652</v>
      </c>
      <c r="J134" s="7"/>
      <c r="K134" s="7"/>
      <c r="L134" s="228" t="s">
        <v>653</v>
      </c>
      <c r="M134" s="3"/>
      <c r="N134" s="228" t="s">
        <v>654</v>
      </c>
      <c r="O134" s="3" t="s">
        <v>24</v>
      </c>
      <c r="P134" s="186" t="s">
        <v>47</v>
      </c>
      <c r="Q134" s="222" t="s">
        <v>655</v>
      </c>
      <c r="R134" s="11"/>
      <c r="S134" s="11"/>
      <c r="T134" s="11"/>
    </row>
    <row r="135" spans="1:20" ht="36" customHeight="1" x14ac:dyDescent="0.2">
      <c r="A135" s="15">
        <v>132</v>
      </c>
      <c r="B135" s="15">
        <v>135</v>
      </c>
      <c r="C135" s="232" t="s">
        <v>656</v>
      </c>
      <c r="D135" s="16" t="s">
        <v>318</v>
      </c>
      <c r="E135" s="22" t="s">
        <v>42</v>
      </c>
      <c r="F135" s="15"/>
      <c r="G135" s="15"/>
      <c r="H135" s="15"/>
      <c r="I135" s="16" t="s">
        <v>652</v>
      </c>
      <c r="J135" s="15"/>
      <c r="K135" s="15"/>
      <c r="L135" s="233" t="s">
        <v>657</v>
      </c>
      <c r="M135" s="16"/>
      <c r="N135" s="233" t="s">
        <v>654</v>
      </c>
      <c r="O135" s="16" t="s">
        <v>24</v>
      </c>
      <c r="P135" s="219" t="s">
        <v>24</v>
      </c>
      <c r="Q135" s="221" t="s">
        <v>658</v>
      </c>
      <c r="R135" s="11"/>
      <c r="S135" s="11"/>
      <c r="T135" s="11"/>
    </row>
    <row r="136" spans="1:20" ht="36" customHeight="1" x14ac:dyDescent="0.2">
      <c r="A136" s="7">
        <v>133</v>
      </c>
      <c r="B136" s="7">
        <v>136</v>
      </c>
      <c r="C136" s="231" t="s">
        <v>659</v>
      </c>
      <c r="D136" s="3" t="s">
        <v>660</v>
      </c>
      <c r="E136" s="21" t="s">
        <v>20</v>
      </c>
      <c r="F136" s="7"/>
      <c r="G136" s="7"/>
      <c r="H136" s="7"/>
      <c r="I136" s="3" t="s">
        <v>661</v>
      </c>
      <c r="J136" s="7"/>
      <c r="K136" s="7"/>
      <c r="L136" s="228" t="s">
        <v>662</v>
      </c>
      <c r="M136" s="3"/>
      <c r="N136" s="228" t="s">
        <v>663</v>
      </c>
      <c r="O136" s="3" t="s">
        <v>24</v>
      </c>
      <c r="P136" s="186" t="s">
        <v>47</v>
      </c>
      <c r="Q136" s="222" t="s">
        <v>664</v>
      </c>
      <c r="R136" s="11"/>
      <c r="S136" s="11"/>
      <c r="T136" s="11"/>
    </row>
    <row r="137" spans="1:20" ht="36" customHeight="1" x14ac:dyDescent="0.2">
      <c r="A137" s="15">
        <v>134</v>
      </c>
      <c r="B137" s="15">
        <v>137</v>
      </c>
      <c r="C137" s="232" t="s">
        <v>665</v>
      </c>
      <c r="D137" s="16" t="s">
        <v>666</v>
      </c>
      <c r="E137" s="19" t="s">
        <v>28</v>
      </c>
      <c r="F137" s="15"/>
      <c r="G137" s="15"/>
      <c r="H137" s="15"/>
      <c r="I137" s="16" t="s">
        <v>229</v>
      </c>
      <c r="J137" s="15"/>
      <c r="K137" s="15"/>
      <c r="L137" s="233" t="s">
        <v>263</v>
      </c>
      <c r="M137" s="16"/>
      <c r="N137" s="233" t="s">
        <v>230</v>
      </c>
      <c r="O137" s="16" t="s">
        <v>24</v>
      </c>
      <c r="P137" s="219" t="s">
        <v>47</v>
      </c>
      <c r="Q137" s="221" t="s">
        <v>667</v>
      </c>
      <c r="R137" s="11"/>
      <c r="S137" s="11"/>
      <c r="T137" s="11"/>
    </row>
    <row r="138" spans="1:20" ht="36" customHeight="1" x14ac:dyDescent="0.2">
      <c r="A138" s="7">
        <v>135</v>
      </c>
      <c r="B138" s="7">
        <v>138</v>
      </c>
      <c r="C138" s="231" t="s">
        <v>668</v>
      </c>
      <c r="D138" s="3" t="s">
        <v>669</v>
      </c>
      <c r="E138" s="18" t="s">
        <v>28</v>
      </c>
      <c r="F138" s="7"/>
      <c r="G138" s="7"/>
      <c r="H138" s="7"/>
      <c r="I138" s="3" t="s">
        <v>459</v>
      </c>
      <c r="J138" s="7"/>
      <c r="K138" s="7"/>
      <c r="L138" s="228" t="s">
        <v>79</v>
      </c>
      <c r="M138" s="3"/>
      <c r="N138" s="228" t="s">
        <v>461</v>
      </c>
      <c r="O138" s="3" t="s">
        <v>24</v>
      </c>
      <c r="P138" s="186" t="s">
        <v>24</v>
      </c>
      <c r="Q138" s="222" t="s">
        <v>670</v>
      </c>
      <c r="R138" s="11"/>
      <c r="S138" s="11"/>
      <c r="T138" s="11"/>
    </row>
    <row r="139" spans="1:20" ht="36" customHeight="1" x14ac:dyDescent="0.2">
      <c r="A139" s="15">
        <v>136</v>
      </c>
      <c r="B139" s="15">
        <v>139</v>
      </c>
      <c r="C139" s="232" t="s">
        <v>671</v>
      </c>
      <c r="D139" s="16" t="s">
        <v>672</v>
      </c>
      <c r="E139" s="19" t="s">
        <v>28</v>
      </c>
      <c r="F139" s="15"/>
      <c r="G139" s="15"/>
      <c r="H139" s="15"/>
      <c r="I139" s="16" t="s">
        <v>507</v>
      </c>
      <c r="J139" s="15"/>
      <c r="K139" s="15"/>
      <c r="L139" s="233" t="s">
        <v>22</v>
      </c>
      <c r="M139" s="16"/>
      <c r="N139" s="233" t="s">
        <v>508</v>
      </c>
      <c r="O139" s="16" t="s">
        <v>53</v>
      </c>
      <c r="P139" s="219" t="s">
        <v>24</v>
      </c>
      <c r="Q139" s="221" t="s">
        <v>673</v>
      </c>
      <c r="R139" s="11"/>
      <c r="S139" s="11"/>
      <c r="T139" s="11"/>
    </row>
    <row r="140" spans="1:20" ht="36" customHeight="1" x14ac:dyDescent="0.2">
      <c r="A140" s="7">
        <v>137</v>
      </c>
      <c r="B140" s="7">
        <v>140</v>
      </c>
      <c r="C140" s="231" t="s">
        <v>674</v>
      </c>
      <c r="D140" s="3" t="s">
        <v>675</v>
      </c>
      <c r="E140" s="18" t="s">
        <v>42</v>
      </c>
      <c r="F140" s="7"/>
      <c r="G140" s="7"/>
      <c r="H140" s="7"/>
      <c r="I140" s="3" t="s">
        <v>507</v>
      </c>
      <c r="J140" s="7"/>
      <c r="K140" s="7"/>
      <c r="L140" s="228" t="s">
        <v>454</v>
      </c>
      <c r="M140" s="3"/>
      <c r="N140" s="228" t="s">
        <v>508</v>
      </c>
      <c r="O140" s="3" t="s">
        <v>676</v>
      </c>
      <c r="P140" s="186" t="s">
        <v>676</v>
      </c>
      <c r="Q140" s="222" t="s">
        <v>677</v>
      </c>
      <c r="R140" s="11"/>
      <c r="S140" s="11"/>
      <c r="T140" s="11"/>
    </row>
    <row r="141" spans="1:20" ht="36" customHeight="1" x14ac:dyDescent="0.2">
      <c r="A141" s="15">
        <v>138</v>
      </c>
      <c r="B141" s="15">
        <v>141</v>
      </c>
      <c r="C141" s="232" t="s">
        <v>678</v>
      </c>
      <c r="D141" s="16" t="s">
        <v>679</v>
      </c>
      <c r="E141" s="22" t="s">
        <v>20</v>
      </c>
      <c r="F141" s="15"/>
      <c r="G141" s="15"/>
      <c r="H141" s="15"/>
      <c r="I141" s="16" t="s">
        <v>680</v>
      </c>
      <c r="J141" s="15"/>
      <c r="K141" s="15"/>
      <c r="L141" s="233" t="s">
        <v>681</v>
      </c>
      <c r="M141" s="16"/>
      <c r="N141" s="233" t="s">
        <v>682</v>
      </c>
      <c r="O141" s="16" t="s">
        <v>24</v>
      </c>
      <c r="P141" s="219" t="s">
        <v>47</v>
      </c>
      <c r="Q141" s="221" t="s">
        <v>683</v>
      </c>
      <c r="R141" s="11"/>
      <c r="S141" s="11"/>
      <c r="T141" s="11"/>
    </row>
    <row r="142" spans="1:20" ht="36" customHeight="1" x14ac:dyDescent="0.2">
      <c r="A142" s="7">
        <v>139</v>
      </c>
      <c r="B142" s="7">
        <v>142</v>
      </c>
      <c r="C142" s="231" t="s">
        <v>684</v>
      </c>
      <c r="D142" s="3" t="s">
        <v>679</v>
      </c>
      <c r="E142" s="18" t="s">
        <v>28</v>
      </c>
      <c r="F142" s="7"/>
      <c r="G142" s="7"/>
      <c r="H142" s="7"/>
      <c r="I142" s="3" t="s">
        <v>685</v>
      </c>
      <c r="J142" s="7"/>
      <c r="K142" s="7"/>
      <c r="L142" s="228" t="s">
        <v>183</v>
      </c>
      <c r="M142" s="3"/>
      <c r="N142" s="228" t="s">
        <v>686</v>
      </c>
      <c r="O142" s="3" t="s">
        <v>24</v>
      </c>
      <c r="P142" s="186" t="s">
        <v>47</v>
      </c>
      <c r="Q142" s="222" t="s">
        <v>687</v>
      </c>
      <c r="R142" s="11"/>
      <c r="S142" s="11"/>
      <c r="T142" s="11"/>
    </row>
    <row r="143" spans="1:20" ht="36" customHeight="1" x14ac:dyDescent="0.2">
      <c r="A143" s="15">
        <v>140</v>
      </c>
      <c r="B143" s="15">
        <v>143</v>
      </c>
      <c r="C143" s="232" t="s">
        <v>688</v>
      </c>
      <c r="D143" s="16" t="s">
        <v>679</v>
      </c>
      <c r="E143" s="19" t="s">
        <v>28</v>
      </c>
      <c r="F143" s="15"/>
      <c r="G143" s="15"/>
      <c r="H143" s="15"/>
      <c r="I143" s="16" t="s">
        <v>689</v>
      </c>
      <c r="J143" s="15"/>
      <c r="K143" s="15"/>
      <c r="L143" s="233" t="s">
        <v>129</v>
      </c>
      <c r="M143" s="16"/>
      <c r="N143" s="233" t="s">
        <v>690</v>
      </c>
      <c r="O143" s="16" t="s">
        <v>24</v>
      </c>
      <c r="P143" s="219" t="s">
        <v>47</v>
      </c>
      <c r="Q143" s="221" t="s">
        <v>691</v>
      </c>
      <c r="R143" s="11"/>
      <c r="S143" s="11"/>
      <c r="T143" s="11"/>
    </row>
    <row r="144" spans="1:20" ht="36" customHeight="1" x14ac:dyDescent="0.2">
      <c r="A144" s="7">
        <v>141</v>
      </c>
      <c r="B144" s="7">
        <v>146</v>
      </c>
      <c r="C144" s="231" t="s">
        <v>692</v>
      </c>
      <c r="D144" s="3" t="s">
        <v>693</v>
      </c>
      <c r="E144" s="18" t="s">
        <v>28</v>
      </c>
      <c r="F144" s="7"/>
      <c r="G144" s="7"/>
      <c r="H144" s="7"/>
      <c r="I144" s="3" t="s">
        <v>694</v>
      </c>
      <c r="J144" s="7"/>
      <c r="K144" s="7"/>
      <c r="L144" s="228" t="s">
        <v>116</v>
      </c>
      <c r="M144" s="3"/>
      <c r="N144" s="228" t="s">
        <v>695</v>
      </c>
      <c r="O144" s="3" t="s">
        <v>696</v>
      </c>
      <c r="P144" s="186" t="s">
        <v>697</v>
      </c>
      <c r="Q144" s="222" t="s">
        <v>698</v>
      </c>
      <c r="R144" s="11"/>
      <c r="S144" s="11"/>
      <c r="T144" s="11"/>
    </row>
    <row r="145" spans="1:20" ht="36" customHeight="1" x14ac:dyDescent="0.2">
      <c r="A145" s="15">
        <v>142</v>
      </c>
      <c r="B145" s="15">
        <v>148</v>
      </c>
      <c r="C145" s="232" t="s">
        <v>699</v>
      </c>
      <c r="D145" s="16" t="s">
        <v>700</v>
      </c>
      <c r="E145" s="19" t="s">
        <v>28</v>
      </c>
      <c r="F145" s="15"/>
      <c r="G145" s="15"/>
      <c r="H145" s="15"/>
      <c r="I145" s="16" t="s">
        <v>459</v>
      </c>
      <c r="J145" s="15"/>
      <c r="K145" s="15"/>
      <c r="L145" s="233" t="s">
        <v>74</v>
      </c>
      <c r="M145" s="16"/>
      <c r="N145" s="233" t="s">
        <v>461</v>
      </c>
      <c r="O145" s="16" t="s">
        <v>326</v>
      </c>
      <c r="P145" s="219" t="s">
        <v>65</v>
      </c>
      <c r="Q145" s="221" t="s">
        <v>701</v>
      </c>
      <c r="R145" s="11"/>
      <c r="S145" s="11"/>
      <c r="T145" s="11"/>
    </row>
    <row r="146" spans="1:20" ht="36" customHeight="1" x14ac:dyDescent="0.2">
      <c r="A146" s="7">
        <v>143</v>
      </c>
      <c r="B146" s="7">
        <v>149</v>
      </c>
      <c r="C146" s="231" t="s">
        <v>702</v>
      </c>
      <c r="D146" s="3" t="s">
        <v>703</v>
      </c>
      <c r="E146" s="18" t="s">
        <v>42</v>
      </c>
      <c r="F146" s="7"/>
      <c r="G146" s="7"/>
      <c r="H146" s="7"/>
      <c r="I146" s="3" t="s">
        <v>704</v>
      </c>
      <c r="J146" s="7"/>
      <c r="K146" s="7"/>
      <c r="L146" s="228" t="s">
        <v>618</v>
      </c>
      <c r="M146" s="3"/>
      <c r="N146" s="228" t="s">
        <v>705</v>
      </c>
      <c r="O146" s="3" t="s">
        <v>53</v>
      </c>
      <c r="P146" s="186" t="s">
        <v>24</v>
      </c>
      <c r="Q146" s="222" t="s">
        <v>706</v>
      </c>
      <c r="R146" s="11"/>
      <c r="S146" s="11"/>
      <c r="T146" s="11"/>
    </row>
    <row r="147" spans="1:20" ht="36" customHeight="1" x14ac:dyDescent="0.2">
      <c r="A147" s="15">
        <v>144</v>
      </c>
      <c r="B147" s="15">
        <v>150</v>
      </c>
      <c r="C147" s="232" t="s">
        <v>707</v>
      </c>
      <c r="D147" s="16" t="s">
        <v>708</v>
      </c>
      <c r="E147" s="17" t="s">
        <v>28</v>
      </c>
      <c r="F147" s="15"/>
      <c r="G147" s="15"/>
      <c r="H147" s="15"/>
      <c r="I147" s="16" t="s">
        <v>709</v>
      </c>
      <c r="J147" s="15"/>
      <c r="K147" s="15"/>
      <c r="L147" s="233" t="s">
        <v>710</v>
      </c>
      <c r="M147" s="16"/>
      <c r="N147" s="233" t="s">
        <v>711</v>
      </c>
      <c r="O147" s="16" t="s">
        <v>24</v>
      </c>
      <c r="P147" s="219" t="s">
        <v>24</v>
      </c>
      <c r="Q147" s="221" t="s">
        <v>712</v>
      </c>
      <c r="R147" s="11"/>
      <c r="S147" s="11"/>
      <c r="T147" s="11"/>
    </row>
    <row r="148" spans="1:20" ht="36" customHeight="1" x14ac:dyDescent="0.2">
      <c r="A148" s="7">
        <v>145</v>
      </c>
      <c r="B148" s="7">
        <v>151</v>
      </c>
      <c r="C148" s="231" t="s">
        <v>713</v>
      </c>
      <c r="D148" s="3" t="s">
        <v>611</v>
      </c>
      <c r="E148" s="20" t="s">
        <v>28</v>
      </c>
      <c r="F148" s="7"/>
      <c r="G148" s="7"/>
      <c r="H148" s="7"/>
      <c r="I148" s="3" t="s">
        <v>689</v>
      </c>
      <c r="J148" s="7"/>
      <c r="K148" s="7"/>
      <c r="L148" s="228" t="s">
        <v>122</v>
      </c>
      <c r="M148" s="3"/>
      <c r="N148" s="228" t="s">
        <v>690</v>
      </c>
      <c r="O148" s="3" t="s">
        <v>24</v>
      </c>
      <c r="P148" s="186" t="s">
        <v>24</v>
      </c>
      <c r="Q148" s="222" t="s">
        <v>714</v>
      </c>
      <c r="R148" s="11"/>
      <c r="S148" s="11"/>
      <c r="T148" s="11"/>
    </row>
    <row r="149" spans="1:20" ht="36" customHeight="1" x14ac:dyDescent="0.2">
      <c r="A149" s="15">
        <v>146</v>
      </c>
      <c r="B149" s="15">
        <v>152</v>
      </c>
      <c r="C149" s="232" t="s">
        <v>715</v>
      </c>
      <c r="D149" s="16" t="s">
        <v>309</v>
      </c>
      <c r="E149" s="17" t="s">
        <v>28</v>
      </c>
      <c r="F149" s="15"/>
      <c r="G149" s="15"/>
      <c r="H149" s="15"/>
      <c r="I149" s="16" t="s">
        <v>716</v>
      </c>
      <c r="J149" s="15"/>
      <c r="K149" s="15"/>
      <c r="L149" s="233" t="s">
        <v>717</v>
      </c>
      <c r="M149" s="16"/>
      <c r="N149" s="233" t="s">
        <v>718</v>
      </c>
      <c r="O149" s="16" t="s">
        <v>24</v>
      </c>
      <c r="P149" s="219" t="s">
        <v>47</v>
      </c>
      <c r="Q149" s="221" t="s">
        <v>719</v>
      </c>
      <c r="R149" s="11"/>
      <c r="S149" s="11"/>
      <c r="T149" s="11"/>
    </row>
    <row r="150" spans="1:20" ht="36" customHeight="1" x14ac:dyDescent="0.2">
      <c r="A150" s="7">
        <v>147</v>
      </c>
      <c r="B150" s="7">
        <v>153</v>
      </c>
      <c r="C150" s="231" t="s">
        <v>720</v>
      </c>
      <c r="D150" s="3" t="s">
        <v>41</v>
      </c>
      <c r="E150" s="18" t="s">
        <v>28</v>
      </c>
      <c r="F150" s="7"/>
      <c r="G150" s="7"/>
      <c r="H150" s="7"/>
      <c r="I150" s="3" t="s">
        <v>721</v>
      </c>
      <c r="J150" s="7"/>
      <c r="K150" s="7"/>
      <c r="L150" s="228" t="s">
        <v>285</v>
      </c>
      <c r="M150" s="3"/>
      <c r="N150" s="228" t="s">
        <v>722</v>
      </c>
      <c r="O150" s="3" t="s">
        <v>65</v>
      </c>
      <c r="P150" s="186" t="s">
        <v>47</v>
      </c>
      <c r="Q150" s="222" t="s">
        <v>723</v>
      </c>
      <c r="R150" s="11"/>
      <c r="S150" s="11"/>
      <c r="T150" s="11"/>
    </row>
    <row r="151" spans="1:20" ht="36" customHeight="1" x14ac:dyDescent="0.2">
      <c r="A151" s="15">
        <v>148</v>
      </c>
      <c r="B151" s="15">
        <v>154</v>
      </c>
      <c r="C151" s="232" t="s">
        <v>724</v>
      </c>
      <c r="D151" s="16" t="s">
        <v>41</v>
      </c>
      <c r="E151" s="19" t="s">
        <v>42</v>
      </c>
      <c r="F151" s="15"/>
      <c r="G151" s="15"/>
      <c r="H151" s="15"/>
      <c r="I151" s="16" t="s">
        <v>725</v>
      </c>
      <c r="J151" s="15"/>
      <c r="K151" s="15"/>
      <c r="L151" s="233" t="s">
        <v>339</v>
      </c>
      <c r="M151" s="16"/>
      <c r="N151" s="233" t="s">
        <v>726</v>
      </c>
      <c r="O151" s="16" t="s">
        <v>456</v>
      </c>
      <c r="P151" s="219" t="s">
        <v>47</v>
      </c>
      <c r="Q151" s="221" t="s">
        <v>727</v>
      </c>
      <c r="R151" s="11"/>
      <c r="S151" s="11"/>
      <c r="T151" s="11"/>
    </row>
    <row r="152" spans="1:20" ht="36" customHeight="1" x14ac:dyDescent="0.2">
      <c r="A152" s="7">
        <v>149</v>
      </c>
      <c r="B152" s="7">
        <v>155</v>
      </c>
      <c r="C152" s="231" t="s">
        <v>728</v>
      </c>
      <c r="D152" s="3" t="s">
        <v>729</v>
      </c>
      <c r="E152" s="21" t="s">
        <v>28</v>
      </c>
      <c r="F152" s="7"/>
      <c r="G152" s="7"/>
      <c r="H152" s="7"/>
      <c r="I152" s="3" t="s">
        <v>730</v>
      </c>
      <c r="J152" s="7"/>
      <c r="K152" s="7"/>
      <c r="L152" s="228" t="s">
        <v>116</v>
      </c>
      <c r="M152" s="3"/>
      <c r="N152" s="228" t="s">
        <v>731</v>
      </c>
      <c r="O152" s="3" t="s">
        <v>732</v>
      </c>
      <c r="P152" s="186" t="s">
        <v>24</v>
      </c>
      <c r="Q152" s="222" t="s">
        <v>733</v>
      </c>
      <c r="R152" s="11"/>
      <c r="S152" s="11"/>
      <c r="T152" s="11"/>
    </row>
    <row r="153" spans="1:20" ht="36" customHeight="1" x14ac:dyDescent="0.2">
      <c r="A153" s="15">
        <v>150</v>
      </c>
      <c r="B153" s="15">
        <v>157</v>
      </c>
      <c r="C153" s="232" t="s">
        <v>734</v>
      </c>
      <c r="D153" s="16" t="s">
        <v>735</v>
      </c>
      <c r="E153" s="19" t="s">
        <v>20</v>
      </c>
      <c r="F153" s="15"/>
      <c r="G153" s="15"/>
      <c r="H153" s="15"/>
      <c r="I153" s="16" t="s">
        <v>736</v>
      </c>
      <c r="J153" s="15"/>
      <c r="K153" s="15"/>
      <c r="L153" s="233" t="s">
        <v>460</v>
      </c>
      <c r="M153" s="16"/>
      <c r="N153" s="233" t="s">
        <v>737</v>
      </c>
      <c r="O153" s="16" t="s">
        <v>24</v>
      </c>
      <c r="P153" s="219" t="s">
        <v>24</v>
      </c>
      <c r="Q153" s="221" t="s">
        <v>738</v>
      </c>
      <c r="R153" s="11"/>
      <c r="S153" s="11"/>
      <c r="T153" s="11"/>
    </row>
    <row r="154" spans="1:20" ht="36" customHeight="1" x14ac:dyDescent="0.2">
      <c r="A154" s="7">
        <v>151</v>
      </c>
      <c r="B154" s="7">
        <v>158</v>
      </c>
      <c r="C154" s="231" t="s">
        <v>739</v>
      </c>
      <c r="D154" s="3" t="s">
        <v>735</v>
      </c>
      <c r="E154" s="14" t="s">
        <v>42</v>
      </c>
      <c r="F154" s="7"/>
      <c r="G154" s="7"/>
      <c r="H154" s="7"/>
      <c r="I154" s="3" t="s">
        <v>740</v>
      </c>
      <c r="J154" s="7"/>
      <c r="K154" s="7"/>
      <c r="L154" s="228" t="s">
        <v>460</v>
      </c>
      <c r="M154" s="3"/>
      <c r="N154" s="228" t="s">
        <v>741</v>
      </c>
      <c r="O154" s="3" t="s">
        <v>24</v>
      </c>
      <c r="P154" s="186" t="s">
        <v>24</v>
      </c>
      <c r="Q154" s="222" t="s">
        <v>742</v>
      </c>
      <c r="R154" s="11"/>
      <c r="S154" s="11"/>
      <c r="T154" s="11"/>
    </row>
    <row r="155" spans="1:20" ht="36" customHeight="1" x14ac:dyDescent="0.2">
      <c r="A155" s="15">
        <v>152</v>
      </c>
      <c r="B155" s="15">
        <v>160</v>
      </c>
      <c r="C155" s="232" t="s">
        <v>743</v>
      </c>
      <c r="D155" s="16" t="s">
        <v>127</v>
      </c>
      <c r="E155" s="19" t="s">
        <v>20</v>
      </c>
      <c r="F155" s="15"/>
      <c r="G155" s="15"/>
      <c r="H155" s="15"/>
      <c r="I155" s="16" t="s">
        <v>744</v>
      </c>
      <c r="J155" s="15"/>
      <c r="K155" s="15"/>
      <c r="L155" s="233" t="s">
        <v>58</v>
      </c>
      <c r="M155" s="16"/>
      <c r="N155" s="233" t="s">
        <v>745</v>
      </c>
      <c r="O155" s="16" t="s">
        <v>259</v>
      </c>
      <c r="P155" s="219" t="s">
        <v>47</v>
      </c>
      <c r="Q155" s="221" t="s">
        <v>746</v>
      </c>
      <c r="R155" s="11"/>
      <c r="S155" s="11"/>
      <c r="T155" s="11"/>
    </row>
    <row r="156" spans="1:20" ht="36" customHeight="1" x14ac:dyDescent="0.2">
      <c r="A156" s="7">
        <v>153</v>
      </c>
      <c r="B156" s="7">
        <v>161</v>
      </c>
      <c r="C156" s="231" t="s">
        <v>747</v>
      </c>
      <c r="D156" s="3" t="s">
        <v>98</v>
      </c>
      <c r="E156" s="21" t="s">
        <v>28</v>
      </c>
      <c r="F156" s="7"/>
      <c r="G156" s="7"/>
      <c r="H156" s="7"/>
      <c r="I156" s="3" t="s">
        <v>748</v>
      </c>
      <c r="J156" s="7"/>
      <c r="K156" s="7"/>
      <c r="L156" s="228" t="s">
        <v>749</v>
      </c>
      <c r="M156" s="3"/>
      <c r="N156" s="228" t="s">
        <v>750</v>
      </c>
      <c r="O156" s="3" t="s">
        <v>24</v>
      </c>
      <c r="P156" s="186" t="s">
        <v>24</v>
      </c>
      <c r="Q156" s="222" t="s">
        <v>751</v>
      </c>
      <c r="R156" s="11"/>
      <c r="S156" s="11"/>
      <c r="T156" s="11"/>
    </row>
    <row r="157" spans="1:20" ht="36" customHeight="1" x14ac:dyDescent="0.2">
      <c r="A157" s="15">
        <v>154</v>
      </c>
      <c r="B157" s="15">
        <v>162</v>
      </c>
      <c r="C157" s="232" t="s">
        <v>752</v>
      </c>
      <c r="D157" s="16" t="s">
        <v>41</v>
      </c>
      <c r="E157" s="17" t="s">
        <v>28</v>
      </c>
      <c r="F157" s="15"/>
      <c r="G157" s="15"/>
      <c r="H157" s="15"/>
      <c r="I157" s="16" t="s">
        <v>512</v>
      </c>
      <c r="J157" s="15"/>
      <c r="K157" s="15"/>
      <c r="L157" s="233" t="s">
        <v>168</v>
      </c>
      <c r="M157" s="16"/>
      <c r="N157" s="233" t="s">
        <v>513</v>
      </c>
      <c r="O157" s="16" t="s">
        <v>65</v>
      </c>
      <c r="P157" s="219" t="s">
        <v>47</v>
      </c>
      <c r="Q157" s="221" t="s">
        <v>753</v>
      </c>
      <c r="R157" s="11"/>
      <c r="S157" s="11"/>
      <c r="T157" s="11"/>
    </row>
    <row r="158" spans="1:20" ht="36" customHeight="1" x14ac:dyDescent="0.2">
      <c r="A158" s="7">
        <v>155</v>
      </c>
      <c r="B158" s="7">
        <v>163</v>
      </c>
      <c r="C158" s="231" t="s">
        <v>754</v>
      </c>
      <c r="D158" s="3" t="s">
        <v>166</v>
      </c>
      <c r="E158" s="21" t="s">
        <v>20</v>
      </c>
      <c r="F158" s="7"/>
      <c r="G158" s="7"/>
      <c r="H158" s="7"/>
      <c r="I158" s="3" t="s">
        <v>755</v>
      </c>
      <c r="J158" s="7"/>
      <c r="K158" s="7"/>
      <c r="L158" s="228" t="s">
        <v>460</v>
      </c>
      <c r="M158" s="3"/>
      <c r="N158" s="228" t="s">
        <v>756</v>
      </c>
      <c r="O158" s="3" t="s">
        <v>24</v>
      </c>
      <c r="P158" s="186" t="s">
        <v>47</v>
      </c>
      <c r="Q158" s="222" t="s">
        <v>757</v>
      </c>
      <c r="R158" s="11"/>
      <c r="S158" s="11"/>
      <c r="T158" s="11"/>
    </row>
    <row r="159" spans="1:20" ht="36" customHeight="1" x14ac:dyDescent="0.2">
      <c r="A159" s="15">
        <v>156</v>
      </c>
      <c r="B159" s="15">
        <v>165</v>
      </c>
      <c r="C159" s="232" t="s">
        <v>758</v>
      </c>
      <c r="D159" s="16" t="s">
        <v>98</v>
      </c>
      <c r="E159" s="19" t="s">
        <v>28</v>
      </c>
      <c r="F159" s="15"/>
      <c r="G159" s="15"/>
      <c r="H159" s="15"/>
      <c r="I159" s="16" t="s">
        <v>748</v>
      </c>
      <c r="J159" s="15"/>
      <c r="K159" s="15"/>
      <c r="L159" s="233" t="s">
        <v>188</v>
      </c>
      <c r="M159" s="16"/>
      <c r="N159" s="233" t="s">
        <v>750</v>
      </c>
      <c r="O159" s="16" t="s">
        <v>24</v>
      </c>
      <c r="P159" s="219" t="s">
        <v>24</v>
      </c>
      <c r="Q159" s="221" t="s">
        <v>759</v>
      </c>
      <c r="R159" s="11"/>
      <c r="S159" s="11"/>
      <c r="T159" s="11"/>
    </row>
    <row r="160" spans="1:20" ht="36" customHeight="1" x14ac:dyDescent="0.2">
      <c r="A160" s="7">
        <v>157</v>
      </c>
      <c r="B160" s="7">
        <v>166</v>
      </c>
      <c r="C160" s="231" t="s">
        <v>760</v>
      </c>
      <c r="D160" s="3" t="s">
        <v>761</v>
      </c>
      <c r="E160" s="20" t="s">
        <v>28</v>
      </c>
      <c r="F160" s="7"/>
      <c r="G160" s="7"/>
      <c r="H160" s="7"/>
      <c r="I160" s="3" t="s">
        <v>762</v>
      </c>
      <c r="J160" s="7"/>
      <c r="K160" s="7"/>
      <c r="L160" s="228"/>
      <c r="M160" s="3"/>
      <c r="N160" s="228" t="s">
        <v>763</v>
      </c>
      <c r="O160" s="3" t="s">
        <v>24</v>
      </c>
      <c r="P160" s="186" t="s">
        <v>24</v>
      </c>
      <c r="Q160" s="222" t="s">
        <v>764</v>
      </c>
      <c r="R160" s="11"/>
      <c r="S160" s="11"/>
      <c r="T160" s="11"/>
    </row>
    <row r="161" spans="1:20" ht="36" customHeight="1" x14ac:dyDescent="0.2">
      <c r="A161" s="15">
        <v>158</v>
      </c>
      <c r="B161" s="15">
        <v>167</v>
      </c>
      <c r="C161" s="232" t="s">
        <v>765</v>
      </c>
      <c r="D161" s="16" t="s">
        <v>84</v>
      </c>
      <c r="E161" s="23" t="s">
        <v>28</v>
      </c>
      <c r="F161" s="15"/>
      <c r="G161" s="15"/>
      <c r="H161" s="15"/>
      <c r="I161" s="16" t="s">
        <v>689</v>
      </c>
      <c r="J161" s="15"/>
      <c r="K161" s="15"/>
      <c r="L161" s="233" t="s">
        <v>766</v>
      </c>
      <c r="M161" s="16"/>
      <c r="N161" s="233" t="s">
        <v>690</v>
      </c>
      <c r="O161" s="16" t="s">
        <v>24</v>
      </c>
      <c r="P161" s="219" t="s">
        <v>47</v>
      </c>
      <c r="Q161" s="221" t="s">
        <v>767</v>
      </c>
      <c r="R161" s="11"/>
      <c r="S161" s="11"/>
      <c r="T161" s="11"/>
    </row>
    <row r="162" spans="1:20" ht="36" customHeight="1" x14ac:dyDescent="0.2">
      <c r="A162" s="7">
        <v>159</v>
      </c>
      <c r="B162" s="7">
        <v>168</v>
      </c>
      <c r="C162" s="231" t="s">
        <v>768</v>
      </c>
      <c r="D162" s="3" t="s">
        <v>769</v>
      </c>
      <c r="E162" s="18" t="s">
        <v>20</v>
      </c>
      <c r="F162" s="7"/>
      <c r="G162" s="7"/>
      <c r="H162" s="7"/>
      <c r="I162" s="3" t="s">
        <v>770</v>
      </c>
      <c r="J162" s="7"/>
      <c r="K162" s="7"/>
      <c r="L162" s="228" t="s">
        <v>183</v>
      </c>
      <c r="M162" s="3"/>
      <c r="N162" s="228" t="s">
        <v>771</v>
      </c>
      <c r="O162" s="3" t="s">
        <v>24</v>
      </c>
      <c r="P162" s="186" t="s">
        <v>24</v>
      </c>
      <c r="Q162" s="222" t="s">
        <v>772</v>
      </c>
      <c r="R162" s="11"/>
      <c r="S162" s="11"/>
      <c r="T162" s="11"/>
    </row>
    <row r="163" spans="1:20" ht="36" customHeight="1" x14ac:dyDescent="0.2">
      <c r="A163" s="15">
        <v>160</v>
      </c>
      <c r="B163" s="15">
        <v>169</v>
      </c>
      <c r="C163" s="232" t="s">
        <v>773</v>
      </c>
      <c r="D163" s="16" t="s">
        <v>166</v>
      </c>
      <c r="E163" s="23" t="s">
        <v>20</v>
      </c>
      <c r="F163" s="15"/>
      <c r="G163" s="15"/>
      <c r="H163" s="15"/>
      <c r="I163" s="16" t="s">
        <v>774</v>
      </c>
      <c r="J163" s="15"/>
      <c r="K163" s="15"/>
      <c r="L163" s="233" t="s">
        <v>775</v>
      </c>
      <c r="M163" s="16"/>
      <c r="N163" s="233" t="s">
        <v>776</v>
      </c>
      <c r="O163" s="16" t="s">
        <v>24</v>
      </c>
      <c r="P163" s="219" t="s">
        <v>47</v>
      </c>
      <c r="Q163" s="221" t="s">
        <v>777</v>
      </c>
      <c r="R163" s="11"/>
      <c r="S163" s="11"/>
      <c r="T163" s="11"/>
    </row>
    <row r="164" spans="1:20" ht="36" customHeight="1" x14ac:dyDescent="0.2">
      <c r="A164" s="7">
        <v>161</v>
      </c>
      <c r="B164" s="7">
        <v>171</v>
      </c>
      <c r="C164" s="231" t="s">
        <v>778</v>
      </c>
      <c r="D164" s="3" t="s">
        <v>703</v>
      </c>
      <c r="E164" s="18" t="s">
        <v>20</v>
      </c>
      <c r="F164" s="7"/>
      <c r="G164" s="7"/>
      <c r="H164" s="7"/>
      <c r="I164" s="3" t="s">
        <v>704</v>
      </c>
      <c r="J164" s="7"/>
      <c r="K164" s="7"/>
      <c r="L164" s="228" t="s">
        <v>779</v>
      </c>
      <c r="M164" s="3"/>
      <c r="N164" s="228" t="s">
        <v>705</v>
      </c>
      <c r="O164" s="3" t="s">
        <v>24</v>
      </c>
      <c r="P164" s="186" t="s">
        <v>47</v>
      </c>
      <c r="Q164" s="222" t="s">
        <v>780</v>
      </c>
      <c r="R164" s="11"/>
      <c r="S164" s="11"/>
      <c r="T164" s="11"/>
    </row>
    <row r="165" spans="1:20" ht="36" customHeight="1" x14ac:dyDescent="0.2">
      <c r="A165" s="15">
        <v>162</v>
      </c>
      <c r="B165" s="15">
        <v>172</v>
      </c>
      <c r="C165" s="232" t="s">
        <v>781</v>
      </c>
      <c r="D165" s="16" t="s">
        <v>62</v>
      </c>
      <c r="E165" s="17" t="s">
        <v>28</v>
      </c>
      <c r="F165" s="15"/>
      <c r="G165" s="15"/>
      <c r="H165" s="15"/>
      <c r="I165" s="16" t="s">
        <v>782</v>
      </c>
      <c r="J165" s="15"/>
      <c r="K165" s="15"/>
      <c r="L165" s="233" t="s">
        <v>339</v>
      </c>
      <c r="M165" s="16"/>
      <c r="N165" s="233" t="s">
        <v>783</v>
      </c>
      <c r="O165" s="16" t="s">
        <v>65</v>
      </c>
      <c r="P165" s="219" t="s">
        <v>47</v>
      </c>
      <c r="Q165" s="221" t="s">
        <v>784</v>
      </c>
      <c r="R165" s="11"/>
      <c r="S165" s="11"/>
      <c r="T165" s="11"/>
    </row>
    <row r="166" spans="1:20" ht="36" customHeight="1" x14ac:dyDescent="0.2">
      <c r="A166" s="7">
        <v>163</v>
      </c>
      <c r="B166" s="7">
        <v>173</v>
      </c>
      <c r="C166" s="231" t="s">
        <v>785</v>
      </c>
      <c r="D166" s="3" t="s">
        <v>786</v>
      </c>
      <c r="E166" s="14" t="s">
        <v>28</v>
      </c>
      <c r="F166" s="7"/>
      <c r="G166" s="7"/>
      <c r="H166" s="7"/>
      <c r="I166" s="3" t="s">
        <v>512</v>
      </c>
      <c r="J166" s="7"/>
      <c r="K166" s="7"/>
      <c r="L166" s="228" t="s">
        <v>787</v>
      </c>
      <c r="M166" s="3"/>
      <c r="N166" s="228" t="s">
        <v>513</v>
      </c>
      <c r="O166" s="3" t="s">
        <v>788</v>
      </c>
      <c r="P166" s="186" t="s">
        <v>503</v>
      </c>
      <c r="Q166" s="222" t="s">
        <v>789</v>
      </c>
      <c r="R166" s="11"/>
      <c r="S166" s="11"/>
      <c r="T166" s="11"/>
    </row>
    <row r="167" spans="1:20" ht="36" customHeight="1" x14ac:dyDescent="0.2">
      <c r="A167" s="15">
        <v>164</v>
      </c>
      <c r="B167" s="15">
        <v>174</v>
      </c>
      <c r="C167" s="232" t="s">
        <v>790</v>
      </c>
      <c r="D167" s="16" t="s">
        <v>309</v>
      </c>
      <c r="E167" s="23" t="s">
        <v>42</v>
      </c>
      <c r="F167" s="15"/>
      <c r="G167" s="15"/>
      <c r="H167" s="15"/>
      <c r="I167" s="16" t="s">
        <v>791</v>
      </c>
      <c r="J167" s="15"/>
      <c r="K167" s="15"/>
      <c r="L167" s="233" t="s">
        <v>792</v>
      </c>
      <c r="M167" s="16"/>
      <c r="N167" s="233" t="s">
        <v>793</v>
      </c>
      <c r="O167" s="16" t="s">
        <v>363</v>
      </c>
      <c r="P167" s="219" t="s">
        <v>363</v>
      </c>
      <c r="Q167" s="221" t="s">
        <v>794</v>
      </c>
      <c r="R167" s="11"/>
      <c r="S167" s="11"/>
      <c r="T167" s="11"/>
    </row>
    <row r="168" spans="1:20" ht="36" customHeight="1" x14ac:dyDescent="0.2">
      <c r="A168" s="7">
        <v>165</v>
      </c>
      <c r="B168" s="7">
        <v>175</v>
      </c>
      <c r="C168" s="231" t="s">
        <v>795</v>
      </c>
      <c r="D168" s="3" t="s">
        <v>796</v>
      </c>
      <c r="E168" s="18" t="s">
        <v>20</v>
      </c>
      <c r="F168" s="7"/>
      <c r="G168" s="7"/>
      <c r="H168" s="7"/>
      <c r="I168" s="3" t="s">
        <v>797</v>
      </c>
      <c r="J168" s="7"/>
      <c r="K168" s="7"/>
      <c r="L168" s="228" t="s">
        <v>339</v>
      </c>
      <c r="M168" s="3"/>
      <c r="N168" s="228" t="s">
        <v>798</v>
      </c>
      <c r="O168" s="3" t="s">
        <v>24</v>
      </c>
      <c r="P168" s="186" t="s">
        <v>24</v>
      </c>
      <c r="Q168" s="222" t="s">
        <v>799</v>
      </c>
      <c r="R168" s="11"/>
      <c r="S168" s="11"/>
      <c r="T168" s="11"/>
    </row>
    <row r="169" spans="1:20" ht="36" customHeight="1" x14ac:dyDescent="0.2">
      <c r="A169" s="15">
        <v>166</v>
      </c>
      <c r="B169" s="15">
        <v>176</v>
      </c>
      <c r="C169" s="232" t="s">
        <v>800</v>
      </c>
      <c r="D169" s="16" t="s">
        <v>796</v>
      </c>
      <c r="E169" s="22" t="s">
        <v>28</v>
      </c>
      <c r="F169" s="15"/>
      <c r="G169" s="15"/>
      <c r="H169" s="15"/>
      <c r="I169" s="16" t="s">
        <v>801</v>
      </c>
      <c r="J169" s="15"/>
      <c r="K169" s="15"/>
      <c r="L169" s="233" t="s">
        <v>58</v>
      </c>
      <c r="M169" s="16"/>
      <c r="N169" s="233" t="s">
        <v>802</v>
      </c>
      <c r="O169" s="16" t="s">
        <v>24</v>
      </c>
      <c r="P169" s="219" t="s">
        <v>24</v>
      </c>
      <c r="Q169" s="221" t="s">
        <v>803</v>
      </c>
      <c r="R169" s="11"/>
      <c r="S169" s="11"/>
      <c r="T169" s="11"/>
    </row>
    <row r="170" spans="1:20" ht="36" customHeight="1" x14ac:dyDescent="0.2">
      <c r="A170" s="7">
        <v>167</v>
      </c>
      <c r="B170" s="7">
        <v>177</v>
      </c>
      <c r="C170" s="231" t="s">
        <v>804</v>
      </c>
      <c r="D170" s="3" t="s">
        <v>796</v>
      </c>
      <c r="E170" s="18" t="s">
        <v>28</v>
      </c>
      <c r="F170" s="7"/>
      <c r="G170" s="7"/>
      <c r="H170" s="7"/>
      <c r="I170" s="3" t="s">
        <v>805</v>
      </c>
      <c r="J170" s="7"/>
      <c r="K170" s="7"/>
      <c r="L170" s="228" t="s">
        <v>339</v>
      </c>
      <c r="M170" s="3"/>
      <c r="N170" s="228" t="s">
        <v>806</v>
      </c>
      <c r="O170" s="3" t="s">
        <v>24</v>
      </c>
      <c r="P170" s="186" t="s">
        <v>24</v>
      </c>
      <c r="Q170" s="222" t="s">
        <v>807</v>
      </c>
      <c r="R170" s="11"/>
      <c r="S170" s="11"/>
      <c r="T170" s="11"/>
    </row>
    <row r="171" spans="1:20" ht="36" customHeight="1" x14ac:dyDescent="0.2">
      <c r="A171" s="15">
        <v>168</v>
      </c>
      <c r="B171" s="15">
        <v>178</v>
      </c>
      <c r="C171" s="232" t="s">
        <v>808</v>
      </c>
      <c r="D171" s="16" t="s">
        <v>796</v>
      </c>
      <c r="E171" s="17" t="s">
        <v>28</v>
      </c>
      <c r="F171" s="15"/>
      <c r="G171" s="15"/>
      <c r="H171" s="15"/>
      <c r="I171" s="16" t="s">
        <v>809</v>
      </c>
      <c r="J171" s="15"/>
      <c r="K171" s="15"/>
      <c r="L171" s="233" t="s">
        <v>339</v>
      </c>
      <c r="M171" s="16"/>
      <c r="N171" s="233" t="s">
        <v>810</v>
      </c>
      <c r="O171" s="16" t="s">
        <v>326</v>
      </c>
      <c r="P171" s="219" t="s">
        <v>24</v>
      </c>
      <c r="Q171" s="221" t="s">
        <v>811</v>
      </c>
      <c r="R171" s="11"/>
      <c r="S171" s="11"/>
      <c r="T171" s="11"/>
    </row>
    <row r="172" spans="1:20" ht="36" customHeight="1" x14ac:dyDescent="0.2">
      <c r="A172" s="7">
        <v>169</v>
      </c>
      <c r="B172" s="7">
        <v>179</v>
      </c>
      <c r="C172" s="231" t="s">
        <v>812</v>
      </c>
      <c r="D172" s="3" t="s">
        <v>813</v>
      </c>
      <c r="E172" s="21" t="s">
        <v>28</v>
      </c>
      <c r="F172" s="7"/>
      <c r="G172" s="7"/>
      <c r="H172" s="7"/>
      <c r="I172" s="3" t="s">
        <v>814</v>
      </c>
      <c r="J172" s="7"/>
      <c r="K172" s="7"/>
      <c r="L172" s="228" t="s">
        <v>815</v>
      </c>
      <c r="M172" s="3"/>
      <c r="N172" s="228" t="s">
        <v>816</v>
      </c>
      <c r="O172" s="3" t="s">
        <v>817</v>
      </c>
      <c r="P172" s="186" t="s">
        <v>292</v>
      </c>
      <c r="Q172" s="222" t="s">
        <v>818</v>
      </c>
      <c r="R172" s="11"/>
      <c r="S172" s="11"/>
      <c r="T172" s="11"/>
    </row>
    <row r="173" spans="1:20" ht="36" customHeight="1" x14ac:dyDescent="0.2">
      <c r="A173" s="15">
        <v>170</v>
      </c>
      <c r="B173" s="15">
        <v>180</v>
      </c>
      <c r="C173" s="232" t="s">
        <v>819</v>
      </c>
      <c r="D173" s="16" t="s">
        <v>796</v>
      </c>
      <c r="E173" s="23" t="s">
        <v>28</v>
      </c>
      <c r="F173" s="15"/>
      <c r="G173" s="15"/>
      <c r="H173" s="15"/>
      <c r="I173" s="16" t="s">
        <v>820</v>
      </c>
      <c r="J173" s="15"/>
      <c r="K173" s="15"/>
      <c r="L173" s="233" t="s">
        <v>339</v>
      </c>
      <c r="M173" s="16"/>
      <c r="N173" s="233" t="s">
        <v>821</v>
      </c>
      <c r="O173" s="16" t="s">
        <v>24</v>
      </c>
      <c r="P173" s="219" t="s">
        <v>24</v>
      </c>
      <c r="Q173" s="221" t="s">
        <v>822</v>
      </c>
      <c r="R173" s="11"/>
      <c r="S173" s="11"/>
      <c r="T173" s="11"/>
    </row>
    <row r="174" spans="1:20" ht="36" customHeight="1" x14ac:dyDescent="0.2">
      <c r="A174" s="7">
        <v>171</v>
      </c>
      <c r="B174" s="7">
        <v>181</v>
      </c>
      <c r="C174" s="231" t="s">
        <v>823</v>
      </c>
      <c r="D174" s="3" t="s">
        <v>796</v>
      </c>
      <c r="E174" s="21" t="s">
        <v>20</v>
      </c>
      <c r="F174" s="7"/>
      <c r="G174" s="7"/>
      <c r="H174" s="7"/>
      <c r="I174" s="3" t="s">
        <v>824</v>
      </c>
      <c r="J174" s="7"/>
      <c r="K174" s="7"/>
      <c r="L174" s="228" t="s">
        <v>183</v>
      </c>
      <c r="M174" s="3"/>
      <c r="N174" s="228" t="s">
        <v>825</v>
      </c>
      <c r="O174" s="3" t="s">
        <v>24</v>
      </c>
      <c r="P174" s="186" t="s">
        <v>24</v>
      </c>
      <c r="Q174" s="222" t="s">
        <v>826</v>
      </c>
      <c r="R174" s="11"/>
      <c r="S174" s="11"/>
      <c r="T174" s="11"/>
    </row>
    <row r="175" spans="1:20" ht="36" customHeight="1" x14ac:dyDescent="0.2">
      <c r="A175" s="15">
        <v>172</v>
      </c>
      <c r="B175" s="15">
        <v>182</v>
      </c>
      <c r="C175" s="232" t="s">
        <v>827</v>
      </c>
      <c r="D175" s="16" t="s">
        <v>796</v>
      </c>
      <c r="E175" s="19" t="s">
        <v>20</v>
      </c>
      <c r="F175" s="15"/>
      <c r="G175" s="15"/>
      <c r="H175" s="15"/>
      <c r="I175" s="16" t="s">
        <v>828</v>
      </c>
      <c r="J175" s="15"/>
      <c r="K175" s="15"/>
      <c r="L175" s="233" t="s">
        <v>339</v>
      </c>
      <c r="M175" s="16"/>
      <c r="N175" s="233" t="s">
        <v>829</v>
      </c>
      <c r="O175" s="16" t="s">
        <v>24</v>
      </c>
      <c r="P175" s="219" t="s">
        <v>24</v>
      </c>
      <c r="Q175" s="221" t="s">
        <v>830</v>
      </c>
      <c r="R175" s="11"/>
      <c r="S175" s="11"/>
      <c r="T175" s="11"/>
    </row>
    <row r="176" spans="1:20" ht="36" customHeight="1" x14ac:dyDescent="0.2">
      <c r="A176" s="7">
        <v>173</v>
      </c>
      <c r="B176" s="7">
        <v>183</v>
      </c>
      <c r="C176" s="231" t="s">
        <v>831</v>
      </c>
      <c r="D176" s="3" t="s">
        <v>796</v>
      </c>
      <c r="E176" s="18" t="s">
        <v>20</v>
      </c>
      <c r="F176" s="7"/>
      <c r="G176" s="7"/>
      <c r="H176" s="7"/>
      <c r="I176" s="3" t="s">
        <v>832</v>
      </c>
      <c r="J176" s="7"/>
      <c r="K176" s="7"/>
      <c r="L176" s="228" t="s">
        <v>339</v>
      </c>
      <c r="M176" s="3"/>
      <c r="N176" s="228" t="s">
        <v>833</v>
      </c>
      <c r="O176" s="3" t="s">
        <v>24</v>
      </c>
      <c r="P176" s="186" t="s">
        <v>24</v>
      </c>
      <c r="Q176" s="222" t="s">
        <v>834</v>
      </c>
      <c r="R176" s="11"/>
      <c r="S176" s="11"/>
      <c r="T176" s="11"/>
    </row>
    <row r="177" spans="1:20" ht="36" customHeight="1" x14ac:dyDescent="0.2">
      <c r="A177" s="15">
        <v>174</v>
      </c>
      <c r="B177" s="15">
        <v>184</v>
      </c>
      <c r="C177" s="232" t="s">
        <v>835</v>
      </c>
      <c r="D177" s="16" t="s">
        <v>796</v>
      </c>
      <c r="E177" s="19" t="s">
        <v>28</v>
      </c>
      <c r="F177" s="15"/>
      <c r="G177" s="15"/>
      <c r="H177" s="15"/>
      <c r="I177" s="16" t="s">
        <v>836</v>
      </c>
      <c r="J177" s="15"/>
      <c r="K177" s="15"/>
      <c r="L177" s="233" t="s">
        <v>339</v>
      </c>
      <c r="M177" s="16"/>
      <c r="N177" s="233" t="s">
        <v>837</v>
      </c>
      <c r="O177" s="16" t="s">
        <v>24</v>
      </c>
      <c r="P177" s="219" t="s">
        <v>24</v>
      </c>
      <c r="Q177" s="221" t="s">
        <v>838</v>
      </c>
      <c r="R177" s="11"/>
      <c r="S177" s="11"/>
      <c r="T177" s="11"/>
    </row>
    <row r="178" spans="1:20" ht="36" customHeight="1" x14ac:dyDescent="0.2">
      <c r="A178" s="7">
        <v>175</v>
      </c>
      <c r="B178" s="7">
        <v>185</v>
      </c>
      <c r="C178" s="231" t="s">
        <v>839</v>
      </c>
      <c r="D178" s="3" t="s">
        <v>796</v>
      </c>
      <c r="E178" s="21" t="s">
        <v>42</v>
      </c>
      <c r="F178" s="7"/>
      <c r="G178" s="7"/>
      <c r="H178" s="7"/>
      <c r="I178" s="3" t="s">
        <v>840</v>
      </c>
      <c r="J178" s="7"/>
      <c r="K178" s="7"/>
      <c r="L178" s="228" t="s">
        <v>339</v>
      </c>
      <c r="M178" s="3"/>
      <c r="N178" s="228" t="s">
        <v>841</v>
      </c>
      <c r="O178" s="3" t="s">
        <v>326</v>
      </c>
      <c r="P178" s="186" t="s">
        <v>24</v>
      </c>
      <c r="Q178" s="222" t="s">
        <v>842</v>
      </c>
      <c r="R178" s="11"/>
      <c r="S178" s="11"/>
      <c r="T178" s="11"/>
    </row>
    <row r="179" spans="1:20" ht="36" customHeight="1" x14ac:dyDescent="0.2">
      <c r="A179" s="15">
        <v>176</v>
      </c>
      <c r="B179" s="15">
        <v>186</v>
      </c>
      <c r="C179" s="232" t="s">
        <v>843</v>
      </c>
      <c r="D179" s="16" t="s">
        <v>98</v>
      </c>
      <c r="E179" s="17" t="s">
        <v>28</v>
      </c>
      <c r="F179" s="15"/>
      <c r="G179" s="15"/>
      <c r="H179" s="15"/>
      <c r="I179" s="16" t="s">
        <v>748</v>
      </c>
      <c r="J179" s="15"/>
      <c r="K179" s="15"/>
      <c r="L179" s="233" t="s">
        <v>779</v>
      </c>
      <c r="M179" s="16"/>
      <c r="N179" s="233" t="s">
        <v>750</v>
      </c>
      <c r="O179" s="16" t="s">
        <v>24</v>
      </c>
      <c r="P179" s="219" t="s">
        <v>47</v>
      </c>
      <c r="Q179" s="221" t="s">
        <v>844</v>
      </c>
      <c r="R179" s="11"/>
      <c r="S179" s="11"/>
      <c r="T179" s="11"/>
    </row>
    <row r="180" spans="1:20" ht="36" customHeight="1" x14ac:dyDescent="0.2">
      <c r="A180" s="7">
        <v>177</v>
      </c>
      <c r="B180" s="7">
        <v>187</v>
      </c>
      <c r="C180" s="231" t="s">
        <v>845</v>
      </c>
      <c r="D180" s="3" t="s">
        <v>846</v>
      </c>
      <c r="E180" s="18" t="s">
        <v>28</v>
      </c>
      <c r="F180" s="7"/>
      <c r="G180" s="7"/>
      <c r="H180" s="7"/>
      <c r="I180" s="3" t="s">
        <v>847</v>
      </c>
      <c r="J180" s="7"/>
      <c r="K180" s="7"/>
      <c r="L180" s="228" t="s">
        <v>339</v>
      </c>
      <c r="M180" s="3"/>
      <c r="N180" s="228" t="s">
        <v>848</v>
      </c>
      <c r="O180" s="3" t="s">
        <v>24</v>
      </c>
      <c r="P180" s="186" t="s">
        <v>24</v>
      </c>
      <c r="Q180" s="222" t="s">
        <v>849</v>
      </c>
      <c r="R180" s="11"/>
      <c r="S180" s="11"/>
      <c r="T180" s="11"/>
    </row>
    <row r="181" spans="1:20" ht="36" customHeight="1" x14ac:dyDescent="0.2">
      <c r="A181" s="15">
        <v>178</v>
      </c>
      <c r="B181" s="15">
        <v>188</v>
      </c>
      <c r="C181" s="232" t="s">
        <v>850</v>
      </c>
      <c r="D181" s="16" t="s">
        <v>309</v>
      </c>
      <c r="E181" s="17" t="s">
        <v>42</v>
      </c>
      <c r="F181" s="15"/>
      <c r="G181" s="15"/>
      <c r="H181" s="15"/>
      <c r="I181" s="16" t="s">
        <v>507</v>
      </c>
      <c r="J181" s="15"/>
      <c r="K181" s="15"/>
      <c r="L181" s="233" t="s">
        <v>460</v>
      </c>
      <c r="M181" s="16"/>
      <c r="N181" s="233" t="s">
        <v>508</v>
      </c>
      <c r="O181" s="16" t="s">
        <v>292</v>
      </c>
      <c r="P181" s="219" t="s">
        <v>153</v>
      </c>
      <c r="Q181" s="221" t="s">
        <v>851</v>
      </c>
      <c r="R181" s="11"/>
      <c r="S181" s="11"/>
      <c r="T181" s="11"/>
    </row>
    <row r="182" spans="1:20" ht="36" customHeight="1" x14ac:dyDescent="0.2">
      <c r="A182" s="7">
        <v>179</v>
      </c>
      <c r="B182" s="7">
        <v>189</v>
      </c>
      <c r="C182" s="231" t="s">
        <v>852</v>
      </c>
      <c r="D182" s="3" t="s">
        <v>853</v>
      </c>
      <c r="E182" s="21" t="s">
        <v>28</v>
      </c>
      <c r="F182" s="7"/>
      <c r="G182" s="7"/>
      <c r="H182" s="7"/>
      <c r="I182" s="3" t="s">
        <v>689</v>
      </c>
      <c r="J182" s="7"/>
      <c r="K182" s="7"/>
      <c r="L182" s="228" t="s">
        <v>248</v>
      </c>
      <c r="M182" s="3"/>
      <c r="N182" s="228" t="s">
        <v>690</v>
      </c>
      <c r="O182" s="3" t="s">
        <v>24</v>
      </c>
      <c r="P182" s="186" t="s">
        <v>47</v>
      </c>
      <c r="Q182" s="222" t="s">
        <v>854</v>
      </c>
      <c r="R182" s="11"/>
      <c r="S182" s="11"/>
      <c r="T182" s="11"/>
    </row>
    <row r="183" spans="1:20" ht="36" customHeight="1" x14ac:dyDescent="0.2">
      <c r="A183" s="15">
        <v>180</v>
      </c>
      <c r="B183" s="15">
        <v>190</v>
      </c>
      <c r="C183" s="232" t="s">
        <v>855</v>
      </c>
      <c r="D183" s="16" t="s">
        <v>666</v>
      </c>
      <c r="E183" s="19" t="s">
        <v>20</v>
      </c>
      <c r="F183" s="15"/>
      <c r="G183" s="15"/>
      <c r="H183" s="15"/>
      <c r="I183" s="16" t="s">
        <v>229</v>
      </c>
      <c r="J183" s="15"/>
      <c r="K183" s="15"/>
      <c r="L183" s="233" t="s">
        <v>856</v>
      </c>
      <c r="M183" s="16"/>
      <c r="N183" s="233" t="s">
        <v>230</v>
      </c>
      <c r="O183" s="16" t="s">
        <v>47</v>
      </c>
      <c r="P183" s="219" t="s">
        <v>47</v>
      </c>
      <c r="Q183" s="221" t="s">
        <v>857</v>
      </c>
      <c r="R183" s="11"/>
      <c r="S183" s="11"/>
      <c r="T183" s="11"/>
    </row>
    <row r="184" spans="1:20" ht="36" customHeight="1" x14ac:dyDescent="0.2">
      <c r="A184" s="7">
        <v>181</v>
      </c>
      <c r="B184" s="7">
        <v>191</v>
      </c>
      <c r="C184" s="231" t="s">
        <v>858</v>
      </c>
      <c r="D184" s="3" t="s">
        <v>666</v>
      </c>
      <c r="E184" s="18" t="s">
        <v>20</v>
      </c>
      <c r="F184" s="7"/>
      <c r="G184" s="7"/>
      <c r="H184" s="7"/>
      <c r="I184" s="3" t="s">
        <v>229</v>
      </c>
      <c r="J184" s="7"/>
      <c r="K184" s="7"/>
      <c r="L184" s="228" t="s">
        <v>859</v>
      </c>
      <c r="M184" s="3"/>
      <c r="N184" s="228" t="s">
        <v>230</v>
      </c>
      <c r="O184" s="3" t="s">
        <v>47</v>
      </c>
      <c r="P184" s="186" t="s">
        <v>47</v>
      </c>
      <c r="Q184" s="222" t="s">
        <v>860</v>
      </c>
      <c r="R184" s="11"/>
      <c r="S184" s="11"/>
      <c r="T184" s="11"/>
    </row>
    <row r="185" spans="1:20" ht="36" customHeight="1" x14ac:dyDescent="0.2">
      <c r="A185" s="15">
        <v>182</v>
      </c>
      <c r="B185" s="15">
        <v>193</v>
      </c>
      <c r="C185" s="232" t="s">
        <v>861</v>
      </c>
      <c r="D185" s="16" t="s">
        <v>98</v>
      </c>
      <c r="E185" s="19" t="s">
        <v>20</v>
      </c>
      <c r="F185" s="15"/>
      <c r="G185" s="15"/>
      <c r="H185" s="15"/>
      <c r="I185" s="16" t="s">
        <v>862</v>
      </c>
      <c r="J185" s="15"/>
      <c r="K185" s="15"/>
      <c r="L185" s="233" t="s">
        <v>339</v>
      </c>
      <c r="M185" s="16"/>
      <c r="N185" s="233" t="s">
        <v>863</v>
      </c>
      <c r="O185" s="16" t="s">
        <v>24</v>
      </c>
      <c r="P185" s="219" t="s">
        <v>47</v>
      </c>
      <c r="Q185" s="221" t="s">
        <v>864</v>
      </c>
      <c r="R185" s="11"/>
      <c r="S185" s="11"/>
      <c r="T185" s="11"/>
    </row>
    <row r="186" spans="1:20" ht="36" customHeight="1" x14ac:dyDescent="0.2">
      <c r="A186" s="7">
        <v>183</v>
      </c>
      <c r="B186" s="7">
        <v>196</v>
      </c>
      <c r="C186" s="231" t="s">
        <v>865</v>
      </c>
      <c r="D186" s="3" t="s">
        <v>866</v>
      </c>
      <c r="E186" s="18" t="s">
        <v>20</v>
      </c>
      <c r="F186" s="7"/>
      <c r="G186" s="7"/>
      <c r="H186" s="7"/>
      <c r="I186" s="3" t="s">
        <v>867</v>
      </c>
      <c r="J186" s="7"/>
      <c r="K186" s="7"/>
      <c r="L186" s="228"/>
      <c r="M186" s="3"/>
      <c r="N186" s="228" t="s">
        <v>868</v>
      </c>
      <c r="O186" s="3" t="s">
        <v>24</v>
      </c>
      <c r="P186" s="186" t="s">
        <v>24</v>
      </c>
      <c r="Q186" s="222" t="s">
        <v>869</v>
      </c>
      <c r="R186" s="11"/>
      <c r="S186" s="11"/>
      <c r="T186" s="11"/>
    </row>
    <row r="187" spans="1:20" ht="36" customHeight="1" x14ac:dyDescent="0.2">
      <c r="A187" s="15">
        <v>184</v>
      </c>
      <c r="B187" s="15">
        <v>197</v>
      </c>
      <c r="C187" s="232" t="s">
        <v>870</v>
      </c>
      <c r="D187" s="16" t="s">
        <v>796</v>
      </c>
      <c r="E187" s="19" t="s">
        <v>20</v>
      </c>
      <c r="F187" s="15"/>
      <c r="G187" s="15"/>
      <c r="H187" s="15"/>
      <c r="I187" s="16" t="s">
        <v>871</v>
      </c>
      <c r="J187" s="15"/>
      <c r="K187" s="15"/>
      <c r="L187" s="233" t="s">
        <v>183</v>
      </c>
      <c r="M187" s="16"/>
      <c r="N187" s="233" t="s">
        <v>872</v>
      </c>
      <c r="O187" s="16" t="s">
        <v>24</v>
      </c>
      <c r="P187" s="219" t="s">
        <v>24</v>
      </c>
      <c r="Q187" s="221" t="s">
        <v>873</v>
      </c>
      <c r="R187" s="11"/>
      <c r="S187" s="11"/>
      <c r="T187" s="11"/>
    </row>
    <row r="188" spans="1:20" ht="36" customHeight="1" x14ac:dyDescent="0.2">
      <c r="A188" s="7">
        <v>185</v>
      </c>
      <c r="B188" s="7">
        <v>198</v>
      </c>
      <c r="C188" s="231" t="s">
        <v>874</v>
      </c>
      <c r="D188" s="3" t="s">
        <v>309</v>
      </c>
      <c r="E188" s="20" t="s">
        <v>28</v>
      </c>
      <c r="F188" s="7"/>
      <c r="G188" s="7"/>
      <c r="H188" s="7"/>
      <c r="I188" s="3" t="s">
        <v>875</v>
      </c>
      <c r="J188" s="7"/>
      <c r="K188" s="7"/>
      <c r="L188" s="228" t="s">
        <v>285</v>
      </c>
      <c r="M188" s="3"/>
      <c r="N188" s="228" t="s">
        <v>876</v>
      </c>
      <c r="O188" s="3" t="s">
        <v>24</v>
      </c>
      <c r="P188" s="186" t="s">
        <v>47</v>
      </c>
      <c r="Q188" s="222" t="s">
        <v>877</v>
      </c>
      <c r="R188" s="11"/>
      <c r="S188" s="11"/>
      <c r="T188" s="11"/>
    </row>
    <row r="189" spans="1:20" ht="36" customHeight="1" x14ac:dyDescent="0.2">
      <c r="A189" s="15">
        <v>186</v>
      </c>
      <c r="B189" s="15">
        <v>199</v>
      </c>
      <c r="C189" s="232" t="s">
        <v>878</v>
      </c>
      <c r="D189" s="16" t="s">
        <v>879</v>
      </c>
      <c r="E189" s="19" t="s">
        <v>28</v>
      </c>
      <c r="F189" s="15"/>
      <c r="G189" s="15"/>
      <c r="H189" s="15"/>
      <c r="I189" s="16" t="s">
        <v>569</v>
      </c>
      <c r="J189" s="15"/>
      <c r="K189" s="15"/>
      <c r="L189" s="233" t="s">
        <v>880</v>
      </c>
      <c r="M189" s="16"/>
      <c r="N189" s="233" t="s">
        <v>571</v>
      </c>
      <c r="O189" s="16" t="s">
        <v>24</v>
      </c>
      <c r="P189" s="219" t="s">
        <v>24</v>
      </c>
      <c r="Q189" s="221" t="s">
        <v>881</v>
      </c>
      <c r="R189" s="11"/>
      <c r="S189" s="11"/>
      <c r="T189" s="11"/>
    </row>
    <row r="190" spans="1:20" ht="36" customHeight="1" x14ac:dyDescent="0.2">
      <c r="A190" s="7">
        <v>187</v>
      </c>
      <c r="B190" s="7">
        <v>200</v>
      </c>
      <c r="C190" s="231" t="s">
        <v>882</v>
      </c>
      <c r="D190" s="3" t="s">
        <v>637</v>
      </c>
      <c r="E190" s="20" t="s">
        <v>28</v>
      </c>
      <c r="F190" s="7"/>
      <c r="G190" s="7"/>
      <c r="H190" s="7"/>
      <c r="I190" s="3" t="s">
        <v>883</v>
      </c>
      <c r="J190" s="7"/>
      <c r="K190" s="7"/>
      <c r="L190" s="228" t="s">
        <v>22</v>
      </c>
      <c r="M190" s="3"/>
      <c r="N190" s="228" t="s">
        <v>884</v>
      </c>
      <c r="O190" s="3" t="s">
        <v>81</v>
      </c>
      <c r="P190" s="186" t="s">
        <v>81</v>
      </c>
      <c r="Q190" s="222" t="s">
        <v>885</v>
      </c>
      <c r="R190" s="11"/>
      <c r="S190" s="11"/>
      <c r="T190" s="11"/>
    </row>
    <row r="191" spans="1:20" ht="36" customHeight="1" x14ac:dyDescent="0.2">
      <c r="A191" s="15">
        <v>188</v>
      </c>
      <c r="B191" s="15">
        <v>202</v>
      </c>
      <c r="C191" s="232" t="s">
        <v>886</v>
      </c>
      <c r="D191" s="16" t="s">
        <v>887</v>
      </c>
      <c r="E191" s="19" t="s">
        <v>20</v>
      </c>
      <c r="F191" s="15"/>
      <c r="G191" s="15"/>
      <c r="H191" s="15"/>
      <c r="I191" s="16" t="s">
        <v>888</v>
      </c>
      <c r="J191" s="15"/>
      <c r="K191" s="15"/>
      <c r="L191" s="233" t="s">
        <v>168</v>
      </c>
      <c r="M191" s="16"/>
      <c r="N191" s="233" t="s">
        <v>889</v>
      </c>
      <c r="O191" s="16" t="s">
        <v>65</v>
      </c>
      <c r="P191" s="219" t="s">
        <v>47</v>
      </c>
      <c r="Q191" s="221" t="s">
        <v>890</v>
      </c>
      <c r="R191" s="11"/>
      <c r="S191" s="11"/>
      <c r="T191" s="11"/>
    </row>
    <row r="192" spans="1:20" ht="36" customHeight="1" x14ac:dyDescent="0.2">
      <c r="A192" s="7">
        <v>189</v>
      </c>
      <c r="B192" s="7">
        <v>203</v>
      </c>
      <c r="C192" s="231" t="s">
        <v>891</v>
      </c>
      <c r="D192" s="3" t="s">
        <v>127</v>
      </c>
      <c r="E192" s="21" t="s">
        <v>20</v>
      </c>
      <c r="F192" s="7"/>
      <c r="G192" s="7"/>
      <c r="H192" s="7"/>
      <c r="I192" s="3" t="s">
        <v>459</v>
      </c>
      <c r="J192" s="7"/>
      <c r="K192" s="7"/>
      <c r="L192" s="228" t="s">
        <v>188</v>
      </c>
      <c r="M192" s="3"/>
      <c r="N192" s="228" t="s">
        <v>461</v>
      </c>
      <c r="O192" s="3" t="s">
        <v>24</v>
      </c>
      <c r="P192" s="186" t="s">
        <v>47</v>
      </c>
      <c r="Q192" s="222" t="s">
        <v>892</v>
      </c>
      <c r="R192" s="11"/>
      <c r="S192" s="11"/>
      <c r="T192" s="11"/>
    </row>
    <row r="193" spans="1:20" ht="36" customHeight="1" x14ac:dyDescent="0.2">
      <c r="A193" s="15">
        <v>190</v>
      </c>
      <c r="B193" s="15">
        <v>204</v>
      </c>
      <c r="C193" s="232" t="s">
        <v>893</v>
      </c>
      <c r="D193" s="16" t="s">
        <v>62</v>
      </c>
      <c r="E193" s="22" t="s">
        <v>28</v>
      </c>
      <c r="F193" s="15"/>
      <c r="G193" s="15"/>
      <c r="H193" s="15"/>
      <c r="I193" s="16" t="s">
        <v>229</v>
      </c>
      <c r="J193" s="15"/>
      <c r="K193" s="15"/>
      <c r="L193" s="233" t="s">
        <v>618</v>
      </c>
      <c r="M193" s="16"/>
      <c r="N193" s="233" t="s">
        <v>230</v>
      </c>
      <c r="O193" s="16" t="s">
        <v>894</v>
      </c>
      <c r="P193" s="219" t="s">
        <v>24</v>
      </c>
      <c r="Q193" s="221" t="s">
        <v>895</v>
      </c>
      <c r="R193" s="11"/>
      <c r="S193" s="11"/>
      <c r="T193" s="11"/>
    </row>
    <row r="194" spans="1:20" ht="36" customHeight="1" x14ac:dyDescent="0.2">
      <c r="A194" s="7">
        <v>191</v>
      </c>
      <c r="B194" s="7">
        <v>205</v>
      </c>
      <c r="C194" s="231" t="s">
        <v>896</v>
      </c>
      <c r="D194" s="3" t="s">
        <v>897</v>
      </c>
      <c r="E194" s="21" t="s">
        <v>20</v>
      </c>
      <c r="F194" s="7"/>
      <c r="G194" s="7"/>
      <c r="H194" s="7"/>
      <c r="I194" s="3" t="s">
        <v>704</v>
      </c>
      <c r="J194" s="7"/>
      <c r="K194" s="7"/>
      <c r="L194" s="228" t="s">
        <v>90</v>
      </c>
      <c r="M194" s="3"/>
      <c r="N194" s="228" t="s">
        <v>705</v>
      </c>
      <c r="O194" s="3" t="s">
        <v>24</v>
      </c>
      <c r="P194" s="186" t="s">
        <v>47</v>
      </c>
      <c r="Q194" s="222" t="s">
        <v>898</v>
      </c>
      <c r="R194" s="11"/>
      <c r="S194" s="11"/>
      <c r="T194" s="11"/>
    </row>
    <row r="195" spans="1:20" ht="36" customHeight="1" x14ac:dyDescent="0.2">
      <c r="A195" s="15">
        <v>192</v>
      </c>
      <c r="B195" s="15">
        <v>206</v>
      </c>
      <c r="C195" s="232" t="s">
        <v>899</v>
      </c>
      <c r="D195" s="16" t="s">
        <v>127</v>
      </c>
      <c r="E195" s="19" t="s">
        <v>20</v>
      </c>
      <c r="F195" s="15"/>
      <c r="G195" s="15"/>
      <c r="H195" s="15"/>
      <c r="I195" s="16" t="s">
        <v>900</v>
      </c>
      <c r="J195" s="15"/>
      <c r="K195" s="15"/>
      <c r="L195" s="233" t="s">
        <v>22</v>
      </c>
      <c r="M195" s="16"/>
      <c r="N195" s="233" t="s">
        <v>901</v>
      </c>
      <c r="O195" s="16" t="s">
        <v>24</v>
      </c>
      <c r="P195" s="219" t="s">
        <v>47</v>
      </c>
      <c r="Q195" s="221" t="s">
        <v>902</v>
      </c>
      <c r="R195" s="11"/>
      <c r="S195" s="11"/>
      <c r="T195" s="11"/>
    </row>
    <row r="196" spans="1:20" ht="36" customHeight="1" x14ac:dyDescent="0.2">
      <c r="A196" s="7">
        <v>193</v>
      </c>
      <c r="B196" s="7">
        <v>207</v>
      </c>
      <c r="C196" s="231" t="s">
        <v>903</v>
      </c>
      <c r="D196" s="3" t="s">
        <v>904</v>
      </c>
      <c r="E196" s="20" t="s">
        <v>28</v>
      </c>
      <c r="F196" s="7"/>
      <c r="G196" s="7"/>
      <c r="H196" s="7"/>
      <c r="I196" s="3" t="s">
        <v>905</v>
      </c>
      <c r="J196" s="7"/>
      <c r="K196" s="7"/>
      <c r="L196" s="228" t="s">
        <v>22</v>
      </c>
      <c r="M196" s="3"/>
      <c r="N196" s="228" t="s">
        <v>906</v>
      </c>
      <c r="O196" s="3" t="s">
        <v>648</v>
      </c>
      <c r="P196" s="186" t="s">
        <v>648</v>
      </c>
      <c r="Q196" s="222" t="s">
        <v>907</v>
      </c>
      <c r="R196" s="11"/>
      <c r="S196" s="11"/>
      <c r="T196" s="11"/>
    </row>
    <row r="197" spans="1:20" ht="36" customHeight="1" x14ac:dyDescent="0.2">
      <c r="A197" s="15">
        <v>194</v>
      </c>
      <c r="B197" s="15">
        <v>208</v>
      </c>
      <c r="C197" s="232" t="s">
        <v>908</v>
      </c>
      <c r="D197" s="16" t="s">
        <v>909</v>
      </c>
      <c r="E197" s="17" t="s">
        <v>28</v>
      </c>
      <c r="F197" s="15"/>
      <c r="G197" s="15"/>
      <c r="H197" s="15"/>
      <c r="I197" s="16" t="s">
        <v>910</v>
      </c>
      <c r="J197" s="15"/>
      <c r="K197" s="15"/>
      <c r="L197" s="233" t="s">
        <v>22</v>
      </c>
      <c r="M197" s="16"/>
      <c r="N197" s="233" t="s">
        <v>911</v>
      </c>
      <c r="O197" s="16" t="s">
        <v>912</v>
      </c>
      <c r="P197" s="219" t="s">
        <v>913</v>
      </c>
      <c r="Q197" s="221" t="s">
        <v>914</v>
      </c>
      <c r="R197" s="11"/>
      <c r="S197" s="11"/>
      <c r="T197" s="11"/>
    </row>
    <row r="198" spans="1:20" ht="36" customHeight="1" x14ac:dyDescent="0.2">
      <c r="A198" s="7">
        <v>195</v>
      </c>
      <c r="B198" s="7">
        <v>209</v>
      </c>
      <c r="C198" s="231" t="s">
        <v>915</v>
      </c>
      <c r="D198" s="3" t="s">
        <v>916</v>
      </c>
      <c r="E198" s="21" t="s">
        <v>28</v>
      </c>
      <c r="F198" s="7"/>
      <c r="G198" s="7"/>
      <c r="H198" s="7"/>
      <c r="I198" s="3" t="s">
        <v>917</v>
      </c>
      <c r="J198" s="7"/>
      <c r="K198" s="7"/>
      <c r="L198" s="228" t="s">
        <v>918</v>
      </c>
      <c r="M198" s="3"/>
      <c r="N198" s="228" t="s">
        <v>919</v>
      </c>
      <c r="O198" s="3" t="s">
        <v>24</v>
      </c>
      <c r="P198" s="186" t="s">
        <v>47</v>
      </c>
      <c r="Q198" s="222" t="s">
        <v>920</v>
      </c>
      <c r="R198" s="11"/>
      <c r="S198" s="11"/>
      <c r="T198" s="11"/>
    </row>
    <row r="199" spans="1:20" ht="36" customHeight="1" x14ac:dyDescent="0.2">
      <c r="A199" s="15">
        <v>196</v>
      </c>
      <c r="B199" s="15">
        <v>210</v>
      </c>
      <c r="C199" s="232" t="s">
        <v>921</v>
      </c>
      <c r="D199" s="16" t="s">
        <v>904</v>
      </c>
      <c r="E199" s="19" t="s">
        <v>28</v>
      </c>
      <c r="F199" s="15"/>
      <c r="G199" s="15"/>
      <c r="H199" s="15"/>
      <c r="I199" s="16" t="s">
        <v>617</v>
      </c>
      <c r="J199" s="15"/>
      <c r="K199" s="15"/>
      <c r="L199" s="233" t="s">
        <v>44</v>
      </c>
      <c r="M199" s="16"/>
      <c r="N199" s="233" t="s">
        <v>619</v>
      </c>
      <c r="O199" s="16" t="s">
        <v>648</v>
      </c>
      <c r="P199" s="219" t="s">
        <v>648</v>
      </c>
      <c r="Q199" s="221" t="s">
        <v>922</v>
      </c>
      <c r="R199" s="11"/>
      <c r="S199" s="11"/>
      <c r="T199" s="11"/>
    </row>
    <row r="200" spans="1:20" ht="36" customHeight="1" x14ac:dyDescent="0.2">
      <c r="A200" s="7">
        <v>197</v>
      </c>
      <c r="B200" s="7">
        <v>211</v>
      </c>
      <c r="C200" s="231" t="s">
        <v>923</v>
      </c>
      <c r="D200" s="3" t="s">
        <v>924</v>
      </c>
      <c r="E200" s="21" t="s">
        <v>28</v>
      </c>
      <c r="F200" s="7"/>
      <c r="G200" s="7"/>
      <c r="H200" s="7"/>
      <c r="I200" s="3" t="s">
        <v>925</v>
      </c>
      <c r="J200" s="7"/>
      <c r="K200" s="7"/>
      <c r="L200" s="228" t="s">
        <v>926</v>
      </c>
      <c r="M200" s="3"/>
      <c r="N200" s="228" t="s">
        <v>927</v>
      </c>
      <c r="O200" s="3" t="s">
        <v>928</v>
      </c>
      <c r="P200" s="186" t="s">
        <v>913</v>
      </c>
      <c r="Q200" s="222" t="s">
        <v>929</v>
      </c>
      <c r="R200" s="11"/>
      <c r="S200" s="11"/>
      <c r="T200" s="11"/>
    </row>
    <row r="201" spans="1:20" ht="36" customHeight="1" x14ac:dyDescent="0.2">
      <c r="A201" s="15">
        <v>198</v>
      </c>
      <c r="B201" s="15">
        <v>212</v>
      </c>
      <c r="C201" s="232" t="s">
        <v>930</v>
      </c>
      <c r="D201" s="16" t="s">
        <v>931</v>
      </c>
      <c r="E201" s="19" t="s">
        <v>42</v>
      </c>
      <c r="F201" s="15"/>
      <c r="G201" s="15"/>
      <c r="H201" s="15"/>
      <c r="I201" s="16" t="s">
        <v>300</v>
      </c>
      <c r="J201" s="15"/>
      <c r="K201" s="15"/>
      <c r="L201" s="233" t="s">
        <v>932</v>
      </c>
      <c r="M201" s="16"/>
      <c r="N201" s="233" t="s">
        <v>302</v>
      </c>
      <c r="O201" s="16" t="s">
        <v>446</v>
      </c>
      <c r="P201" s="219" t="s">
        <v>913</v>
      </c>
      <c r="Q201" s="221" t="s">
        <v>933</v>
      </c>
      <c r="R201" s="11"/>
      <c r="S201" s="11"/>
      <c r="T201" s="11"/>
    </row>
    <row r="202" spans="1:20" ht="36" customHeight="1" x14ac:dyDescent="0.2">
      <c r="A202" s="7">
        <v>199</v>
      </c>
      <c r="B202" s="7">
        <v>213</v>
      </c>
      <c r="C202" s="231" t="s">
        <v>934</v>
      </c>
      <c r="D202" s="3" t="s">
        <v>309</v>
      </c>
      <c r="E202" s="18" t="s">
        <v>28</v>
      </c>
      <c r="F202" s="7"/>
      <c r="G202" s="7"/>
      <c r="H202" s="7"/>
      <c r="I202" s="3" t="s">
        <v>507</v>
      </c>
      <c r="J202" s="7"/>
      <c r="K202" s="7"/>
      <c r="L202" s="228" t="s">
        <v>935</v>
      </c>
      <c r="M202" s="3"/>
      <c r="N202" s="228" t="s">
        <v>508</v>
      </c>
      <c r="O202" s="3" t="s">
        <v>24</v>
      </c>
      <c r="P202" s="186" t="s">
        <v>24</v>
      </c>
      <c r="Q202" s="222" t="s">
        <v>936</v>
      </c>
      <c r="R202" s="11"/>
      <c r="S202" s="11"/>
      <c r="T202" s="11"/>
    </row>
    <row r="203" spans="1:20" ht="36" customHeight="1" x14ac:dyDescent="0.2">
      <c r="A203" s="15">
        <v>200</v>
      </c>
      <c r="B203" s="15">
        <v>214</v>
      </c>
      <c r="C203" s="232" t="s">
        <v>937</v>
      </c>
      <c r="D203" s="16" t="s">
        <v>938</v>
      </c>
      <c r="E203" s="17" t="s">
        <v>42</v>
      </c>
      <c r="F203" s="15"/>
      <c r="G203" s="15"/>
      <c r="H203" s="15"/>
      <c r="I203" s="16" t="s">
        <v>748</v>
      </c>
      <c r="J203" s="15"/>
      <c r="K203" s="15"/>
      <c r="L203" s="233" t="s">
        <v>792</v>
      </c>
      <c r="M203" s="16"/>
      <c r="N203" s="233" t="s">
        <v>750</v>
      </c>
      <c r="O203" s="16" t="s">
        <v>24</v>
      </c>
      <c r="P203" s="219" t="s">
        <v>24</v>
      </c>
      <c r="Q203" s="221" t="s">
        <v>939</v>
      </c>
      <c r="R203" s="11"/>
      <c r="S203" s="11"/>
      <c r="T203" s="11"/>
    </row>
    <row r="204" spans="1:20" ht="36" customHeight="1" x14ac:dyDescent="0.2">
      <c r="A204" s="7">
        <v>201</v>
      </c>
      <c r="B204" s="7">
        <v>215</v>
      </c>
      <c r="C204" s="231" t="s">
        <v>940</v>
      </c>
      <c r="D204" s="3" t="s">
        <v>941</v>
      </c>
      <c r="E204" s="21" t="s">
        <v>28</v>
      </c>
      <c r="F204" s="7"/>
      <c r="G204" s="7"/>
      <c r="H204" s="7"/>
      <c r="I204" s="3" t="s">
        <v>942</v>
      </c>
      <c r="J204" s="7"/>
      <c r="K204" s="7"/>
      <c r="L204" s="228" t="s">
        <v>44</v>
      </c>
      <c r="M204" s="3"/>
      <c r="N204" s="228" t="s">
        <v>943</v>
      </c>
      <c r="O204" s="3" t="s">
        <v>944</v>
      </c>
      <c r="P204" s="186" t="s">
        <v>945</v>
      </c>
      <c r="Q204" s="222" t="s">
        <v>946</v>
      </c>
      <c r="R204" s="11"/>
      <c r="S204" s="11"/>
      <c r="T204" s="11"/>
    </row>
    <row r="205" spans="1:20" ht="36" customHeight="1" x14ac:dyDescent="0.2">
      <c r="A205" s="15">
        <v>202</v>
      </c>
      <c r="B205" s="15">
        <v>216</v>
      </c>
      <c r="C205" s="232" t="s">
        <v>947</v>
      </c>
      <c r="D205" s="16" t="s">
        <v>234</v>
      </c>
      <c r="E205" s="17" t="s">
        <v>28</v>
      </c>
      <c r="F205" s="15"/>
      <c r="G205" s="15"/>
      <c r="H205" s="15"/>
      <c r="I205" s="16" t="s">
        <v>300</v>
      </c>
      <c r="J205" s="15"/>
      <c r="K205" s="15"/>
      <c r="L205" s="233" t="s">
        <v>339</v>
      </c>
      <c r="M205" s="16"/>
      <c r="N205" s="233" t="s">
        <v>948</v>
      </c>
      <c r="O205" s="16" t="s">
        <v>949</v>
      </c>
      <c r="P205" s="219" t="s">
        <v>153</v>
      </c>
      <c r="Q205" s="221" t="s">
        <v>950</v>
      </c>
      <c r="R205" s="11"/>
      <c r="S205" s="11"/>
      <c r="T205" s="11"/>
    </row>
    <row r="206" spans="1:20" ht="36" customHeight="1" x14ac:dyDescent="0.2">
      <c r="A206" s="7">
        <v>203</v>
      </c>
      <c r="B206" s="7">
        <v>217</v>
      </c>
      <c r="C206" s="231" t="s">
        <v>951</v>
      </c>
      <c r="D206" s="3" t="s">
        <v>19</v>
      </c>
      <c r="E206" s="18" t="s">
        <v>20</v>
      </c>
      <c r="F206" s="7"/>
      <c r="G206" s="7"/>
      <c r="H206" s="7"/>
      <c r="I206" s="3" t="s">
        <v>952</v>
      </c>
      <c r="J206" s="7"/>
      <c r="K206" s="7"/>
      <c r="L206" s="228" t="s">
        <v>953</v>
      </c>
      <c r="M206" s="3"/>
      <c r="N206" s="228" t="s">
        <v>954</v>
      </c>
      <c r="O206" s="3" t="s">
        <v>24</v>
      </c>
      <c r="P206" s="186" t="s">
        <v>24</v>
      </c>
      <c r="Q206" s="222" t="s">
        <v>955</v>
      </c>
      <c r="R206" s="11"/>
      <c r="S206" s="11"/>
      <c r="T206" s="11"/>
    </row>
    <row r="207" spans="1:20" ht="36" customHeight="1" x14ac:dyDescent="0.2">
      <c r="A207" s="15">
        <v>204</v>
      </c>
      <c r="B207" s="15">
        <v>218</v>
      </c>
      <c r="C207" s="232" t="s">
        <v>956</v>
      </c>
      <c r="D207" s="16" t="s">
        <v>941</v>
      </c>
      <c r="E207" s="19" t="s">
        <v>42</v>
      </c>
      <c r="F207" s="15"/>
      <c r="G207" s="15"/>
      <c r="H207" s="15"/>
      <c r="I207" s="16" t="s">
        <v>957</v>
      </c>
      <c r="J207" s="15"/>
      <c r="K207" s="15"/>
      <c r="L207" s="233" t="s">
        <v>958</v>
      </c>
      <c r="M207" s="16"/>
      <c r="N207" s="233" t="s">
        <v>959</v>
      </c>
      <c r="O207" s="16" t="s">
        <v>960</v>
      </c>
      <c r="P207" s="219" t="s">
        <v>153</v>
      </c>
      <c r="Q207" s="221" t="s">
        <v>961</v>
      </c>
      <c r="R207" s="11"/>
      <c r="S207" s="11"/>
      <c r="T207" s="11"/>
    </row>
    <row r="208" spans="1:20" ht="36" customHeight="1" x14ac:dyDescent="0.2">
      <c r="A208" s="7">
        <v>205</v>
      </c>
      <c r="B208" s="7">
        <v>219</v>
      </c>
      <c r="C208" s="231" t="s">
        <v>962</v>
      </c>
      <c r="D208" s="3" t="s">
        <v>19</v>
      </c>
      <c r="E208" s="18" t="s">
        <v>20</v>
      </c>
      <c r="F208" s="7"/>
      <c r="G208" s="7"/>
      <c r="H208" s="7"/>
      <c r="I208" s="3" t="s">
        <v>704</v>
      </c>
      <c r="J208" s="7"/>
      <c r="K208" s="7"/>
      <c r="L208" s="228" t="s">
        <v>58</v>
      </c>
      <c r="M208" s="3"/>
      <c r="N208" s="228" t="s">
        <v>705</v>
      </c>
      <c r="O208" s="3" t="s">
        <v>24</v>
      </c>
      <c r="P208" s="186" t="s">
        <v>153</v>
      </c>
      <c r="Q208" s="222" t="s">
        <v>963</v>
      </c>
      <c r="R208" s="11"/>
      <c r="S208" s="11"/>
      <c r="T208" s="11"/>
    </row>
    <row r="209" spans="1:20" ht="36" customHeight="1" x14ac:dyDescent="0.2">
      <c r="A209" s="15">
        <v>206</v>
      </c>
      <c r="B209" s="15">
        <v>221</v>
      </c>
      <c r="C209" s="232" t="s">
        <v>964</v>
      </c>
      <c r="D209" s="16" t="s">
        <v>360</v>
      </c>
      <c r="E209" s="19" t="s">
        <v>28</v>
      </c>
      <c r="F209" s="15"/>
      <c r="G209" s="15"/>
      <c r="H209" s="15"/>
      <c r="I209" s="16" t="s">
        <v>507</v>
      </c>
      <c r="J209" s="15"/>
      <c r="K209" s="15"/>
      <c r="L209" s="233" t="s">
        <v>541</v>
      </c>
      <c r="M209" s="16"/>
      <c r="N209" s="233" t="s">
        <v>508</v>
      </c>
      <c r="O209" s="16" t="s">
        <v>81</v>
      </c>
      <c r="P209" s="219" t="s">
        <v>24</v>
      </c>
      <c r="Q209" s="221" t="s">
        <v>965</v>
      </c>
      <c r="R209" s="11"/>
      <c r="S209" s="11"/>
      <c r="T209" s="11"/>
    </row>
    <row r="210" spans="1:20" ht="36" customHeight="1" x14ac:dyDescent="0.2">
      <c r="A210" s="7">
        <v>207</v>
      </c>
      <c r="B210" s="7">
        <v>223</v>
      </c>
      <c r="C210" s="231" t="s">
        <v>966</v>
      </c>
      <c r="D210" s="3" t="s">
        <v>376</v>
      </c>
      <c r="E210" s="20" t="s">
        <v>28</v>
      </c>
      <c r="F210" s="7"/>
      <c r="G210" s="7"/>
      <c r="H210" s="7"/>
      <c r="I210" s="3" t="s">
        <v>967</v>
      </c>
      <c r="J210" s="7"/>
      <c r="K210" s="7"/>
      <c r="L210" s="228" t="s">
        <v>339</v>
      </c>
      <c r="M210" s="3"/>
      <c r="N210" s="228" t="s">
        <v>968</v>
      </c>
      <c r="O210" s="3" t="s">
        <v>47</v>
      </c>
      <c r="P210" s="186" t="s">
        <v>47</v>
      </c>
      <c r="Q210" s="222" t="s">
        <v>969</v>
      </c>
      <c r="R210" s="11"/>
      <c r="S210" s="11"/>
      <c r="T210" s="11"/>
    </row>
    <row r="211" spans="1:20" ht="36" customHeight="1" x14ac:dyDescent="0.2">
      <c r="A211" s="15">
        <v>208</v>
      </c>
      <c r="B211" s="15">
        <v>224</v>
      </c>
      <c r="C211" s="232" t="s">
        <v>970</v>
      </c>
      <c r="D211" s="16" t="s">
        <v>971</v>
      </c>
      <c r="E211" s="19" t="s">
        <v>42</v>
      </c>
      <c r="F211" s="15"/>
      <c r="G211" s="15"/>
      <c r="H211" s="15"/>
      <c r="I211" s="16" t="s">
        <v>540</v>
      </c>
      <c r="J211" s="15"/>
      <c r="K211" s="15"/>
      <c r="L211" s="233" t="s">
        <v>69</v>
      </c>
      <c r="M211" s="16"/>
      <c r="N211" s="233" t="s">
        <v>542</v>
      </c>
      <c r="O211" s="16" t="s">
        <v>24</v>
      </c>
      <c r="P211" s="219" t="s">
        <v>24</v>
      </c>
      <c r="Q211" s="221" t="s">
        <v>972</v>
      </c>
      <c r="R211" s="11"/>
      <c r="S211" s="11"/>
      <c r="T211" s="11"/>
    </row>
    <row r="212" spans="1:20" ht="36" customHeight="1" x14ac:dyDescent="0.2">
      <c r="A212" s="7">
        <v>209</v>
      </c>
      <c r="B212" s="7">
        <v>225</v>
      </c>
      <c r="C212" s="231" t="s">
        <v>973</v>
      </c>
      <c r="D212" s="3" t="s">
        <v>974</v>
      </c>
      <c r="E212" s="21" t="s">
        <v>20</v>
      </c>
      <c r="F212" s="7"/>
      <c r="G212" s="7"/>
      <c r="H212" s="7"/>
      <c r="I212" s="3" t="s">
        <v>540</v>
      </c>
      <c r="J212" s="7"/>
      <c r="K212" s="7"/>
      <c r="L212" s="228" t="s">
        <v>122</v>
      </c>
      <c r="M212" s="3"/>
      <c r="N212" s="228" t="s">
        <v>542</v>
      </c>
      <c r="O212" s="3" t="s">
        <v>24</v>
      </c>
      <c r="P212" s="186" t="s">
        <v>24</v>
      </c>
      <c r="Q212" s="222" t="s">
        <v>975</v>
      </c>
      <c r="R212" s="11"/>
      <c r="S212" s="11"/>
      <c r="T212" s="11"/>
    </row>
    <row r="213" spans="1:20" ht="36" customHeight="1" x14ac:dyDescent="0.2">
      <c r="A213" s="15">
        <v>210</v>
      </c>
      <c r="B213" s="15">
        <v>226</v>
      </c>
      <c r="C213" s="232" t="s">
        <v>976</v>
      </c>
      <c r="D213" s="16" t="s">
        <v>500</v>
      </c>
      <c r="E213" s="17" t="s">
        <v>20</v>
      </c>
      <c r="F213" s="15"/>
      <c r="G213" s="15"/>
      <c r="H213" s="15"/>
      <c r="I213" s="16" t="s">
        <v>977</v>
      </c>
      <c r="J213" s="15"/>
      <c r="K213" s="15"/>
      <c r="L213" s="233" t="s">
        <v>681</v>
      </c>
      <c r="M213" s="16"/>
      <c r="N213" s="233" t="s">
        <v>978</v>
      </c>
      <c r="O213" s="16" t="s">
        <v>24</v>
      </c>
      <c r="P213" s="219" t="s">
        <v>503</v>
      </c>
      <c r="Q213" s="221" t="s">
        <v>979</v>
      </c>
      <c r="R213" s="11"/>
      <c r="S213" s="11"/>
      <c r="T213" s="11"/>
    </row>
    <row r="214" spans="1:20" ht="36" customHeight="1" x14ac:dyDescent="0.2">
      <c r="A214" s="7">
        <v>211</v>
      </c>
      <c r="B214" s="7">
        <v>227</v>
      </c>
      <c r="C214" s="231" t="s">
        <v>980</v>
      </c>
      <c r="D214" s="3" t="s">
        <v>971</v>
      </c>
      <c r="E214" s="21" t="s">
        <v>28</v>
      </c>
      <c r="F214" s="7"/>
      <c r="G214" s="7"/>
      <c r="H214" s="7"/>
      <c r="I214" s="3" t="s">
        <v>540</v>
      </c>
      <c r="J214" s="7"/>
      <c r="K214" s="7"/>
      <c r="L214" s="228" t="s">
        <v>981</v>
      </c>
      <c r="M214" s="3"/>
      <c r="N214" s="228" t="s">
        <v>542</v>
      </c>
      <c r="O214" s="3" t="s">
        <v>24</v>
      </c>
      <c r="P214" s="186" t="s">
        <v>24</v>
      </c>
      <c r="Q214" s="222" t="s">
        <v>982</v>
      </c>
      <c r="R214" s="11"/>
      <c r="S214" s="11"/>
      <c r="T214" s="11"/>
    </row>
    <row r="215" spans="1:20" ht="36" customHeight="1" x14ac:dyDescent="0.2">
      <c r="A215" s="15">
        <v>212</v>
      </c>
      <c r="B215" s="15">
        <v>228</v>
      </c>
      <c r="C215" s="232" t="s">
        <v>983</v>
      </c>
      <c r="D215" s="16" t="s">
        <v>84</v>
      </c>
      <c r="E215" s="19" t="s">
        <v>20</v>
      </c>
      <c r="F215" s="15"/>
      <c r="G215" s="15"/>
      <c r="H215" s="15"/>
      <c r="I215" s="16" t="s">
        <v>984</v>
      </c>
      <c r="J215" s="15"/>
      <c r="K215" s="15"/>
      <c r="L215" s="233" t="s">
        <v>183</v>
      </c>
      <c r="M215" s="16"/>
      <c r="N215" s="233" t="s">
        <v>985</v>
      </c>
      <c r="O215" s="16" t="s">
        <v>24</v>
      </c>
      <c r="P215" s="219" t="s">
        <v>47</v>
      </c>
      <c r="Q215" s="221" t="s">
        <v>986</v>
      </c>
      <c r="R215" s="11"/>
      <c r="S215" s="11"/>
      <c r="T215" s="11"/>
    </row>
    <row r="216" spans="1:20" ht="36" customHeight="1" x14ac:dyDescent="0.2">
      <c r="A216" s="7">
        <v>213</v>
      </c>
      <c r="B216" s="7">
        <v>229</v>
      </c>
      <c r="C216" s="231" t="s">
        <v>987</v>
      </c>
      <c r="D216" s="3" t="s">
        <v>19</v>
      </c>
      <c r="E216" s="21" t="s">
        <v>28</v>
      </c>
      <c r="F216" s="7"/>
      <c r="G216" s="7"/>
      <c r="H216" s="7"/>
      <c r="I216" s="3" t="s">
        <v>704</v>
      </c>
      <c r="J216" s="7"/>
      <c r="K216" s="7"/>
      <c r="L216" s="228" t="s">
        <v>183</v>
      </c>
      <c r="M216" s="3"/>
      <c r="N216" s="228" t="s">
        <v>705</v>
      </c>
      <c r="O216" s="3" t="s">
        <v>24</v>
      </c>
      <c r="P216" s="186" t="s">
        <v>47</v>
      </c>
      <c r="Q216" s="222" t="s">
        <v>988</v>
      </c>
      <c r="R216" s="11"/>
      <c r="S216" s="11"/>
      <c r="T216" s="11"/>
    </row>
    <row r="217" spans="1:20" ht="36" customHeight="1" x14ac:dyDescent="0.2">
      <c r="A217" s="15">
        <v>214</v>
      </c>
      <c r="B217" s="15">
        <v>230</v>
      </c>
      <c r="C217" s="232" t="s">
        <v>989</v>
      </c>
      <c r="D217" s="16" t="s">
        <v>518</v>
      </c>
      <c r="E217" s="19" t="s">
        <v>28</v>
      </c>
      <c r="F217" s="15"/>
      <c r="G217" s="15"/>
      <c r="H217" s="15"/>
      <c r="I217" s="16" t="s">
        <v>569</v>
      </c>
      <c r="J217" s="15"/>
      <c r="K217" s="15"/>
      <c r="L217" s="233" t="s">
        <v>990</v>
      </c>
      <c r="M217" s="16"/>
      <c r="N217" s="233" t="s">
        <v>571</v>
      </c>
      <c r="O217" s="16" t="s">
        <v>991</v>
      </c>
      <c r="P217" s="219" t="s">
        <v>503</v>
      </c>
      <c r="Q217" s="221" t="s">
        <v>992</v>
      </c>
      <c r="R217" s="11"/>
      <c r="S217" s="11"/>
      <c r="T217" s="11"/>
    </row>
    <row r="218" spans="1:20" ht="36" customHeight="1" x14ac:dyDescent="0.2">
      <c r="A218" s="7">
        <v>215</v>
      </c>
      <c r="B218" s="7">
        <v>231</v>
      </c>
      <c r="C218" s="231" t="s">
        <v>993</v>
      </c>
      <c r="D218" s="3" t="s">
        <v>181</v>
      </c>
      <c r="E218" s="18" t="s">
        <v>20</v>
      </c>
      <c r="F218" s="7"/>
      <c r="G218" s="7"/>
      <c r="H218" s="7"/>
      <c r="I218" s="3" t="s">
        <v>229</v>
      </c>
      <c r="J218" s="7"/>
      <c r="K218" s="7"/>
      <c r="L218" s="228" t="s">
        <v>634</v>
      </c>
      <c r="M218" s="3"/>
      <c r="N218" s="228" t="s">
        <v>230</v>
      </c>
      <c r="O218" s="3" t="s">
        <v>47</v>
      </c>
      <c r="P218" s="186" t="s">
        <v>47</v>
      </c>
      <c r="Q218" s="222" t="s">
        <v>994</v>
      </c>
      <c r="R218" s="11"/>
      <c r="S218" s="11"/>
      <c r="T218" s="11"/>
    </row>
    <row r="219" spans="1:20" ht="36" customHeight="1" x14ac:dyDescent="0.2">
      <c r="A219" s="15">
        <v>216</v>
      </c>
      <c r="B219" s="15">
        <v>232</v>
      </c>
      <c r="C219" s="232" t="s">
        <v>995</v>
      </c>
      <c r="D219" s="16" t="s">
        <v>974</v>
      </c>
      <c r="E219" s="17" t="s">
        <v>20</v>
      </c>
      <c r="F219" s="15"/>
      <c r="G219" s="15"/>
      <c r="H219" s="15"/>
      <c r="I219" s="16" t="s">
        <v>540</v>
      </c>
      <c r="J219" s="15"/>
      <c r="K219" s="15"/>
      <c r="L219" s="233" t="s">
        <v>383</v>
      </c>
      <c r="M219" s="16"/>
      <c r="N219" s="233" t="s">
        <v>542</v>
      </c>
      <c r="O219" s="16" t="s">
        <v>996</v>
      </c>
      <c r="P219" s="219" t="s">
        <v>24</v>
      </c>
      <c r="Q219" s="221" t="s">
        <v>997</v>
      </c>
      <c r="R219" s="11"/>
      <c r="S219" s="11"/>
      <c r="T219" s="11"/>
    </row>
    <row r="220" spans="1:20" ht="36" customHeight="1" x14ac:dyDescent="0.2">
      <c r="A220" s="7">
        <v>217</v>
      </c>
      <c r="B220" s="7">
        <v>234</v>
      </c>
      <c r="C220" s="231" t="s">
        <v>998</v>
      </c>
      <c r="D220" s="3" t="s">
        <v>679</v>
      </c>
      <c r="E220" s="21" t="s">
        <v>20</v>
      </c>
      <c r="F220" s="7"/>
      <c r="G220" s="7"/>
      <c r="H220" s="7"/>
      <c r="I220" s="3" t="s">
        <v>999</v>
      </c>
      <c r="J220" s="7"/>
      <c r="K220" s="7"/>
      <c r="L220" s="228" t="s">
        <v>74</v>
      </c>
      <c r="M220" s="3"/>
      <c r="N220" s="228" t="s">
        <v>1000</v>
      </c>
      <c r="O220" s="3" t="s">
        <v>24</v>
      </c>
      <c r="P220" s="186" t="s">
        <v>47</v>
      </c>
      <c r="Q220" s="222" t="s">
        <v>1001</v>
      </c>
      <c r="R220" s="11"/>
      <c r="S220" s="11"/>
      <c r="T220" s="11"/>
    </row>
    <row r="221" spans="1:20" ht="36" customHeight="1" x14ac:dyDescent="0.2">
      <c r="A221" s="15">
        <v>218</v>
      </c>
      <c r="B221" s="15">
        <v>235</v>
      </c>
      <c r="C221" s="232" t="s">
        <v>1002</v>
      </c>
      <c r="D221" s="16" t="s">
        <v>518</v>
      </c>
      <c r="E221" s="19" t="s">
        <v>28</v>
      </c>
      <c r="F221" s="15"/>
      <c r="G221" s="15"/>
      <c r="H221" s="15"/>
      <c r="I221" s="16" t="s">
        <v>569</v>
      </c>
      <c r="J221" s="15"/>
      <c r="K221" s="15"/>
      <c r="L221" s="233" t="s">
        <v>105</v>
      </c>
      <c r="M221" s="16"/>
      <c r="N221" s="233" t="s">
        <v>571</v>
      </c>
      <c r="O221" s="16" t="s">
        <v>503</v>
      </c>
      <c r="P221" s="219" t="s">
        <v>47</v>
      </c>
      <c r="Q221" s="221" t="s">
        <v>1003</v>
      </c>
      <c r="R221" s="11"/>
      <c r="S221" s="11"/>
      <c r="T221" s="11"/>
    </row>
    <row r="222" spans="1:20" ht="36" customHeight="1" x14ac:dyDescent="0.2">
      <c r="A222" s="7">
        <v>219</v>
      </c>
      <c r="B222" s="7">
        <v>236</v>
      </c>
      <c r="C222" s="231" t="s">
        <v>1004</v>
      </c>
      <c r="D222" s="3" t="s">
        <v>500</v>
      </c>
      <c r="E222" s="21" t="s">
        <v>28</v>
      </c>
      <c r="F222" s="7"/>
      <c r="G222" s="7"/>
      <c r="H222" s="7"/>
      <c r="I222" s="3" t="s">
        <v>569</v>
      </c>
      <c r="J222" s="7"/>
      <c r="K222" s="7"/>
      <c r="L222" s="228" t="s">
        <v>383</v>
      </c>
      <c r="M222" s="3"/>
      <c r="N222" s="228" t="s">
        <v>571</v>
      </c>
      <c r="O222" s="3" t="s">
        <v>24</v>
      </c>
      <c r="P222" s="186" t="s">
        <v>503</v>
      </c>
      <c r="Q222" s="222" t="s">
        <v>1005</v>
      </c>
      <c r="R222" s="11"/>
      <c r="S222" s="11"/>
      <c r="T222" s="11"/>
    </row>
    <row r="223" spans="1:20" ht="36" customHeight="1" x14ac:dyDescent="0.2">
      <c r="A223" s="15">
        <v>220</v>
      </c>
      <c r="B223" s="15">
        <v>237</v>
      </c>
      <c r="C223" s="232" t="s">
        <v>1006</v>
      </c>
      <c r="D223" s="16" t="s">
        <v>127</v>
      </c>
      <c r="E223" s="17" t="s">
        <v>28</v>
      </c>
      <c r="F223" s="15"/>
      <c r="G223" s="15"/>
      <c r="H223" s="15"/>
      <c r="I223" s="16" t="s">
        <v>459</v>
      </c>
      <c r="J223" s="15"/>
      <c r="K223" s="15"/>
      <c r="L223" s="233" t="s">
        <v>58</v>
      </c>
      <c r="M223" s="16"/>
      <c r="N223" s="233" t="s">
        <v>461</v>
      </c>
      <c r="O223" s="16" t="s">
        <v>47</v>
      </c>
      <c r="P223" s="219" t="s">
        <v>47</v>
      </c>
      <c r="Q223" s="221" t="s">
        <v>1007</v>
      </c>
      <c r="R223" s="11"/>
      <c r="S223" s="11"/>
      <c r="T223" s="11"/>
    </row>
    <row r="224" spans="1:20" ht="36" customHeight="1" x14ac:dyDescent="0.2">
      <c r="A224" s="7">
        <v>221</v>
      </c>
      <c r="B224" s="7">
        <v>238</v>
      </c>
      <c r="C224" s="231" t="s">
        <v>1008</v>
      </c>
      <c r="D224" s="3" t="s">
        <v>1009</v>
      </c>
      <c r="E224" s="21" t="s">
        <v>28</v>
      </c>
      <c r="F224" s="7"/>
      <c r="G224" s="7"/>
      <c r="H224" s="7"/>
      <c r="I224" s="3" t="s">
        <v>1010</v>
      </c>
      <c r="J224" s="7"/>
      <c r="K224" s="7"/>
      <c r="L224" s="228" t="s">
        <v>22</v>
      </c>
      <c r="M224" s="3"/>
      <c r="N224" s="228" t="s">
        <v>1011</v>
      </c>
      <c r="O224" s="3" t="s">
        <v>24</v>
      </c>
      <c r="P224" s="186" t="s">
        <v>1012</v>
      </c>
      <c r="Q224" s="222" t="s">
        <v>1013</v>
      </c>
      <c r="R224" s="11"/>
      <c r="S224" s="11"/>
      <c r="T224" s="11"/>
    </row>
    <row r="225" spans="1:20" ht="36" customHeight="1" x14ac:dyDescent="0.2">
      <c r="A225" s="15">
        <v>222</v>
      </c>
      <c r="B225" s="15">
        <v>239</v>
      </c>
      <c r="C225" s="232" t="s">
        <v>1014</v>
      </c>
      <c r="D225" s="16" t="s">
        <v>1015</v>
      </c>
      <c r="E225" s="22" t="s">
        <v>42</v>
      </c>
      <c r="F225" s="15"/>
      <c r="G225" s="15"/>
      <c r="H225" s="15"/>
      <c r="I225" s="16" t="s">
        <v>1016</v>
      </c>
      <c r="J225" s="15"/>
      <c r="K225" s="15"/>
      <c r="L225" s="233" t="s">
        <v>44</v>
      </c>
      <c r="M225" s="16"/>
      <c r="N225" s="233" t="s">
        <v>1017</v>
      </c>
      <c r="O225" s="16" t="s">
        <v>24</v>
      </c>
      <c r="P225" s="219" t="s">
        <v>153</v>
      </c>
      <c r="Q225" s="221" t="s">
        <v>1018</v>
      </c>
      <c r="R225" s="11"/>
      <c r="S225" s="11"/>
      <c r="T225" s="11"/>
    </row>
    <row r="226" spans="1:20" ht="36" customHeight="1" x14ac:dyDescent="0.2">
      <c r="A226" s="7">
        <v>223</v>
      </c>
      <c r="B226" s="7">
        <v>240</v>
      </c>
      <c r="C226" s="231" t="s">
        <v>1019</v>
      </c>
      <c r="D226" s="3" t="s">
        <v>416</v>
      </c>
      <c r="E226" s="21" t="s">
        <v>28</v>
      </c>
      <c r="F226" s="7"/>
      <c r="G226" s="7"/>
      <c r="H226" s="7"/>
      <c r="I226" s="3" t="s">
        <v>512</v>
      </c>
      <c r="J226" s="7"/>
      <c r="K226" s="7"/>
      <c r="L226" s="228" t="s">
        <v>1020</v>
      </c>
      <c r="M226" s="3"/>
      <c r="N226" s="228" t="s">
        <v>513</v>
      </c>
      <c r="O226" s="3" t="s">
        <v>259</v>
      </c>
      <c r="P226" s="186" t="s">
        <v>47</v>
      </c>
      <c r="Q226" s="222" t="s">
        <v>1021</v>
      </c>
      <c r="R226" s="11"/>
      <c r="S226" s="11"/>
      <c r="T226" s="11"/>
    </row>
    <row r="227" spans="1:20" ht="36" customHeight="1" x14ac:dyDescent="0.2">
      <c r="A227" s="15">
        <v>224</v>
      </c>
      <c r="B227" s="15">
        <v>242</v>
      </c>
      <c r="C227" s="232" t="s">
        <v>1022</v>
      </c>
      <c r="D227" s="16" t="s">
        <v>897</v>
      </c>
      <c r="E227" s="19" t="s">
        <v>20</v>
      </c>
      <c r="F227" s="15"/>
      <c r="G227" s="15"/>
      <c r="H227" s="15"/>
      <c r="I227" s="16" t="s">
        <v>1023</v>
      </c>
      <c r="J227" s="15"/>
      <c r="K227" s="15"/>
      <c r="L227" s="233" t="s">
        <v>22</v>
      </c>
      <c r="M227" s="16"/>
      <c r="N227" s="233" t="s">
        <v>1024</v>
      </c>
      <c r="O227" s="16" t="s">
        <v>24</v>
      </c>
      <c r="P227" s="219" t="s">
        <v>47</v>
      </c>
      <c r="Q227" s="221" t="s">
        <v>1025</v>
      </c>
      <c r="R227" s="11"/>
      <c r="S227" s="11"/>
      <c r="T227" s="11"/>
    </row>
    <row r="228" spans="1:20" ht="36" customHeight="1" x14ac:dyDescent="0.2">
      <c r="A228" s="7">
        <v>225</v>
      </c>
      <c r="B228" s="7">
        <v>243</v>
      </c>
      <c r="C228" s="231" t="s">
        <v>1026</v>
      </c>
      <c r="D228" s="3" t="s">
        <v>166</v>
      </c>
      <c r="E228" s="20" t="s">
        <v>20</v>
      </c>
      <c r="F228" s="7"/>
      <c r="G228" s="7"/>
      <c r="H228" s="7"/>
      <c r="I228" s="3" t="s">
        <v>652</v>
      </c>
      <c r="J228" s="7"/>
      <c r="K228" s="7"/>
      <c r="L228" s="228" t="s">
        <v>460</v>
      </c>
      <c r="M228" s="3"/>
      <c r="N228" s="228" t="s">
        <v>654</v>
      </c>
      <c r="O228" s="3" t="s">
        <v>24</v>
      </c>
      <c r="P228" s="186" t="s">
        <v>47</v>
      </c>
      <c r="Q228" s="222" t="s">
        <v>1027</v>
      </c>
      <c r="R228" s="11"/>
      <c r="S228" s="11"/>
      <c r="T228" s="11"/>
    </row>
    <row r="229" spans="1:20" ht="36" customHeight="1" x14ac:dyDescent="0.2">
      <c r="A229" s="15">
        <v>226</v>
      </c>
      <c r="B229" s="15">
        <v>246</v>
      </c>
      <c r="C229" s="232" t="s">
        <v>1028</v>
      </c>
      <c r="D229" s="16" t="s">
        <v>62</v>
      </c>
      <c r="E229" s="19" t="s">
        <v>20</v>
      </c>
      <c r="F229" s="15"/>
      <c r="G229" s="15"/>
      <c r="H229" s="15"/>
      <c r="I229" s="16" t="s">
        <v>229</v>
      </c>
      <c r="J229" s="15"/>
      <c r="K229" s="15"/>
      <c r="L229" s="233" t="s">
        <v>589</v>
      </c>
      <c r="M229" s="16"/>
      <c r="N229" s="233" t="s">
        <v>230</v>
      </c>
      <c r="O229" s="16" t="s">
        <v>24</v>
      </c>
      <c r="P229" s="219" t="s">
        <v>24</v>
      </c>
      <c r="Q229" s="221" t="s">
        <v>1029</v>
      </c>
      <c r="R229" s="11"/>
      <c r="S229" s="11"/>
      <c r="T229" s="11"/>
    </row>
    <row r="230" spans="1:20" ht="36" customHeight="1" x14ac:dyDescent="0.2">
      <c r="A230" s="7">
        <v>227</v>
      </c>
      <c r="B230" s="7">
        <v>249</v>
      </c>
      <c r="C230" s="231" t="s">
        <v>1030</v>
      </c>
      <c r="D230" s="3" t="s">
        <v>897</v>
      </c>
      <c r="E230" s="18" t="s">
        <v>28</v>
      </c>
      <c r="F230" s="7"/>
      <c r="G230" s="7"/>
      <c r="H230" s="7"/>
      <c r="I230" s="3" t="s">
        <v>704</v>
      </c>
      <c r="J230" s="7"/>
      <c r="K230" s="7"/>
      <c r="L230" s="228" t="s">
        <v>1031</v>
      </c>
      <c r="M230" s="3"/>
      <c r="N230" s="228" t="s">
        <v>705</v>
      </c>
      <c r="O230" s="3" t="s">
        <v>24</v>
      </c>
      <c r="P230" s="186" t="s">
        <v>24</v>
      </c>
      <c r="Q230" s="222" t="s">
        <v>1032</v>
      </c>
      <c r="R230" s="11"/>
      <c r="S230" s="11"/>
      <c r="T230" s="11"/>
    </row>
    <row r="231" spans="1:20" ht="36" customHeight="1" x14ac:dyDescent="0.2">
      <c r="A231" s="15">
        <v>228</v>
      </c>
      <c r="B231" s="15">
        <v>252</v>
      </c>
      <c r="C231" s="232" t="s">
        <v>1033</v>
      </c>
      <c r="D231" s="16" t="s">
        <v>323</v>
      </c>
      <c r="E231" s="17" t="s">
        <v>20</v>
      </c>
      <c r="F231" s="15"/>
      <c r="G231" s="15"/>
      <c r="H231" s="15"/>
      <c r="I231" s="16" t="s">
        <v>652</v>
      </c>
      <c r="J231" s="15"/>
      <c r="K231" s="15"/>
      <c r="L231" s="233" t="s">
        <v>1034</v>
      </c>
      <c r="M231" s="16"/>
      <c r="N231" s="233" t="s">
        <v>654</v>
      </c>
      <c r="O231" s="16" t="s">
        <v>326</v>
      </c>
      <c r="P231" s="219" t="s">
        <v>24</v>
      </c>
      <c r="Q231" s="221" t="s">
        <v>1035</v>
      </c>
      <c r="R231" s="11"/>
      <c r="S231" s="11"/>
      <c r="T231" s="11"/>
    </row>
    <row r="232" spans="1:20" ht="36" customHeight="1" x14ac:dyDescent="0.2">
      <c r="A232" s="7">
        <v>229</v>
      </c>
      <c r="B232" s="7">
        <v>253</v>
      </c>
      <c r="C232" s="231" t="s">
        <v>1036</v>
      </c>
      <c r="D232" s="3" t="s">
        <v>1037</v>
      </c>
      <c r="E232" s="18" t="s">
        <v>28</v>
      </c>
      <c r="F232" s="7"/>
      <c r="G232" s="7"/>
      <c r="H232" s="7"/>
      <c r="I232" s="3" t="s">
        <v>957</v>
      </c>
      <c r="J232" s="7"/>
      <c r="K232" s="7"/>
      <c r="L232" s="228" t="s">
        <v>285</v>
      </c>
      <c r="M232" s="3"/>
      <c r="N232" s="228" t="s">
        <v>959</v>
      </c>
      <c r="O232" s="3" t="s">
        <v>960</v>
      </c>
      <c r="P232" s="186" t="s">
        <v>153</v>
      </c>
      <c r="Q232" s="222" t="s">
        <v>1038</v>
      </c>
      <c r="R232" s="11"/>
      <c r="S232" s="11"/>
      <c r="T232" s="11"/>
    </row>
    <row r="233" spans="1:20" ht="36" customHeight="1" x14ac:dyDescent="0.2">
      <c r="A233" s="15">
        <v>230</v>
      </c>
      <c r="B233" s="15">
        <v>254</v>
      </c>
      <c r="C233" s="232" t="s">
        <v>1039</v>
      </c>
      <c r="D233" s="16" t="s">
        <v>344</v>
      </c>
      <c r="E233" s="22" t="s">
        <v>28</v>
      </c>
      <c r="F233" s="15"/>
      <c r="G233" s="15"/>
      <c r="H233" s="15"/>
      <c r="I233" s="16" t="s">
        <v>300</v>
      </c>
      <c r="J233" s="15"/>
      <c r="K233" s="15"/>
      <c r="L233" s="233" t="s">
        <v>779</v>
      </c>
      <c r="M233" s="16"/>
      <c r="N233" s="233" t="s">
        <v>302</v>
      </c>
      <c r="O233" s="16" t="s">
        <v>231</v>
      </c>
      <c r="P233" s="219" t="s">
        <v>24</v>
      </c>
      <c r="Q233" s="221" t="s">
        <v>1040</v>
      </c>
      <c r="R233" s="11"/>
      <c r="S233" s="11"/>
      <c r="T233" s="11"/>
    </row>
    <row r="234" spans="1:20" ht="36" customHeight="1" x14ac:dyDescent="0.2">
      <c r="A234" s="7">
        <v>231</v>
      </c>
      <c r="B234" s="7">
        <v>256</v>
      </c>
      <c r="C234" s="231" t="s">
        <v>1041</v>
      </c>
      <c r="D234" s="3" t="s">
        <v>309</v>
      </c>
      <c r="E234" s="21" t="s">
        <v>28</v>
      </c>
      <c r="F234" s="7"/>
      <c r="G234" s="7"/>
      <c r="H234" s="7"/>
      <c r="I234" s="3" t="s">
        <v>1042</v>
      </c>
      <c r="J234" s="7"/>
      <c r="K234" s="7"/>
      <c r="L234" s="228" t="s">
        <v>339</v>
      </c>
      <c r="M234" s="3"/>
      <c r="N234" s="228" t="s">
        <v>1043</v>
      </c>
      <c r="O234" s="3" t="s">
        <v>24</v>
      </c>
      <c r="P234" s="186" t="s">
        <v>47</v>
      </c>
      <c r="Q234" s="222" t="s">
        <v>1044</v>
      </c>
      <c r="R234" s="11"/>
      <c r="S234" s="11"/>
      <c r="T234" s="11"/>
    </row>
    <row r="235" spans="1:20" ht="36" customHeight="1" x14ac:dyDescent="0.2">
      <c r="A235" s="15">
        <v>232</v>
      </c>
      <c r="B235" s="15">
        <v>257</v>
      </c>
      <c r="C235" s="232" t="s">
        <v>1045</v>
      </c>
      <c r="D235" s="16" t="s">
        <v>500</v>
      </c>
      <c r="E235" s="19" t="s">
        <v>20</v>
      </c>
      <c r="F235" s="15"/>
      <c r="G235" s="15"/>
      <c r="H235" s="15"/>
      <c r="I235" s="16" t="s">
        <v>569</v>
      </c>
      <c r="J235" s="15"/>
      <c r="K235" s="15"/>
      <c r="L235" s="233" t="s">
        <v>618</v>
      </c>
      <c r="M235" s="16"/>
      <c r="N235" s="233" t="s">
        <v>571</v>
      </c>
      <c r="O235" s="16" t="s">
        <v>53</v>
      </c>
      <c r="P235" s="219" t="s">
        <v>503</v>
      </c>
      <c r="Q235" s="221" t="s">
        <v>1046</v>
      </c>
      <c r="R235" s="11"/>
      <c r="S235" s="11"/>
      <c r="T235" s="11"/>
    </row>
    <row r="236" spans="1:20" ht="36" customHeight="1" x14ac:dyDescent="0.2">
      <c r="A236" s="7">
        <v>233</v>
      </c>
      <c r="B236" s="7">
        <v>258</v>
      </c>
      <c r="C236" s="231" t="s">
        <v>1047</v>
      </c>
      <c r="D236" s="3" t="s">
        <v>62</v>
      </c>
      <c r="E236" s="18" t="s">
        <v>20</v>
      </c>
      <c r="F236" s="7"/>
      <c r="G236" s="7"/>
      <c r="H236" s="7"/>
      <c r="I236" s="3" t="s">
        <v>229</v>
      </c>
      <c r="J236" s="7"/>
      <c r="K236" s="7"/>
      <c r="L236" s="228" t="s">
        <v>792</v>
      </c>
      <c r="M236" s="3"/>
      <c r="N236" s="228" t="s">
        <v>230</v>
      </c>
      <c r="O236" s="3" t="s">
        <v>47</v>
      </c>
      <c r="P236" s="186" t="s">
        <v>47</v>
      </c>
      <c r="Q236" s="222" t="s">
        <v>1048</v>
      </c>
      <c r="R236" s="11"/>
      <c r="S236" s="11"/>
      <c r="T236" s="11"/>
    </row>
    <row r="237" spans="1:20" ht="36" customHeight="1" x14ac:dyDescent="0.2">
      <c r="A237" s="15">
        <v>234</v>
      </c>
      <c r="B237" s="15">
        <v>261</v>
      </c>
      <c r="C237" s="232" t="s">
        <v>1049</v>
      </c>
      <c r="D237" s="16" t="s">
        <v>1050</v>
      </c>
      <c r="E237" s="19" t="s">
        <v>28</v>
      </c>
      <c r="F237" s="15"/>
      <c r="G237" s="15"/>
      <c r="H237" s="15"/>
      <c r="I237" s="16" t="s">
        <v>569</v>
      </c>
      <c r="J237" s="15"/>
      <c r="K237" s="15"/>
      <c r="L237" s="233" t="s">
        <v>1051</v>
      </c>
      <c r="M237" s="16"/>
      <c r="N237" s="233" t="s">
        <v>571</v>
      </c>
      <c r="O237" s="16" t="s">
        <v>648</v>
      </c>
      <c r="P237" s="219" t="s">
        <v>648</v>
      </c>
      <c r="Q237" s="221" t="s">
        <v>1052</v>
      </c>
      <c r="R237" s="11"/>
      <c r="S237" s="11"/>
      <c r="T237" s="11"/>
    </row>
    <row r="238" spans="1:20" ht="36" customHeight="1" x14ac:dyDescent="0.2">
      <c r="A238" s="7">
        <v>235</v>
      </c>
      <c r="B238" s="7">
        <v>263</v>
      </c>
      <c r="C238" s="231" t="s">
        <v>1053</v>
      </c>
      <c r="D238" s="3" t="s">
        <v>62</v>
      </c>
      <c r="E238" s="18" t="s">
        <v>20</v>
      </c>
      <c r="F238" s="7"/>
      <c r="G238" s="7"/>
      <c r="H238" s="7"/>
      <c r="I238" s="3" t="s">
        <v>229</v>
      </c>
      <c r="J238" s="7"/>
      <c r="K238" s="7"/>
      <c r="L238" s="228" t="s">
        <v>183</v>
      </c>
      <c r="M238" s="3"/>
      <c r="N238" s="228" t="s">
        <v>230</v>
      </c>
      <c r="O238" s="3" t="s">
        <v>65</v>
      </c>
      <c r="P238" s="186" t="s">
        <v>47</v>
      </c>
      <c r="Q238" s="222" t="s">
        <v>1054</v>
      </c>
      <c r="R238" s="11"/>
      <c r="S238" s="11"/>
      <c r="T238" s="11"/>
    </row>
    <row r="239" spans="1:20" ht="36" customHeight="1" x14ac:dyDescent="0.2">
      <c r="A239" s="15">
        <v>236</v>
      </c>
      <c r="B239" s="15">
        <v>266</v>
      </c>
      <c r="C239" s="232" t="s">
        <v>1055</v>
      </c>
      <c r="D239" s="16" t="s">
        <v>897</v>
      </c>
      <c r="E239" s="19" t="s">
        <v>20</v>
      </c>
      <c r="F239" s="15"/>
      <c r="G239" s="15"/>
      <c r="H239" s="15"/>
      <c r="I239" s="16" t="s">
        <v>704</v>
      </c>
      <c r="J239" s="15"/>
      <c r="K239" s="15"/>
      <c r="L239" s="233" t="s">
        <v>779</v>
      </c>
      <c r="M239" s="16"/>
      <c r="N239" s="233" t="s">
        <v>705</v>
      </c>
      <c r="O239" s="16" t="s">
        <v>24</v>
      </c>
      <c r="P239" s="219" t="s">
        <v>24</v>
      </c>
      <c r="Q239" s="221" t="s">
        <v>1056</v>
      </c>
      <c r="R239" s="11"/>
      <c r="S239" s="11"/>
      <c r="T239" s="11"/>
    </row>
    <row r="240" spans="1:20" ht="36" customHeight="1" x14ac:dyDescent="0.2">
      <c r="A240" s="7">
        <v>237</v>
      </c>
      <c r="B240" s="7">
        <v>268</v>
      </c>
      <c r="C240" s="231" t="s">
        <v>1057</v>
      </c>
      <c r="D240" s="3" t="s">
        <v>1058</v>
      </c>
      <c r="E240" s="14" t="s">
        <v>20</v>
      </c>
      <c r="F240" s="7"/>
      <c r="G240" s="7"/>
      <c r="H240" s="7"/>
      <c r="I240" s="3" t="s">
        <v>1059</v>
      </c>
      <c r="J240" s="7"/>
      <c r="K240" s="7"/>
      <c r="L240" s="228" t="s">
        <v>1060</v>
      </c>
      <c r="M240" s="3"/>
      <c r="N240" s="228" t="s">
        <v>1061</v>
      </c>
      <c r="O240" s="3" t="s">
        <v>24</v>
      </c>
      <c r="P240" s="186" t="s">
        <v>47</v>
      </c>
      <c r="Q240" s="222" t="s">
        <v>1062</v>
      </c>
      <c r="R240" s="11"/>
      <c r="S240" s="11"/>
      <c r="T240" s="11"/>
    </row>
    <row r="241" spans="1:20" ht="36" customHeight="1" x14ac:dyDescent="0.2">
      <c r="A241" s="15">
        <v>238</v>
      </c>
      <c r="B241" s="15">
        <v>269</v>
      </c>
      <c r="C241" s="232" t="s">
        <v>1063</v>
      </c>
      <c r="D241" s="16" t="s">
        <v>904</v>
      </c>
      <c r="E241" s="19" t="s">
        <v>42</v>
      </c>
      <c r="F241" s="15"/>
      <c r="G241" s="15"/>
      <c r="H241" s="15"/>
      <c r="I241" s="16" t="s">
        <v>617</v>
      </c>
      <c r="J241" s="15"/>
      <c r="K241" s="15"/>
      <c r="L241" s="233" t="s">
        <v>1064</v>
      </c>
      <c r="M241" s="16"/>
      <c r="N241" s="233" t="s">
        <v>619</v>
      </c>
      <c r="O241" s="16" t="s">
        <v>1065</v>
      </c>
      <c r="P241" s="219" t="s">
        <v>47</v>
      </c>
      <c r="Q241" s="221" t="s">
        <v>1066</v>
      </c>
      <c r="R241" s="11"/>
      <c r="S241" s="11"/>
      <c r="T241" s="11"/>
    </row>
    <row r="242" spans="1:20" ht="36" customHeight="1" x14ac:dyDescent="0.2">
      <c r="A242" s="7">
        <v>239</v>
      </c>
      <c r="B242" s="7">
        <v>270</v>
      </c>
      <c r="C242" s="231" t="s">
        <v>1067</v>
      </c>
      <c r="D242" s="3" t="s">
        <v>518</v>
      </c>
      <c r="E242" s="20" t="s">
        <v>20</v>
      </c>
      <c r="F242" s="7"/>
      <c r="G242" s="7"/>
      <c r="H242" s="7"/>
      <c r="I242" s="3" t="s">
        <v>512</v>
      </c>
      <c r="J242" s="7"/>
      <c r="K242" s="7"/>
      <c r="L242" s="228" t="s">
        <v>589</v>
      </c>
      <c r="M242" s="3"/>
      <c r="N242" s="228" t="s">
        <v>513</v>
      </c>
      <c r="O242" s="3" t="s">
        <v>65</v>
      </c>
      <c r="P242" s="186" t="s">
        <v>47</v>
      </c>
      <c r="Q242" s="222" t="s">
        <v>1068</v>
      </c>
      <c r="R242" s="11"/>
      <c r="S242" s="11"/>
      <c r="T242" s="11"/>
    </row>
    <row r="243" spans="1:20" ht="36" customHeight="1" x14ac:dyDescent="0.2">
      <c r="A243" s="15">
        <v>240</v>
      </c>
      <c r="B243" s="15">
        <v>271</v>
      </c>
      <c r="C243" s="232" t="s">
        <v>1069</v>
      </c>
      <c r="D243" s="16" t="s">
        <v>735</v>
      </c>
      <c r="E243" s="22" t="s">
        <v>28</v>
      </c>
      <c r="F243" s="15"/>
      <c r="G243" s="15"/>
      <c r="H243" s="15"/>
      <c r="I243" s="16" t="s">
        <v>748</v>
      </c>
      <c r="J243" s="15"/>
      <c r="K243" s="15"/>
      <c r="L243" s="233" t="s">
        <v>1070</v>
      </c>
      <c r="M243" s="16"/>
      <c r="N243" s="233" t="s">
        <v>750</v>
      </c>
      <c r="O243" s="16" t="s">
        <v>24</v>
      </c>
      <c r="P243" s="219" t="s">
        <v>24</v>
      </c>
      <c r="Q243" s="221" t="s">
        <v>1071</v>
      </c>
      <c r="R243" s="11"/>
      <c r="S243" s="11"/>
      <c r="T243" s="11"/>
    </row>
    <row r="244" spans="1:20" ht="36" customHeight="1" x14ac:dyDescent="0.2">
      <c r="A244" s="7">
        <v>241</v>
      </c>
      <c r="B244" s="7">
        <v>273</v>
      </c>
      <c r="C244" s="231" t="s">
        <v>1072</v>
      </c>
      <c r="D244" s="3" t="s">
        <v>56</v>
      </c>
      <c r="E244" s="18" t="s">
        <v>42</v>
      </c>
      <c r="F244" s="7"/>
      <c r="G244" s="7"/>
      <c r="H244" s="7"/>
      <c r="I244" s="3" t="s">
        <v>229</v>
      </c>
      <c r="J244" s="7"/>
      <c r="K244" s="7"/>
      <c r="L244" s="228" t="s">
        <v>279</v>
      </c>
      <c r="M244" s="3"/>
      <c r="N244" s="228" t="s">
        <v>230</v>
      </c>
      <c r="O244" s="3" t="s">
        <v>24</v>
      </c>
      <c r="P244" s="186" t="s">
        <v>24</v>
      </c>
      <c r="Q244" s="222" t="s">
        <v>1073</v>
      </c>
      <c r="R244" s="11"/>
      <c r="S244" s="11"/>
      <c r="T244" s="11"/>
    </row>
    <row r="245" spans="1:20" ht="36" customHeight="1" x14ac:dyDescent="0.2">
      <c r="A245" s="15">
        <v>242</v>
      </c>
      <c r="B245" s="15">
        <v>274</v>
      </c>
      <c r="C245" s="232" t="s">
        <v>1074</v>
      </c>
      <c r="D245" s="16" t="s">
        <v>1075</v>
      </c>
      <c r="E245" s="19" t="s">
        <v>28</v>
      </c>
      <c r="F245" s="15"/>
      <c r="G245" s="15"/>
      <c r="H245" s="15"/>
      <c r="I245" s="16" t="s">
        <v>1076</v>
      </c>
      <c r="J245" s="15"/>
      <c r="K245" s="15"/>
      <c r="L245" s="233" t="s">
        <v>279</v>
      </c>
      <c r="M245" s="16"/>
      <c r="N245" s="233" t="s">
        <v>1077</v>
      </c>
      <c r="O245" s="16" t="s">
        <v>24</v>
      </c>
      <c r="P245" s="219" t="s">
        <v>24</v>
      </c>
      <c r="Q245" s="221" t="s">
        <v>1078</v>
      </c>
      <c r="R245" s="11"/>
      <c r="S245" s="11"/>
      <c r="T245" s="11"/>
    </row>
    <row r="246" spans="1:20" ht="36" customHeight="1" x14ac:dyDescent="0.2">
      <c r="A246" s="7">
        <v>243</v>
      </c>
      <c r="B246" s="7">
        <v>277</v>
      </c>
      <c r="C246" s="231" t="s">
        <v>1079</v>
      </c>
      <c r="D246" s="3" t="s">
        <v>1080</v>
      </c>
      <c r="E246" s="20" t="s">
        <v>28</v>
      </c>
      <c r="F246" s="7"/>
      <c r="G246" s="7"/>
      <c r="H246" s="7"/>
      <c r="I246" s="3" t="s">
        <v>617</v>
      </c>
      <c r="J246" s="7"/>
      <c r="K246" s="7"/>
      <c r="L246" s="228" t="s">
        <v>460</v>
      </c>
      <c r="M246" s="3"/>
      <c r="N246" s="228" t="s">
        <v>619</v>
      </c>
      <c r="O246" s="3" t="s">
        <v>24</v>
      </c>
      <c r="P246" s="186" t="s">
        <v>47</v>
      </c>
      <c r="Q246" s="222" t="s">
        <v>1081</v>
      </c>
      <c r="R246" s="11"/>
      <c r="S246" s="11"/>
      <c r="T246" s="11"/>
    </row>
    <row r="247" spans="1:20" ht="36" customHeight="1" x14ac:dyDescent="0.2">
      <c r="A247" s="15">
        <v>244</v>
      </c>
      <c r="B247" s="15">
        <v>278</v>
      </c>
      <c r="C247" s="232" t="s">
        <v>1082</v>
      </c>
      <c r="D247" s="16" t="s">
        <v>512</v>
      </c>
      <c r="E247" s="23" t="s">
        <v>20</v>
      </c>
      <c r="F247" s="15"/>
      <c r="G247" s="15"/>
      <c r="H247" s="15"/>
      <c r="I247" s="16" t="s">
        <v>512</v>
      </c>
      <c r="J247" s="15"/>
      <c r="K247" s="15"/>
      <c r="L247" s="233" t="s">
        <v>1083</v>
      </c>
      <c r="M247" s="16"/>
      <c r="N247" s="233" t="s">
        <v>513</v>
      </c>
      <c r="O247" s="16" t="s">
        <v>65</v>
      </c>
      <c r="P247" s="219" t="s">
        <v>47</v>
      </c>
      <c r="Q247" s="221" t="s">
        <v>1084</v>
      </c>
      <c r="R247" s="11"/>
      <c r="S247" s="11"/>
      <c r="T247" s="11"/>
    </row>
    <row r="248" spans="1:20" ht="36" customHeight="1" x14ac:dyDescent="0.2">
      <c r="A248" s="7">
        <v>245</v>
      </c>
      <c r="B248" s="7">
        <v>279</v>
      </c>
      <c r="C248" s="231" t="s">
        <v>1085</v>
      </c>
      <c r="D248" s="3" t="s">
        <v>1086</v>
      </c>
      <c r="E248" s="20" t="s">
        <v>28</v>
      </c>
      <c r="F248" s="7"/>
      <c r="G248" s="7"/>
      <c r="H248" s="7"/>
      <c r="I248" s="3" t="s">
        <v>507</v>
      </c>
      <c r="J248" s="7"/>
      <c r="K248" s="7"/>
      <c r="L248" s="228" t="s">
        <v>263</v>
      </c>
      <c r="M248" s="3"/>
      <c r="N248" s="228" t="s">
        <v>508</v>
      </c>
      <c r="O248" s="3" t="s">
        <v>1087</v>
      </c>
      <c r="P248" s="186" t="s">
        <v>24</v>
      </c>
      <c r="Q248" s="222" t="s">
        <v>1088</v>
      </c>
      <c r="R248" s="11"/>
      <c r="S248" s="11"/>
      <c r="T248" s="11"/>
    </row>
    <row r="249" spans="1:20" ht="36" customHeight="1" x14ac:dyDescent="0.2">
      <c r="A249" s="15">
        <v>246</v>
      </c>
      <c r="B249" s="15">
        <v>282</v>
      </c>
      <c r="C249" s="232" t="s">
        <v>1089</v>
      </c>
      <c r="D249" s="16" t="s">
        <v>1090</v>
      </c>
      <c r="E249" s="19" t="s">
        <v>42</v>
      </c>
      <c r="F249" s="15"/>
      <c r="G249" s="15"/>
      <c r="H249" s="15"/>
      <c r="I249" s="16" t="s">
        <v>300</v>
      </c>
      <c r="J249" s="15"/>
      <c r="K249" s="15"/>
      <c r="L249" s="233" t="s">
        <v>1091</v>
      </c>
      <c r="M249" s="16"/>
      <c r="N249" s="233" t="s">
        <v>302</v>
      </c>
      <c r="O249" s="16" t="s">
        <v>303</v>
      </c>
      <c r="P249" s="219" t="s">
        <v>304</v>
      </c>
      <c r="Q249" s="221" t="s">
        <v>1092</v>
      </c>
      <c r="R249" s="11"/>
      <c r="S249" s="11"/>
      <c r="T249" s="11"/>
    </row>
    <row r="250" spans="1:20" ht="36" customHeight="1" x14ac:dyDescent="0.2">
      <c r="A250" s="7">
        <v>247</v>
      </c>
      <c r="B250" s="7">
        <v>283</v>
      </c>
      <c r="C250" s="231" t="s">
        <v>1093</v>
      </c>
      <c r="D250" s="3" t="s">
        <v>84</v>
      </c>
      <c r="E250" s="18" t="s">
        <v>20</v>
      </c>
      <c r="F250" s="7"/>
      <c r="G250" s="7"/>
      <c r="H250" s="7"/>
      <c r="I250" s="3" t="s">
        <v>1094</v>
      </c>
      <c r="J250" s="7"/>
      <c r="K250" s="7"/>
      <c r="L250" s="228" t="s">
        <v>30</v>
      </c>
      <c r="M250" s="3"/>
      <c r="N250" s="228" t="s">
        <v>1095</v>
      </c>
      <c r="O250" s="3" t="s">
        <v>24</v>
      </c>
      <c r="P250" s="186" t="s">
        <v>1096</v>
      </c>
      <c r="Q250" s="222" t="s">
        <v>1097</v>
      </c>
      <c r="R250" s="11"/>
      <c r="S250" s="11"/>
      <c r="T250" s="11"/>
    </row>
    <row r="251" spans="1:20" ht="36" customHeight="1" x14ac:dyDescent="0.2">
      <c r="A251" s="15">
        <v>248</v>
      </c>
      <c r="B251" s="15">
        <v>284</v>
      </c>
      <c r="C251" s="232" t="s">
        <v>1098</v>
      </c>
      <c r="D251" s="16" t="s">
        <v>1099</v>
      </c>
      <c r="E251" s="19" t="s">
        <v>28</v>
      </c>
      <c r="F251" s="15"/>
      <c r="G251" s="15"/>
      <c r="H251" s="15"/>
      <c r="I251" s="16" t="s">
        <v>652</v>
      </c>
      <c r="J251" s="15"/>
      <c r="K251" s="15"/>
      <c r="L251" s="233" t="s">
        <v>460</v>
      </c>
      <c r="M251" s="16"/>
      <c r="N251" s="233" t="s">
        <v>654</v>
      </c>
      <c r="O251" s="16" t="s">
        <v>24</v>
      </c>
      <c r="P251" s="219" t="s">
        <v>1100</v>
      </c>
      <c r="Q251" s="221" t="s">
        <v>1101</v>
      </c>
      <c r="R251" s="11"/>
      <c r="S251" s="11"/>
      <c r="T251" s="11"/>
    </row>
    <row r="252" spans="1:20" ht="36" customHeight="1" x14ac:dyDescent="0.2">
      <c r="A252" s="7">
        <v>249</v>
      </c>
      <c r="B252" s="7">
        <v>285</v>
      </c>
      <c r="C252" s="231" t="s">
        <v>1102</v>
      </c>
      <c r="D252" s="3" t="s">
        <v>518</v>
      </c>
      <c r="E252" s="18" t="s">
        <v>28</v>
      </c>
      <c r="F252" s="7"/>
      <c r="G252" s="7"/>
      <c r="H252" s="7"/>
      <c r="I252" s="3" t="s">
        <v>569</v>
      </c>
      <c r="J252" s="7"/>
      <c r="K252" s="7"/>
      <c r="L252" s="228" t="s">
        <v>1103</v>
      </c>
      <c r="M252" s="3"/>
      <c r="N252" s="228" t="s">
        <v>571</v>
      </c>
      <c r="O252" s="3" t="s">
        <v>503</v>
      </c>
      <c r="P252" s="186" t="s">
        <v>47</v>
      </c>
      <c r="Q252" s="222" t="s">
        <v>1104</v>
      </c>
      <c r="R252" s="11"/>
      <c r="S252" s="11"/>
      <c r="T252" s="11"/>
    </row>
    <row r="253" spans="1:20" ht="36" customHeight="1" x14ac:dyDescent="0.2">
      <c r="A253" s="15">
        <v>250</v>
      </c>
      <c r="B253" s="15">
        <v>286</v>
      </c>
      <c r="C253" s="232" t="s">
        <v>1105</v>
      </c>
      <c r="D253" s="16" t="s">
        <v>1106</v>
      </c>
      <c r="E253" s="22" t="s">
        <v>28</v>
      </c>
      <c r="F253" s="15"/>
      <c r="G253" s="15"/>
      <c r="H253" s="15"/>
      <c r="I253" s="16" t="s">
        <v>617</v>
      </c>
      <c r="J253" s="15"/>
      <c r="K253" s="15"/>
      <c r="L253" s="233" t="s">
        <v>1107</v>
      </c>
      <c r="M253" s="16"/>
      <c r="N253" s="233" t="s">
        <v>619</v>
      </c>
      <c r="O253" s="16" t="s">
        <v>81</v>
      </c>
      <c r="P253" s="219" t="s">
        <v>81</v>
      </c>
      <c r="Q253" s="221" t="s">
        <v>1108</v>
      </c>
      <c r="R253" s="11"/>
      <c r="S253" s="11"/>
      <c r="T253" s="11"/>
    </row>
    <row r="254" spans="1:20" ht="36" customHeight="1" x14ac:dyDescent="0.2">
      <c r="A254" s="7">
        <v>251</v>
      </c>
      <c r="B254" s="7">
        <v>287</v>
      </c>
      <c r="C254" s="231" t="s">
        <v>1109</v>
      </c>
      <c r="D254" s="3" t="s">
        <v>1110</v>
      </c>
      <c r="E254" s="18" t="s">
        <v>28</v>
      </c>
      <c r="F254" s="7"/>
      <c r="G254" s="7"/>
      <c r="H254" s="7"/>
      <c r="I254" s="3" t="s">
        <v>1111</v>
      </c>
      <c r="J254" s="7"/>
      <c r="K254" s="7"/>
      <c r="L254" s="228" t="s">
        <v>301</v>
      </c>
      <c r="M254" s="3"/>
      <c r="N254" s="228" t="s">
        <v>1112</v>
      </c>
      <c r="O254" s="3" t="s">
        <v>24</v>
      </c>
      <c r="P254" s="186" t="s">
        <v>47</v>
      </c>
      <c r="Q254" s="222" t="s">
        <v>1113</v>
      </c>
      <c r="R254" s="11"/>
      <c r="S254" s="11"/>
      <c r="T254" s="11"/>
    </row>
    <row r="255" spans="1:20" ht="36" customHeight="1" x14ac:dyDescent="0.2">
      <c r="A255" s="15">
        <v>252</v>
      </c>
      <c r="B255" s="15">
        <v>289</v>
      </c>
      <c r="C255" s="232" t="s">
        <v>1114</v>
      </c>
      <c r="D255" s="16" t="s">
        <v>283</v>
      </c>
      <c r="E255" s="22" t="s">
        <v>28</v>
      </c>
      <c r="F255" s="15"/>
      <c r="G255" s="15"/>
      <c r="H255" s="15"/>
      <c r="I255" s="16" t="s">
        <v>652</v>
      </c>
      <c r="J255" s="15"/>
      <c r="K255" s="15"/>
      <c r="L255" s="233"/>
      <c r="M255" s="16"/>
      <c r="N255" s="233" t="s">
        <v>654</v>
      </c>
      <c r="O255" s="16" t="s">
        <v>81</v>
      </c>
      <c r="P255" s="219" t="s">
        <v>47</v>
      </c>
      <c r="Q255" s="221" t="s">
        <v>1115</v>
      </c>
      <c r="R255" s="11"/>
      <c r="S255" s="11"/>
      <c r="T255" s="11"/>
    </row>
    <row r="256" spans="1:20" ht="36" customHeight="1" x14ac:dyDescent="0.2">
      <c r="A256" s="7">
        <v>253</v>
      </c>
      <c r="B256" s="7">
        <v>290</v>
      </c>
      <c r="C256" s="231" t="s">
        <v>1116</v>
      </c>
      <c r="D256" s="3" t="s">
        <v>897</v>
      </c>
      <c r="E256" s="14" t="s">
        <v>20</v>
      </c>
      <c r="F256" s="7"/>
      <c r="G256" s="7"/>
      <c r="H256" s="7"/>
      <c r="I256" s="3" t="s">
        <v>704</v>
      </c>
      <c r="J256" s="7"/>
      <c r="K256" s="7"/>
      <c r="L256" s="228" t="s">
        <v>454</v>
      </c>
      <c r="M256" s="3"/>
      <c r="N256" s="228" t="s">
        <v>705</v>
      </c>
      <c r="O256" s="3" t="s">
        <v>24</v>
      </c>
      <c r="P256" s="186" t="s">
        <v>24</v>
      </c>
      <c r="Q256" s="222" t="s">
        <v>1117</v>
      </c>
      <c r="R256" s="11"/>
      <c r="S256" s="11"/>
      <c r="T256" s="11"/>
    </row>
    <row r="257" spans="1:20" ht="36" customHeight="1" x14ac:dyDescent="0.2">
      <c r="A257" s="15">
        <v>254</v>
      </c>
      <c r="B257" s="15">
        <v>291</v>
      </c>
      <c r="C257" s="232" t="s">
        <v>1118</v>
      </c>
      <c r="D257" s="16" t="s">
        <v>114</v>
      </c>
      <c r="E257" s="22" t="s">
        <v>28</v>
      </c>
      <c r="F257" s="15"/>
      <c r="G257" s="15"/>
      <c r="H257" s="15"/>
      <c r="I257" s="16" t="s">
        <v>300</v>
      </c>
      <c r="J257" s="15"/>
      <c r="K257" s="15"/>
      <c r="L257" s="233" t="s">
        <v>749</v>
      </c>
      <c r="M257" s="16"/>
      <c r="N257" s="233" t="s">
        <v>302</v>
      </c>
      <c r="O257" s="16" t="s">
        <v>303</v>
      </c>
      <c r="P257" s="219" t="s">
        <v>304</v>
      </c>
      <c r="Q257" s="221" t="s">
        <v>1119</v>
      </c>
      <c r="R257" s="11"/>
      <c r="S257" s="11"/>
      <c r="T257" s="11"/>
    </row>
    <row r="258" spans="1:20" ht="36" customHeight="1" x14ac:dyDescent="0.2">
      <c r="A258" s="7">
        <v>255</v>
      </c>
      <c r="B258" s="7">
        <v>295</v>
      </c>
      <c r="C258" s="231" t="s">
        <v>1120</v>
      </c>
      <c r="D258" s="3" t="s">
        <v>1121</v>
      </c>
      <c r="E258" s="18" t="s">
        <v>42</v>
      </c>
      <c r="F258" s="7"/>
      <c r="G258" s="7"/>
      <c r="H258" s="7"/>
      <c r="I258" s="3" t="s">
        <v>1122</v>
      </c>
      <c r="J258" s="7"/>
      <c r="K258" s="7"/>
      <c r="L258" s="228" t="s">
        <v>330</v>
      </c>
      <c r="M258" s="3"/>
      <c r="N258" s="228" t="s">
        <v>1123</v>
      </c>
      <c r="O258" s="3" t="s">
        <v>1124</v>
      </c>
      <c r="P258" s="186" t="s">
        <v>24</v>
      </c>
      <c r="Q258" s="222" t="s">
        <v>1125</v>
      </c>
      <c r="R258" s="11"/>
      <c r="S258" s="11"/>
      <c r="T258" s="11"/>
    </row>
    <row r="259" spans="1:20" ht="36" customHeight="1" x14ac:dyDescent="0.2">
      <c r="A259" s="15">
        <v>256</v>
      </c>
      <c r="B259" s="15">
        <v>297</v>
      </c>
      <c r="C259" s="232" t="s">
        <v>1126</v>
      </c>
      <c r="D259" s="16" t="s">
        <v>1127</v>
      </c>
      <c r="E259" s="19" t="s">
        <v>42</v>
      </c>
      <c r="F259" s="15"/>
      <c r="G259" s="15"/>
      <c r="H259" s="15"/>
      <c r="I259" s="16" t="s">
        <v>569</v>
      </c>
      <c r="J259" s="15"/>
      <c r="K259" s="15"/>
      <c r="L259" s="233" t="s">
        <v>330</v>
      </c>
      <c r="M259" s="16"/>
      <c r="N259" s="233" t="s">
        <v>571</v>
      </c>
      <c r="O259" s="16" t="s">
        <v>24</v>
      </c>
      <c r="P259" s="219" t="s">
        <v>24</v>
      </c>
      <c r="Q259" s="221" t="s">
        <v>1128</v>
      </c>
      <c r="R259" s="11"/>
      <c r="S259" s="11"/>
      <c r="T259" s="11"/>
    </row>
    <row r="260" spans="1:20" ht="36" customHeight="1" x14ac:dyDescent="0.2">
      <c r="A260" s="7">
        <v>257</v>
      </c>
      <c r="B260" s="7">
        <v>298</v>
      </c>
      <c r="C260" s="231" t="s">
        <v>1129</v>
      </c>
      <c r="D260" s="3" t="s">
        <v>500</v>
      </c>
      <c r="E260" s="18" t="s">
        <v>28</v>
      </c>
      <c r="F260" s="7"/>
      <c r="G260" s="7"/>
      <c r="H260" s="7"/>
      <c r="I260" s="3" t="s">
        <v>569</v>
      </c>
      <c r="J260" s="7"/>
      <c r="K260" s="7"/>
      <c r="L260" s="228"/>
      <c r="M260" s="3"/>
      <c r="N260" s="228" t="s">
        <v>571</v>
      </c>
      <c r="O260" s="3" t="s">
        <v>24</v>
      </c>
      <c r="P260" s="186" t="s">
        <v>503</v>
      </c>
      <c r="Q260" s="222" t="s">
        <v>1130</v>
      </c>
      <c r="R260" s="11"/>
      <c r="S260" s="11"/>
      <c r="T260" s="11"/>
    </row>
    <row r="261" spans="1:20" ht="36" customHeight="1" x14ac:dyDescent="0.2">
      <c r="A261" s="15">
        <v>258</v>
      </c>
      <c r="B261" s="15">
        <v>299</v>
      </c>
      <c r="C261" s="232" t="s">
        <v>1131</v>
      </c>
      <c r="D261" s="16" t="s">
        <v>19</v>
      </c>
      <c r="E261" s="23" t="s">
        <v>28</v>
      </c>
      <c r="F261" s="15"/>
      <c r="G261" s="15"/>
      <c r="H261" s="15"/>
      <c r="I261" s="16" t="s">
        <v>1132</v>
      </c>
      <c r="J261" s="15"/>
      <c r="K261" s="15"/>
      <c r="L261" s="233" t="s">
        <v>339</v>
      </c>
      <c r="M261" s="16"/>
      <c r="N261" s="233" t="s">
        <v>1133</v>
      </c>
      <c r="O261" s="16" t="s">
        <v>24</v>
      </c>
      <c r="P261" s="219" t="s">
        <v>47</v>
      </c>
      <c r="Q261" s="221" t="s">
        <v>1134</v>
      </c>
      <c r="R261" s="11"/>
      <c r="S261" s="11"/>
      <c r="T261" s="11"/>
    </row>
    <row r="262" spans="1:20" ht="36" customHeight="1" x14ac:dyDescent="0.2">
      <c r="A262" s="7">
        <v>259</v>
      </c>
      <c r="B262" s="7">
        <v>300</v>
      </c>
      <c r="C262" s="231" t="s">
        <v>1135</v>
      </c>
      <c r="D262" s="3" t="s">
        <v>1136</v>
      </c>
      <c r="E262" s="18" t="s">
        <v>28</v>
      </c>
      <c r="F262" s="7"/>
      <c r="G262" s="7"/>
      <c r="H262" s="7"/>
      <c r="I262" s="3" t="s">
        <v>1137</v>
      </c>
      <c r="J262" s="7"/>
      <c r="K262" s="7"/>
      <c r="L262" s="228" t="s">
        <v>1138</v>
      </c>
      <c r="M262" s="3"/>
      <c r="N262" s="228" t="s">
        <v>1139</v>
      </c>
      <c r="O262" s="3" t="s">
        <v>326</v>
      </c>
      <c r="P262" s="186" t="s">
        <v>24</v>
      </c>
      <c r="Q262" s="222" t="s">
        <v>1140</v>
      </c>
      <c r="R262" s="11"/>
      <c r="S262" s="11"/>
      <c r="T262" s="11"/>
    </row>
    <row r="263" spans="1:20" ht="36" customHeight="1" x14ac:dyDescent="0.2">
      <c r="A263" s="15">
        <v>260</v>
      </c>
      <c r="B263" s="15">
        <v>301</v>
      </c>
      <c r="C263" s="232" t="s">
        <v>1141</v>
      </c>
      <c r="D263" s="16" t="s">
        <v>1142</v>
      </c>
      <c r="E263" s="22" t="s">
        <v>42</v>
      </c>
      <c r="F263" s="15"/>
      <c r="G263" s="15"/>
      <c r="H263" s="15"/>
      <c r="I263" s="16" t="s">
        <v>1143</v>
      </c>
      <c r="J263" s="15"/>
      <c r="K263" s="15"/>
      <c r="L263" s="233" t="s">
        <v>589</v>
      </c>
      <c r="M263" s="16"/>
      <c r="N263" s="233" t="s">
        <v>1144</v>
      </c>
      <c r="O263" s="16" t="s">
        <v>303</v>
      </c>
      <c r="P263" s="219" t="s">
        <v>304</v>
      </c>
      <c r="Q263" s="221" t="s">
        <v>1145</v>
      </c>
      <c r="R263" s="11"/>
      <c r="S263" s="11"/>
      <c r="T263" s="11"/>
    </row>
    <row r="264" spans="1:20" ht="36" customHeight="1" x14ac:dyDescent="0.2">
      <c r="A264" s="7">
        <v>261</v>
      </c>
      <c r="B264" s="7">
        <v>303</v>
      </c>
      <c r="C264" s="231" t="s">
        <v>1146</v>
      </c>
      <c r="D264" s="3" t="s">
        <v>1009</v>
      </c>
      <c r="E264" s="20" t="s">
        <v>20</v>
      </c>
      <c r="F264" s="7"/>
      <c r="G264" s="7"/>
      <c r="H264" s="7"/>
      <c r="I264" s="3" t="s">
        <v>652</v>
      </c>
      <c r="J264" s="7"/>
      <c r="K264" s="7"/>
      <c r="L264" s="228" t="s">
        <v>589</v>
      </c>
      <c r="M264" s="3"/>
      <c r="N264" s="228" t="s">
        <v>654</v>
      </c>
      <c r="O264" s="3" t="s">
        <v>1147</v>
      </c>
      <c r="P264" s="186" t="s">
        <v>24</v>
      </c>
      <c r="Q264" s="222" t="s">
        <v>1148</v>
      </c>
      <c r="R264" s="11"/>
      <c r="S264" s="11"/>
      <c r="T264" s="11"/>
    </row>
    <row r="265" spans="1:20" ht="36" customHeight="1" x14ac:dyDescent="0.2">
      <c r="A265" s="15">
        <v>262</v>
      </c>
      <c r="B265" s="15">
        <v>304</v>
      </c>
      <c r="C265" s="232" t="s">
        <v>1149</v>
      </c>
      <c r="D265" s="16" t="s">
        <v>1150</v>
      </c>
      <c r="E265" s="22" t="s">
        <v>28</v>
      </c>
      <c r="F265" s="15"/>
      <c r="G265" s="15"/>
      <c r="H265" s="15"/>
      <c r="I265" s="16" t="s">
        <v>1151</v>
      </c>
      <c r="J265" s="15"/>
      <c r="K265" s="15"/>
      <c r="L265" s="233" t="s">
        <v>339</v>
      </c>
      <c r="M265" s="16"/>
      <c r="N265" s="233" t="s">
        <v>1152</v>
      </c>
      <c r="O265" s="16" t="s">
        <v>1153</v>
      </c>
      <c r="P265" s="219" t="s">
        <v>363</v>
      </c>
      <c r="Q265" s="221" t="s">
        <v>1154</v>
      </c>
      <c r="R265" s="11"/>
      <c r="S265" s="11"/>
      <c r="T265" s="11"/>
    </row>
    <row r="266" spans="1:20" ht="36" customHeight="1" x14ac:dyDescent="0.2">
      <c r="A266" s="7">
        <v>263</v>
      </c>
      <c r="B266" s="7">
        <v>305</v>
      </c>
      <c r="C266" s="231" t="s">
        <v>1155</v>
      </c>
      <c r="D266" s="3" t="s">
        <v>1050</v>
      </c>
      <c r="E266" s="18" t="s">
        <v>42</v>
      </c>
      <c r="F266" s="7"/>
      <c r="G266" s="7"/>
      <c r="H266" s="7"/>
      <c r="I266" s="3" t="s">
        <v>617</v>
      </c>
      <c r="J266" s="7"/>
      <c r="K266" s="7"/>
      <c r="L266" s="228" t="s">
        <v>779</v>
      </c>
      <c r="M266" s="3"/>
      <c r="N266" s="228" t="s">
        <v>619</v>
      </c>
      <c r="O266" s="3" t="s">
        <v>81</v>
      </c>
      <c r="P266" s="186" t="s">
        <v>81</v>
      </c>
      <c r="Q266" s="222" t="s">
        <v>1156</v>
      </c>
      <c r="R266" s="11"/>
      <c r="S266" s="11"/>
      <c r="T266" s="11"/>
    </row>
    <row r="267" spans="1:20" ht="36" customHeight="1" x14ac:dyDescent="0.2">
      <c r="A267" s="15">
        <v>264</v>
      </c>
      <c r="B267" s="15">
        <v>308</v>
      </c>
      <c r="C267" s="232" t="s">
        <v>1157</v>
      </c>
      <c r="D267" s="16" t="s">
        <v>1150</v>
      </c>
      <c r="E267" s="22" t="s">
        <v>28</v>
      </c>
      <c r="F267" s="15"/>
      <c r="G267" s="15"/>
      <c r="H267" s="15"/>
      <c r="I267" s="16" t="s">
        <v>1158</v>
      </c>
      <c r="J267" s="15"/>
      <c r="K267" s="15"/>
      <c r="L267" s="233" t="s">
        <v>1159</v>
      </c>
      <c r="M267" s="16"/>
      <c r="N267" s="233" t="s">
        <v>1160</v>
      </c>
      <c r="O267" s="16" t="s">
        <v>1161</v>
      </c>
      <c r="P267" s="219" t="s">
        <v>363</v>
      </c>
      <c r="Q267" s="221" t="s">
        <v>1162</v>
      </c>
      <c r="R267" s="11"/>
      <c r="S267" s="11"/>
      <c r="T267" s="11"/>
    </row>
    <row r="268" spans="1:20" ht="36" customHeight="1" x14ac:dyDescent="0.2">
      <c r="A268" s="7">
        <v>265</v>
      </c>
      <c r="B268" s="7">
        <v>309</v>
      </c>
      <c r="C268" s="231" t="s">
        <v>1163</v>
      </c>
      <c r="D268" s="3" t="s">
        <v>309</v>
      </c>
      <c r="E268" s="18" t="s">
        <v>28</v>
      </c>
      <c r="F268" s="7"/>
      <c r="G268" s="7"/>
      <c r="H268" s="7"/>
      <c r="I268" s="3" t="s">
        <v>507</v>
      </c>
      <c r="J268" s="7"/>
      <c r="K268" s="7"/>
      <c r="L268" s="228" t="s">
        <v>1164</v>
      </c>
      <c r="M268" s="3"/>
      <c r="N268" s="228" t="s">
        <v>508</v>
      </c>
      <c r="O268" s="3" t="s">
        <v>24</v>
      </c>
      <c r="P268" s="186" t="s">
        <v>47</v>
      </c>
      <c r="Q268" s="222" t="s">
        <v>1165</v>
      </c>
      <c r="R268" s="11"/>
      <c r="S268" s="11"/>
      <c r="T268" s="11"/>
    </row>
    <row r="269" spans="1:20" ht="36" customHeight="1" x14ac:dyDescent="0.2">
      <c r="A269" s="15">
        <v>266</v>
      </c>
      <c r="B269" s="15">
        <v>310</v>
      </c>
      <c r="C269" s="232" t="s">
        <v>1166</v>
      </c>
      <c r="D269" s="16" t="s">
        <v>1167</v>
      </c>
      <c r="E269" s="17" t="s">
        <v>28</v>
      </c>
      <c r="F269" s="15"/>
      <c r="G269" s="15"/>
      <c r="H269" s="15"/>
      <c r="I269" s="16" t="s">
        <v>569</v>
      </c>
      <c r="J269" s="15"/>
      <c r="K269" s="15"/>
      <c r="L269" s="233" t="s">
        <v>1168</v>
      </c>
      <c r="M269" s="16"/>
      <c r="N269" s="233" t="s">
        <v>571</v>
      </c>
      <c r="O269" s="16" t="s">
        <v>1169</v>
      </c>
      <c r="P269" s="219" t="s">
        <v>649</v>
      </c>
      <c r="Q269" s="221" t="s">
        <v>1170</v>
      </c>
      <c r="R269" s="11"/>
      <c r="S269" s="11"/>
      <c r="T269" s="11"/>
    </row>
    <row r="270" spans="1:20" ht="36" customHeight="1" x14ac:dyDescent="0.2">
      <c r="A270" s="7">
        <v>267</v>
      </c>
      <c r="B270" s="7">
        <v>311</v>
      </c>
      <c r="C270" s="231" t="s">
        <v>1171</v>
      </c>
      <c r="D270" s="3" t="s">
        <v>215</v>
      </c>
      <c r="E270" s="18" t="s">
        <v>28</v>
      </c>
      <c r="F270" s="7"/>
      <c r="G270" s="7"/>
      <c r="H270" s="7"/>
      <c r="I270" s="3" t="s">
        <v>704</v>
      </c>
      <c r="J270" s="7"/>
      <c r="K270" s="7"/>
      <c r="L270" s="228"/>
      <c r="M270" s="3"/>
      <c r="N270" s="228" t="s">
        <v>705</v>
      </c>
      <c r="O270" s="3" t="s">
        <v>81</v>
      </c>
      <c r="P270" s="186" t="s">
        <v>81</v>
      </c>
      <c r="Q270" s="222" t="s">
        <v>1172</v>
      </c>
      <c r="R270" s="11"/>
      <c r="S270" s="11"/>
      <c r="T270" s="11"/>
    </row>
    <row r="271" spans="1:20" ht="36" customHeight="1" x14ac:dyDescent="0.2">
      <c r="A271" s="15">
        <v>268</v>
      </c>
      <c r="B271" s="15">
        <v>312</v>
      </c>
      <c r="C271" s="232" t="s">
        <v>1173</v>
      </c>
      <c r="D271" s="16" t="s">
        <v>309</v>
      </c>
      <c r="E271" s="19" t="s">
        <v>42</v>
      </c>
      <c r="F271" s="15"/>
      <c r="G271" s="15"/>
      <c r="H271" s="15"/>
      <c r="I271" s="16" t="s">
        <v>507</v>
      </c>
      <c r="J271" s="15"/>
      <c r="K271" s="15"/>
      <c r="L271" s="233" t="s">
        <v>1174</v>
      </c>
      <c r="M271" s="16"/>
      <c r="N271" s="233" t="s">
        <v>508</v>
      </c>
      <c r="O271" s="16" t="s">
        <v>1175</v>
      </c>
      <c r="P271" s="219" t="s">
        <v>341</v>
      </c>
      <c r="Q271" s="221" t="s">
        <v>1176</v>
      </c>
      <c r="R271" s="11"/>
      <c r="S271" s="11"/>
      <c r="T271" s="11"/>
    </row>
    <row r="272" spans="1:20" ht="36" customHeight="1" x14ac:dyDescent="0.2">
      <c r="A272" s="7">
        <v>269</v>
      </c>
      <c r="B272" s="7">
        <v>313</v>
      </c>
      <c r="C272" s="231" t="s">
        <v>1177</v>
      </c>
      <c r="D272" s="3" t="s">
        <v>1178</v>
      </c>
      <c r="E272" s="18" t="s">
        <v>28</v>
      </c>
      <c r="F272" s="7"/>
      <c r="G272" s="7"/>
      <c r="H272" s="7"/>
      <c r="I272" s="3" t="s">
        <v>1179</v>
      </c>
      <c r="J272" s="7"/>
      <c r="K272" s="7"/>
      <c r="L272" s="228" t="s">
        <v>339</v>
      </c>
      <c r="M272" s="3"/>
      <c r="N272" s="228" t="s">
        <v>1180</v>
      </c>
      <c r="O272" s="3" t="s">
        <v>1181</v>
      </c>
      <c r="P272" s="186" t="s">
        <v>1182</v>
      </c>
      <c r="Q272" s="222" t="s">
        <v>1183</v>
      </c>
      <c r="R272" s="11"/>
      <c r="S272" s="11"/>
      <c r="T272" s="11"/>
    </row>
    <row r="273" spans="1:20" ht="36" customHeight="1" x14ac:dyDescent="0.2">
      <c r="A273" s="15">
        <v>270</v>
      </c>
      <c r="B273" s="15">
        <v>314</v>
      </c>
      <c r="C273" s="232" t="s">
        <v>1184</v>
      </c>
      <c r="D273" s="16" t="s">
        <v>1185</v>
      </c>
      <c r="E273" s="23" t="s">
        <v>28</v>
      </c>
      <c r="F273" s="15"/>
      <c r="G273" s="15"/>
      <c r="H273" s="15"/>
      <c r="I273" s="16" t="s">
        <v>569</v>
      </c>
      <c r="J273" s="15"/>
      <c r="K273" s="15"/>
      <c r="L273" s="233" t="s">
        <v>1186</v>
      </c>
      <c r="M273" s="16"/>
      <c r="N273" s="233" t="s">
        <v>571</v>
      </c>
      <c r="O273" s="16" t="s">
        <v>326</v>
      </c>
      <c r="P273" s="219" t="s">
        <v>24</v>
      </c>
      <c r="Q273" s="221" t="s">
        <v>1187</v>
      </c>
      <c r="R273" s="11"/>
      <c r="S273" s="11"/>
      <c r="T273" s="11"/>
    </row>
    <row r="274" spans="1:20" ht="36" customHeight="1" x14ac:dyDescent="0.2">
      <c r="A274" s="7">
        <v>271</v>
      </c>
      <c r="B274" s="7">
        <v>315</v>
      </c>
      <c r="C274" s="231" t="s">
        <v>1188</v>
      </c>
      <c r="D274" s="3" t="s">
        <v>1189</v>
      </c>
      <c r="E274" s="21" t="s">
        <v>42</v>
      </c>
      <c r="F274" s="7"/>
      <c r="G274" s="7"/>
      <c r="H274" s="7"/>
      <c r="I274" s="3" t="s">
        <v>1190</v>
      </c>
      <c r="J274" s="7"/>
      <c r="K274" s="7"/>
      <c r="L274" s="228" t="s">
        <v>497</v>
      </c>
      <c r="M274" s="3"/>
      <c r="N274" s="228" t="s">
        <v>1191</v>
      </c>
      <c r="O274" s="3" t="s">
        <v>24</v>
      </c>
      <c r="P274" s="186" t="s">
        <v>24</v>
      </c>
      <c r="Q274" s="222" t="s">
        <v>1192</v>
      </c>
      <c r="R274" s="11"/>
      <c r="S274" s="11"/>
      <c r="T274" s="11"/>
    </row>
    <row r="275" spans="1:20" ht="36" customHeight="1" x14ac:dyDescent="0.2">
      <c r="A275" s="15">
        <v>272</v>
      </c>
      <c r="B275" s="15">
        <v>316</v>
      </c>
      <c r="C275" s="232" t="s">
        <v>1193</v>
      </c>
      <c r="D275" s="16" t="s">
        <v>133</v>
      </c>
      <c r="E275" s="17" t="s">
        <v>28</v>
      </c>
      <c r="F275" s="15"/>
      <c r="G275" s="15"/>
      <c r="H275" s="15"/>
      <c r="I275" s="16" t="s">
        <v>1194</v>
      </c>
      <c r="J275" s="15"/>
      <c r="K275" s="15"/>
      <c r="L275" s="233" t="s">
        <v>339</v>
      </c>
      <c r="M275" s="16"/>
      <c r="N275" s="233" t="s">
        <v>1195</v>
      </c>
      <c r="O275" s="16" t="s">
        <v>24</v>
      </c>
      <c r="P275" s="219" t="s">
        <v>24</v>
      </c>
      <c r="Q275" s="221" t="s">
        <v>1196</v>
      </c>
      <c r="R275" s="11"/>
      <c r="S275" s="11"/>
      <c r="T275" s="11"/>
    </row>
    <row r="276" spans="1:20" ht="36" customHeight="1" x14ac:dyDescent="0.2">
      <c r="A276" s="7">
        <v>273</v>
      </c>
      <c r="B276" s="7">
        <v>317</v>
      </c>
      <c r="C276" s="231" t="s">
        <v>1197</v>
      </c>
      <c r="D276" s="3" t="s">
        <v>1198</v>
      </c>
      <c r="E276" s="21" t="s">
        <v>42</v>
      </c>
      <c r="F276" s="7"/>
      <c r="G276" s="7"/>
      <c r="H276" s="7"/>
      <c r="I276" s="3" t="s">
        <v>617</v>
      </c>
      <c r="J276" s="7"/>
      <c r="K276" s="7"/>
      <c r="L276" s="228" t="s">
        <v>1199</v>
      </c>
      <c r="M276" s="3"/>
      <c r="N276" s="228" t="s">
        <v>619</v>
      </c>
      <c r="O276" s="3" t="s">
        <v>648</v>
      </c>
      <c r="P276" s="186" t="s">
        <v>648</v>
      </c>
      <c r="Q276" s="222" t="s">
        <v>1200</v>
      </c>
      <c r="R276" s="11"/>
      <c r="S276" s="11"/>
      <c r="T276" s="11"/>
    </row>
    <row r="277" spans="1:20" ht="36" customHeight="1" x14ac:dyDescent="0.2">
      <c r="A277" s="15">
        <v>274</v>
      </c>
      <c r="B277" s="15">
        <v>319</v>
      </c>
      <c r="C277" s="232" t="s">
        <v>1201</v>
      </c>
      <c r="D277" s="16" t="s">
        <v>62</v>
      </c>
      <c r="E277" s="19" t="s">
        <v>28</v>
      </c>
      <c r="F277" s="15"/>
      <c r="G277" s="15"/>
      <c r="H277" s="15"/>
      <c r="I277" s="16" t="s">
        <v>1202</v>
      </c>
      <c r="J277" s="15"/>
      <c r="K277" s="15"/>
      <c r="L277" s="233" t="s">
        <v>339</v>
      </c>
      <c r="M277" s="16"/>
      <c r="N277" s="233" t="s">
        <v>1203</v>
      </c>
      <c r="O277" s="16" t="s">
        <v>47</v>
      </c>
      <c r="P277" s="219" t="s">
        <v>47</v>
      </c>
      <c r="Q277" s="221" t="s">
        <v>1204</v>
      </c>
      <c r="R277" s="11"/>
      <c r="S277" s="11"/>
      <c r="T277" s="11"/>
    </row>
    <row r="278" spans="1:20" ht="36" customHeight="1" x14ac:dyDescent="0.2">
      <c r="A278" s="7">
        <v>275</v>
      </c>
      <c r="B278" s="7">
        <v>322</v>
      </c>
      <c r="C278" s="231" t="s">
        <v>1205</v>
      </c>
      <c r="D278" s="3" t="s">
        <v>1206</v>
      </c>
      <c r="E278" s="18" t="s">
        <v>28</v>
      </c>
      <c r="F278" s="7"/>
      <c r="G278" s="7"/>
      <c r="H278" s="7"/>
      <c r="I278" s="3" t="s">
        <v>1207</v>
      </c>
      <c r="J278" s="7"/>
      <c r="K278" s="7"/>
      <c r="L278" s="228" t="s">
        <v>22</v>
      </c>
      <c r="M278" s="3"/>
      <c r="N278" s="228" t="s">
        <v>1208</v>
      </c>
      <c r="O278" s="3" t="s">
        <v>1209</v>
      </c>
      <c r="P278" s="186" t="s">
        <v>1210</v>
      </c>
      <c r="Q278" s="222" t="s">
        <v>1211</v>
      </c>
      <c r="R278" s="11"/>
      <c r="S278" s="11"/>
      <c r="T278" s="11"/>
    </row>
    <row r="279" spans="1:20" ht="36" customHeight="1" x14ac:dyDescent="0.2">
      <c r="A279" s="15">
        <v>276</v>
      </c>
      <c r="B279" s="15">
        <v>323</v>
      </c>
      <c r="C279" s="232" t="s">
        <v>1212</v>
      </c>
      <c r="D279" s="16" t="s">
        <v>1213</v>
      </c>
      <c r="E279" s="17" t="s">
        <v>28</v>
      </c>
      <c r="F279" s="15"/>
      <c r="G279" s="15"/>
      <c r="H279" s="15"/>
      <c r="I279" s="16" t="s">
        <v>1214</v>
      </c>
      <c r="J279" s="15"/>
      <c r="K279" s="15"/>
      <c r="L279" s="233" t="s">
        <v>1051</v>
      </c>
      <c r="M279" s="16"/>
      <c r="N279" s="233" t="s">
        <v>1215</v>
      </c>
      <c r="O279" s="16" t="s">
        <v>1169</v>
      </c>
      <c r="P279" s="219" t="s">
        <v>649</v>
      </c>
      <c r="Q279" s="221" t="s">
        <v>1216</v>
      </c>
      <c r="R279" s="11"/>
      <c r="S279" s="11"/>
      <c r="T279" s="11"/>
    </row>
    <row r="280" spans="1:20" ht="36" customHeight="1" x14ac:dyDescent="0.2">
      <c r="A280" s="7">
        <v>277</v>
      </c>
      <c r="B280" s="7">
        <v>325</v>
      </c>
      <c r="C280" s="231" t="s">
        <v>1217</v>
      </c>
      <c r="D280" s="3" t="s">
        <v>19</v>
      </c>
      <c r="E280" s="20" t="s">
        <v>28</v>
      </c>
      <c r="F280" s="7"/>
      <c r="G280" s="7"/>
      <c r="H280" s="7"/>
      <c r="I280" s="3" t="s">
        <v>704</v>
      </c>
      <c r="J280" s="7"/>
      <c r="K280" s="7"/>
      <c r="L280" s="228"/>
      <c r="M280" s="3"/>
      <c r="N280" s="228" t="s">
        <v>705</v>
      </c>
      <c r="O280" s="3" t="s">
        <v>24</v>
      </c>
      <c r="P280" s="186" t="s">
        <v>24</v>
      </c>
      <c r="Q280" s="222" t="s">
        <v>1218</v>
      </c>
      <c r="R280" s="11"/>
      <c r="S280" s="11"/>
      <c r="T280" s="11"/>
    </row>
    <row r="281" spans="1:20" ht="36" customHeight="1" x14ac:dyDescent="0.2">
      <c r="A281" s="15">
        <v>278</v>
      </c>
      <c r="B281" s="15">
        <v>326</v>
      </c>
      <c r="C281" s="232" t="s">
        <v>1219</v>
      </c>
      <c r="D281" s="16" t="s">
        <v>62</v>
      </c>
      <c r="E281" s="19" t="s">
        <v>20</v>
      </c>
      <c r="F281" s="15"/>
      <c r="G281" s="15"/>
      <c r="H281" s="15"/>
      <c r="I281" s="16" t="s">
        <v>62</v>
      </c>
      <c r="J281" s="15"/>
      <c r="K281" s="15"/>
      <c r="L281" s="233" t="s">
        <v>339</v>
      </c>
      <c r="M281" s="16"/>
      <c r="N281" s="233" t="s">
        <v>1220</v>
      </c>
      <c r="O281" s="16" t="s">
        <v>65</v>
      </c>
      <c r="P281" s="219" t="s">
        <v>47</v>
      </c>
      <c r="Q281" s="221" t="s">
        <v>1221</v>
      </c>
      <c r="R281" s="11"/>
      <c r="S281" s="11"/>
      <c r="T281" s="11"/>
    </row>
    <row r="282" spans="1:20" ht="36" customHeight="1" x14ac:dyDescent="0.2">
      <c r="A282" s="7">
        <v>279</v>
      </c>
      <c r="B282" s="7">
        <v>327</v>
      </c>
      <c r="C282" s="231" t="s">
        <v>1222</v>
      </c>
      <c r="D282" s="3" t="s">
        <v>41</v>
      </c>
      <c r="E282" s="21" t="s">
        <v>42</v>
      </c>
      <c r="F282" s="7"/>
      <c r="G282" s="7"/>
      <c r="H282" s="7"/>
      <c r="I282" s="3" t="s">
        <v>512</v>
      </c>
      <c r="J282" s="7"/>
      <c r="K282" s="7"/>
      <c r="L282" s="228" t="s">
        <v>339</v>
      </c>
      <c r="M282" s="3"/>
      <c r="N282" s="228" t="s">
        <v>513</v>
      </c>
      <c r="O282" s="3" t="s">
        <v>65</v>
      </c>
      <c r="P282" s="186" t="s">
        <v>47</v>
      </c>
      <c r="Q282" s="222" t="s">
        <v>1223</v>
      </c>
      <c r="R282" s="11"/>
      <c r="S282" s="11"/>
      <c r="T282" s="11"/>
    </row>
    <row r="283" spans="1:20" ht="36" customHeight="1" x14ac:dyDescent="0.2">
      <c r="A283" s="15">
        <v>280</v>
      </c>
      <c r="B283" s="15">
        <v>328</v>
      </c>
      <c r="C283" s="232" t="s">
        <v>1224</v>
      </c>
      <c r="D283" s="16" t="s">
        <v>127</v>
      </c>
      <c r="E283" s="19" t="s">
        <v>28</v>
      </c>
      <c r="F283" s="15"/>
      <c r="G283" s="15"/>
      <c r="H283" s="15"/>
      <c r="I283" s="16" t="s">
        <v>459</v>
      </c>
      <c r="J283" s="15"/>
      <c r="K283" s="15"/>
      <c r="L283" s="233" t="s">
        <v>541</v>
      </c>
      <c r="M283" s="16"/>
      <c r="N283" s="233" t="s">
        <v>461</v>
      </c>
      <c r="O283" s="16" t="s">
        <v>24</v>
      </c>
      <c r="P283" s="219" t="s">
        <v>47</v>
      </c>
      <c r="Q283" s="221" t="s">
        <v>1225</v>
      </c>
      <c r="R283" s="11"/>
      <c r="S283" s="11"/>
      <c r="T283" s="11"/>
    </row>
    <row r="284" spans="1:20" ht="36" customHeight="1" x14ac:dyDescent="0.2">
      <c r="A284" s="7">
        <v>281</v>
      </c>
      <c r="B284" s="7">
        <v>329</v>
      </c>
      <c r="C284" s="231" t="s">
        <v>1226</v>
      </c>
      <c r="D284" s="3" t="s">
        <v>1227</v>
      </c>
      <c r="E284" s="18" t="s">
        <v>42</v>
      </c>
      <c r="F284" s="7"/>
      <c r="G284" s="7"/>
      <c r="H284" s="7"/>
      <c r="I284" s="3" t="s">
        <v>507</v>
      </c>
      <c r="J284" s="7"/>
      <c r="K284" s="7"/>
      <c r="L284" s="228" t="s">
        <v>44</v>
      </c>
      <c r="M284" s="3"/>
      <c r="N284" s="228" t="s">
        <v>508</v>
      </c>
      <c r="O284" s="3" t="s">
        <v>81</v>
      </c>
      <c r="P284" s="186" t="s">
        <v>81</v>
      </c>
      <c r="Q284" s="222" t="s">
        <v>1228</v>
      </c>
      <c r="R284" s="11"/>
      <c r="S284" s="11"/>
      <c r="T284" s="11"/>
    </row>
    <row r="285" spans="1:20" ht="36" customHeight="1" x14ac:dyDescent="0.2">
      <c r="A285" s="15">
        <v>282</v>
      </c>
      <c r="B285" s="15">
        <v>330</v>
      </c>
      <c r="C285" s="232" t="s">
        <v>1229</v>
      </c>
      <c r="D285" s="16" t="s">
        <v>318</v>
      </c>
      <c r="E285" s="19" t="s">
        <v>42</v>
      </c>
      <c r="F285" s="15"/>
      <c r="G285" s="15"/>
      <c r="H285" s="15"/>
      <c r="I285" s="16" t="s">
        <v>652</v>
      </c>
      <c r="J285" s="15"/>
      <c r="K285" s="15"/>
      <c r="L285" s="233" t="s">
        <v>779</v>
      </c>
      <c r="M285" s="16"/>
      <c r="N285" s="233" t="s">
        <v>654</v>
      </c>
      <c r="O285" s="16" t="s">
        <v>24</v>
      </c>
      <c r="P285" s="219" t="s">
        <v>1100</v>
      </c>
      <c r="Q285" s="221" t="s">
        <v>1230</v>
      </c>
      <c r="R285" s="11"/>
      <c r="S285" s="11"/>
      <c r="T285" s="11"/>
    </row>
    <row r="286" spans="1:20" ht="36" customHeight="1" x14ac:dyDescent="0.2">
      <c r="A286" s="7">
        <v>283</v>
      </c>
      <c r="B286" s="7">
        <v>332</v>
      </c>
      <c r="C286" s="231" t="s">
        <v>1231</v>
      </c>
      <c r="D286" s="3" t="s">
        <v>1232</v>
      </c>
      <c r="E286" s="18" t="s">
        <v>42</v>
      </c>
      <c r="F286" s="7"/>
      <c r="G286" s="7"/>
      <c r="H286" s="7"/>
      <c r="I286" s="3" t="s">
        <v>617</v>
      </c>
      <c r="J286" s="7"/>
      <c r="K286" s="7"/>
      <c r="L286" s="228" t="s">
        <v>1233</v>
      </c>
      <c r="M286" s="3"/>
      <c r="N286" s="228" t="s">
        <v>619</v>
      </c>
      <c r="O286" s="3" t="s">
        <v>648</v>
      </c>
      <c r="P286" s="186" t="s">
        <v>648</v>
      </c>
      <c r="Q286" s="222" t="s">
        <v>1234</v>
      </c>
      <c r="R286" s="11"/>
      <c r="S286" s="11"/>
      <c r="T286" s="11"/>
    </row>
    <row r="287" spans="1:20" ht="36" customHeight="1" x14ac:dyDescent="0.2">
      <c r="A287" s="15">
        <v>284</v>
      </c>
      <c r="B287" s="15">
        <v>334</v>
      </c>
      <c r="C287" s="232" t="s">
        <v>1235</v>
      </c>
      <c r="D287" s="16" t="s">
        <v>318</v>
      </c>
      <c r="E287" s="19" t="s">
        <v>28</v>
      </c>
      <c r="F287" s="15"/>
      <c r="G287" s="15"/>
      <c r="H287" s="15"/>
      <c r="I287" s="16" t="s">
        <v>652</v>
      </c>
      <c r="J287" s="15"/>
      <c r="K287" s="15"/>
      <c r="L287" s="233" t="s">
        <v>1236</v>
      </c>
      <c r="M287" s="16"/>
      <c r="N287" s="233" t="s">
        <v>654</v>
      </c>
      <c r="O287" s="16" t="s">
        <v>24</v>
      </c>
      <c r="P287" s="219" t="s">
        <v>1100</v>
      </c>
      <c r="Q287" s="221" t="s">
        <v>1237</v>
      </c>
      <c r="R287" s="11"/>
      <c r="S287" s="11"/>
      <c r="T287" s="11"/>
    </row>
    <row r="288" spans="1:20" ht="36" customHeight="1" x14ac:dyDescent="0.2">
      <c r="A288" s="7">
        <v>285</v>
      </c>
      <c r="B288" s="7">
        <v>336</v>
      </c>
      <c r="C288" s="231" t="s">
        <v>1238</v>
      </c>
      <c r="D288" s="3" t="s">
        <v>1239</v>
      </c>
      <c r="E288" s="18" t="s">
        <v>42</v>
      </c>
      <c r="F288" s="7"/>
      <c r="G288" s="7"/>
      <c r="H288" s="7"/>
      <c r="I288" s="3" t="s">
        <v>1240</v>
      </c>
      <c r="J288" s="7"/>
      <c r="K288" s="7"/>
      <c r="L288" s="228" t="s">
        <v>1103</v>
      </c>
      <c r="M288" s="3"/>
      <c r="N288" s="228" t="s">
        <v>1241</v>
      </c>
      <c r="O288" s="3" t="s">
        <v>1242</v>
      </c>
      <c r="P288" s="186" t="s">
        <v>1243</v>
      </c>
      <c r="Q288" s="222" t="s">
        <v>1244</v>
      </c>
      <c r="R288" s="11"/>
      <c r="S288" s="11"/>
      <c r="T288" s="11"/>
    </row>
    <row r="289" spans="1:20" ht="36" customHeight="1" x14ac:dyDescent="0.2">
      <c r="A289" s="15">
        <v>286</v>
      </c>
      <c r="B289" s="15">
        <v>337</v>
      </c>
      <c r="C289" s="232" t="s">
        <v>1245</v>
      </c>
      <c r="D289" s="16" t="s">
        <v>606</v>
      </c>
      <c r="E289" s="19" t="s">
        <v>28</v>
      </c>
      <c r="F289" s="15"/>
      <c r="G289" s="15"/>
      <c r="H289" s="15"/>
      <c r="I289" s="16" t="s">
        <v>507</v>
      </c>
      <c r="J289" s="15"/>
      <c r="K289" s="15"/>
      <c r="L289" s="233" t="s">
        <v>792</v>
      </c>
      <c r="M289" s="16"/>
      <c r="N289" s="233" t="s">
        <v>508</v>
      </c>
      <c r="O289" s="16" t="s">
        <v>24</v>
      </c>
      <c r="P289" s="219" t="s">
        <v>503</v>
      </c>
      <c r="Q289" s="221" t="s">
        <v>1246</v>
      </c>
      <c r="R289" s="11"/>
      <c r="S289" s="11"/>
      <c r="T289" s="11"/>
    </row>
    <row r="290" spans="1:20" ht="36" customHeight="1" x14ac:dyDescent="0.2">
      <c r="A290" s="7">
        <v>287</v>
      </c>
      <c r="B290" s="7">
        <v>338</v>
      </c>
      <c r="C290" s="231" t="s">
        <v>1247</v>
      </c>
      <c r="D290" s="3" t="s">
        <v>1248</v>
      </c>
      <c r="E290" s="18" t="s">
        <v>20</v>
      </c>
      <c r="F290" s="7"/>
      <c r="G290" s="7"/>
      <c r="H290" s="7"/>
      <c r="I290" s="3" t="s">
        <v>229</v>
      </c>
      <c r="J290" s="7"/>
      <c r="K290" s="7"/>
      <c r="L290" s="228" t="s">
        <v>856</v>
      </c>
      <c r="M290" s="3"/>
      <c r="N290" s="228" t="s">
        <v>230</v>
      </c>
      <c r="O290" s="3" t="s">
        <v>24</v>
      </c>
      <c r="P290" s="186" t="s">
        <v>24</v>
      </c>
      <c r="Q290" s="222" t="s">
        <v>1249</v>
      </c>
      <c r="R290" s="11"/>
      <c r="S290" s="11"/>
      <c r="T290" s="11"/>
    </row>
    <row r="291" spans="1:20" ht="36" customHeight="1" x14ac:dyDescent="0.2">
      <c r="A291" s="15">
        <v>288</v>
      </c>
      <c r="B291" s="15">
        <v>339</v>
      </c>
      <c r="C291" s="232" t="s">
        <v>1250</v>
      </c>
      <c r="D291" s="16" t="s">
        <v>1251</v>
      </c>
      <c r="E291" s="17" t="s">
        <v>28</v>
      </c>
      <c r="F291" s="15"/>
      <c r="G291" s="15"/>
      <c r="H291" s="15"/>
      <c r="I291" s="16" t="s">
        <v>569</v>
      </c>
      <c r="J291" s="15"/>
      <c r="K291" s="15"/>
      <c r="L291" s="233" t="s">
        <v>1186</v>
      </c>
      <c r="M291" s="16"/>
      <c r="N291" s="233" t="s">
        <v>571</v>
      </c>
      <c r="O291" s="16" t="s">
        <v>24</v>
      </c>
      <c r="P291" s="219" t="s">
        <v>24</v>
      </c>
      <c r="Q291" s="221" t="s">
        <v>1252</v>
      </c>
      <c r="R291" s="11"/>
      <c r="S291" s="11"/>
      <c r="T291" s="11"/>
    </row>
    <row r="292" spans="1:20" ht="36" customHeight="1" x14ac:dyDescent="0.2">
      <c r="A292" s="7">
        <v>289</v>
      </c>
      <c r="B292" s="7">
        <v>340</v>
      </c>
      <c r="C292" s="231" t="s">
        <v>1253</v>
      </c>
      <c r="D292" s="3" t="s">
        <v>35</v>
      </c>
      <c r="E292" s="18" t="s">
        <v>28</v>
      </c>
      <c r="F292" s="7"/>
      <c r="G292" s="7"/>
      <c r="H292" s="7"/>
      <c r="I292" s="3" t="s">
        <v>917</v>
      </c>
      <c r="J292" s="7"/>
      <c r="K292" s="7"/>
      <c r="L292" s="228" t="s">
        <v>460</v>
      </c>
      <c r="M292" s="3"/>
      <c r="N292" s="228" t="s">
        <v>919</v>
      </c>
      <c r="O292" s="3" t="s">
        <v>24</v>
      </c>
      <c r="P292" s="186" t="s">
        <v>153</v>
      </c>
      <c r="Q292" s="222" t="s">
        <v>1254</v>
      </c>
      <c r="R292" s="11"/>
      <c r="S292" s="11"/>
      <c r="T292" s="11"/>
    </row>
    <row r="293" spans="1:20" ht="36" customHeight="1" x14ac:dyDescent="0.2">
      <c r="A293" s="15">
        <v>290</v>
      </c>
      <c r="B293" s="15">
        <v>341</v>
      </c>
      <c r="C293" s="232" t="s">
        <v>1255</v>
      </c>
      <c r="D293" s="16" t="s">
        <v>729</v>
      </c>
      <c r="E293" s="17" t="s">
        <v>28</v>
      </c>
      <c r="F293" s="15"/>
      <c r="G293" s="15"/>
      <c r="H293" s="15"/>
      <c r="I293" s="16" t="s">
        <v>540</v>
      </c>
      <c r="J293" s="15"/>
      <c r="K293" s="15"/>
      <c r="L293" s="233" t="s">
        <v>188</v>
      </c>
      <c r="M293" s="16"/>
      <c r="N293" s="233" t="s">
        <v>542</v>
      </c>
      <c r="O293" s="16" t="s">
        <v>24</v>
      </c>
      <c r="P293" s="219" t="s">
        <v>47</v>
      </c>
      <c r="Q293" s="221" t="s">
        <v>1256</v>
      </c>
      <c r="R293" s="11"/>
      <c r="S293" s="11"/>
      <c r="T293" s="11"/>
    </row>
    <row r="294" spans="1:20" ht="36" customHeight="1" x14ac:dyDescent="0.2">
      <c r="A294" s="7">
        <v>291</v>
      </c>
      <c r="B294" s="7">
        <v>343</v>
      </c>
      <c r="C294" s="231" t="s">
        <v>1257</v>
      </c>
      <c r="D294" s="3" t="s">
        <v>1258</v>
      </c>
      <c r="E294" s="21" t="s">
        <v>28</v>
      </c>
      <c r="F294" s="7"/>
      <c r="G294" s="7"/>
      <c r="H294" s="7"/>
      <c r="I294" s="3" t="s">
        <v>1259</v>
      </c>
      <c r="J294" s="7"/>
      <c r="K294" s="7"/>
      <c r="L294" s="228"/>
      <c r="M294" s="3"/>
      <c r="N294" s="228" t="s">
        <v>1260</v>
      </c>
      <c r="O294" s="3" t="s">
        <v>24</v>
      </c>
      <c r="P294" s="186" t="s">
        <v>24</v>
      </c>
      <c r="Q294" s="222" t="s">
        <v>1261</v>
      </c>
      <c r="R294" s="11"/>
      <c r="S294" s="11"/>
      <c r="T294" s="11"/>
    </row>
    <row r="295" spans="1:20" ht="36" customHeight="1" x14ac:dyDescent="0.2">
      <c r="A295" s="15">
        <v>292</v>
      </c>
      <c r="B295" s="15">
        <v>344</v>
      </c>
      <c r="C295" s="232" t="s">
        <v>1262</v>
      </c>
      <c r="D295" s="16" t="s">
        <v>611</v>
      </c>
      <c r="E295" s="17" t="s">
        <v>20</v>
      </c>
      <c r="F295" s="15"/>
      <c r="G295" s="15"/>
      <c r="H295" s="15"/>
      <c r="I295" s="16" t="s">
        <v>689</v>
      </c>
      <c r="J295" s="15"/>
      <c r="K295" s="15"/>
      <c r="L295" s="233" t="s">
        <v>122</v>
      </c>
      <c r="M295" s="16"/>
      <c r="N295" s="233" t="s">
        <v>690</v>
      </c>
      <c r="O295" s="16" t="s">
        <v>24</v>
      </c>
      <c r="P295" s="219" t="s">
        <v>1096</v>
      </c>
      <c r="Q295" s="221" t="s">
        <v>1263</v>
      </c>
      <c r="R295" s="11"/>
      <c r="S295" s="11"/>
      <c r="T295" s="11"/>
    </row>
    <row r="296" spans="1:20" ht="36" customHeight="1" x14ac:dyDescent="0.2">
      <c r="A296" s="7">
        <v>293</v>
      </c>
      <c r="B296" s="7">
        <v>345</v>
      </c>
      <c r="C296" s="231" t="s">
        <v>1264</v>
      </c>
      <c r="D296" s="3" t="s">
        <v>611</v>
      </c>
      <c r="E296" s="18" t="s">
        <v>20</v>
      </c>
      <c r="F296" s="7"/>
      <c r="G296" s="7"/>
      <c r="H296" s="7"/>
      <c r="I296" s="3" t="s">
        <v>689</v>
      </c>
      <c r="J296" s="7"/>
      <c r="K296" s="7"/>
      <c r="L296" s="228" t="s">
        <v>58</v>
      </c>
      <c r="M296" s="3"/>
      <c r="N296" s="228" t="s">
        <v>690</v>
      </c>
      <c r="O296" s="3" t="s">
        <v>24</v>
      </c>
      <c r="P296" s="186" t="s">
        <v>1096</v>
      </c>
      <c r="Q296" s="222" t="s">
        <v>1265</v>
      </c>
      <c r="R296" s="11"/>
      <c r="S296" s="11"/>
      <c r="T296" s="11"/>
    </row>
    <row r="297" spans="1:20" ht="36" customHeight="1" x14ac:dyDescent="0.2">
      <c r="A297" s="15">
        <v>294</v>
      </c>
      <c r="B297" s="15">
        <v>346</v>
      </c>
      <c r="C297" s="232" t="s">
        <v>1266</v>
      </c>
      <c r="D297" s="16" t="s">
        <v>1267</v>
      </c>
      <c r="E297" s="23" t="s">
        <v>20</v>
      </c>
      <c r="F297" s="15"/>
      <c r="G297" s="15"/>
      <c r="H297" s="15"/>
      <c r="I297" s="16" t="s">
        <v>652</v>
      </c>
      <c r="J297" s="15"/>
      <c r="K297" s="15"/>
      <c r="L297" s="233" t="s">
        <v>1186</v>
      </c>
      <c r="M297" s="16"/>
      <c r="N297" s="233" t="s">
        <v>654</v>
      </c>
      <c r="O297" s="16" t="s">
        <v>47</v>
      </c>
      <c r="P297" s="219" t="s">
        <v>153</v>
      </c>
      <c r="Q297" s="221" t="s">
        <v>1268</v>
      </c>
      <c r="R297" s="11"/>
      <c r="S297" s="11"/>
      <c r="T297" s="11"/>
    </row>
    <row r="298" spans="1:20" ht="36" customHeight="1" x14ac:dyDescent="0.2">
      <c r="A298" s="7">
        <v>295</v>
      </c>
      <c r="B298" s="7">
        <v>347</v>
      </c>
      <c r="C298" s="231" t="s">
        <v>1269</v>
      </c>
      <c r="D298" s="3" t="s">
        <v>1270</v>
      </c>
      <c r="E298" s="18" t="s">
        <v>28</v>
      </c>
      <c r="F298" s="7"/>
      <c r="G298" s="7"/>
      <c r="H298" s="7"/>
      <c r="I298" s="3" t="s">
        <v>1271</v>
      </c>
      <c r="J298" s="7"/>
      <c r="K298" s="7"/>
      <c r="L298" s="228" t="s">
        <v>1272</v>
      </c>
      <c r="M298" s="3"/>
      <c r="N298" s="228" t="s">
        <v>1273</v>
      </c>
      <c r="O298" s="3" t="s">
        <v>24</v>
      </c>
      <c r="P298" s="186" t="s">
        <v>24</v>
      </c>
      <c r="Q298" s="222" t="s">
        <v>1274</v>
      </c>
      <c r="R298" s="11"/>
      <c r="S298" s="11"/>
      <c r="T298" s="11"/>
    </row>
    <row r="299" spans="1:20" ht="36" customHeight="1" x14ac:dyDescent="0.2">
      <c r="A299" s="15">
        <v>296</v>
      </c>
      <c r="B299" s="15">
        <v>348</v>
      </c>
      <c r="C299" s="232" t="s">
        <v>1275</v>
      </c>
      <c r="D299" s="16" t="s">
        <v>1099</v>
      </c>
      <c r="E299" s="19" t="s">
        <v>28</v>
      </c>
      <c r="F299" s="15"/>
      <c r="G299" s="15"/>
      <c r="H299" s="15"/>
      <c r="I299" s="16" t="s">
        <v>652</v>
      </c>
      <c r="J299" s="15"/>
      <c r="K299" s="15"/>
      <c r="L299" s="233" t="s">
        <v>1276</v>
      </c>
      <c r="M299" s="16"/>
      <c r="N299" s="233" t="s">
        <v>654</v>
      </c>
      <c r="O299" s="16" t="s">
        <v>1277</v>
      </c>
      <c r="P299" s="219" t="s">
        <v>24</v>
      </c>
      <c r="Q299" s="221" t="s">
        <v>1278</v>
      </c>
      <c r="R299" s="11"/>
      <c r="S299" s="11"/>
      <c r="T299" s="11"/>
    </row>
    <row r="300" spans="1:20" ht="36" customHeight="1" x14ac:dyDescent="0.2">
      <c r="A300" s="7">
        <v>297</v>
      </c>
      <c r="B300" s="7">
        <v>349</v>
      </c>
      <c r="C300" s="231" t="s">
        <v>1279</v>
      </c>
      <c r="D300" s="3" t="s">
        <v>19</v>
      </c>
      <c r="E300" s="18" t="s">
        <v>20</v>
      </c>
      <c r="F300" s="7"/>
      <c r="G300" s="7"/>
      <c r="H300" s="7"/>
      <c r="I300" s="3" t="s">
        <v>704</v>
      </c>
      <c r="J300" s="7"/>
      <c r="K300" s="7"/>
      <c r="L300" s="228" t="s">
        <v>122</v>
      </c>
      <c r="M300" s="3"/>
      <c r="N300" s="228" t="s">
        <v>705</v>
      </c>
      <c r="O300" s="3" t="s">
        <v>259</v>
      </c>
      <c r="P300" s="186" t="s">
        <v>1280</v>
      </c>
      <c r="Q300" s="222" t="s">
        <v>1281</v>
      </c>
      <c r="R300" s="11"/>
      <c r="S300" s="11"/>
      <c r="T300" s="11"/>
    </row>
    <row r="301" spans="1:20" ht="36" customHeight="1" x14ac:dyDescent="0.2">
      <c r="A301" s="15">
        <v>298</v>
      </c>
      <c r="B301" s="15">
        <v>350</v>
      </c>
      <c r="C301" s="232" t="s">
        <v>1282</v>
      </c>
      <c r="D301" s="16" t="s">
        <v>19</v>
      </c>
      <c r="E301" s="22" t="s">
        <v>20</v>
      </c>
      <c r="F301" s="15"/>
      <c r="G301" s="15"/>
      <c r="H301" s="15"/>
      <c r="I301" s="16" t="s">
        <v>1283</v>
      </c>
      <c r="J301" s="15"/>
      <c r="K301" s="15"/>
      <c r="L301" s="233" t="s">
        <v>339</v>
      </c>
      <c r="M301" s="16"/>
      <c r="N301" s="233" t="s">
        <v>1284</v>
      </c>
      <c r="O301" s="16" t="s">
        <v>1285</v>
      </c>
      <c r="P301" s="219" t="s">
        <v>1286</v>
      </c>
      <c r="Q301" s="221" t="s">
        <v>1287</v>
      </c>
      <c r="R301" s="11"/>
      <c r="S301" s="11"/>
      <c r="T301" s="11"/>
    </row>
    <row r="302" spans="1:20" ht="36" customHeight="1" x14ac:dyDescent="0.2">
      <c r="A302" s="7">
        <v>299</v>
      </c>
      <c r="B302" s="7">
        <v>354</v>
      </c>
      <c r="C302" s="231" t="s">
        <v>1288</v>
      </c>
      <c r="D302" s="3" t="s">
        <v>1136</v>
      </c>
      <c r="E302" s="21" t="s">
        <v>42</v>
      </c>
      <c r="F302" s="7"/>
      <c r="G302" s="7"/>
      <c r="H302" s="7"/>
      <c r="I302" s="3" t="s">
        <v>512</v>
      </c>
      <c r="J302" s="7"/>
      <c r="K302" s="7"/>
      <c r="L302" s="228" t="s">
        <v>183</v>
      </c>
      <c r="M302" s="3"/>
      <c r="N302" s="228" t="s">
        <v>513</v>
      </c>
      <c r="O302" s="3" t="s">
        <v>65</v>
      </c>
      <c r="P302" s="186" t="s">
        <v>47</v>
      </c>
      <c r="Q302" s="222" t="s">
        <v>1289</v>
      </c>
      <c r="R302" s="11"/>
      <c r="S302" s="11"/>
      <c r="T302" s="11"/>
    </row>
    <row r="303" spans="1:20" ht="36" customHeight="1" x14ac:dyDescent="0.2">
      <c r="A303" s="15">
        <v>300</v>
      </c>
      <c r="B303" s="15">
        <v>355</v>
      </c>
      <c r="C303" s="232" t="s">
        <v>1290</v>
      </c>
      <c r="D303" s="16" t="s">
        <v>1291</v>
      </c>
      <c r="E303" s="17" t="s">
        <v>28</v>
      </c>
      <c r="F303" s="15"/>
      <c r="G303" s="15"/>
      <c r="H303" s="15"/>
      <c r="I303" s="16" t="s">
        <v>957</v>
      </c>
      <c r="J303" s="15"/>
      <c r="K303" s="15"/>
      <c r="L303" s="233" t="s">
        <v>1292</v>
      </c>
      <c r="M303" s="16"/>
      <c r="N303" s="233" t="s">
        <v>959</v>
      </c>
      <c r="O303" s="16" t="s">
        <v>960</v>
      </c>
      <c r="P303" s="219" t="s">
        <v>153</v>
      </c>
      <c r="Q303" s="221" t="s">
        <v>1293</v>
      </c>
      <c r="R303" s="11"/>
      <c r="S303" s="11"/>
      <c r="T303" s="11"/>
    </row>
    <row r="304" spans="1:20" ht="36" customHeight="1" x14ac:dyDescent="0.2">
      <c r="A304" s="7">
        <v>301</v>
      </c>
      <c r="B304" s="7">
        <v>359</v>
      </c>
      <c r="C304" s="231" t="s">
        <v>1294</v>
      </c>
      <c r="D304" s="3" t="s">
        <v>1295</v>
      </c>
      <c r="E304" s="20" t="s">
        <v>20</v>
      </c>
      <c r="F304" s="7"/>
      <c r="G304" s="7"/>
      <c r="H304" s="7"/>
      <c r="I304" s="3" t="s">
        <v>704</v>
      </c>
      <c r="J304" s="7"/>
      <c r="K304" s="7"/>
      <c r="L304" s="228" t="s">
        <v>618</v>
      </c>
      <c r="M304" s="3"/>
      <c r="N304" s="228" t="s">
        <v>705</v>
      </c>
      <c r="O304" s="3" t="s">
        <v>24</v>
      </c>
      <c r="P304" s="186" t="s">
        <v>24</v>
      </c>
      <c r="Q304" s="222" t="s">
        <v>1296</v>
      </c>
      <c r="R304" s="11"/>
      <c r="S304" s="11"/>
      <c r="T304" s="11"/>
    </row>
    <row r="305" spans="1:20" ht="36" customHeight="1" x14ac:dyDescent="0.2">
      <c r="A305" s="15">
        <v>302</v>
      </c>
      <c r="B305" s="15">
        <v>362</v>
      </c>
      <c r="C305" s="232" t="s">
        <v>1297</v>
      </c>
      <c r="D305" s="16" t="s">
        <v>1298</v>
      </c>
      <c r="E305" s="17" t="s">
        <v>28</v>
      </c>
      <c r="F305" s="15"/>
      <c r="G305" s="15"/>
      <c r="H305" s="15"/>
      <c r="I305" s="16" t="s">
        <v>1299</v>
      </c>
      <c r="J305" s="15"/>
      <c r="K305" s="15"/>
      <c r="L305" s="233" t="s">
        <v>1300</v>
      </c>
      <c r="M305" s="16"/>
      <c r="N305" s="233" t="s">
        <v>1301</v>
      </c>
      <c r="O305" s="16" t="s">
        <v>47</v>
      </c>
      <c r="P305" s="219" t="s">
        <v>1096</v>
      </c>
      <c r="Q305" s="221" t="s">
        <v>1302</v>
      </c>
      <c r="R305" s="11"/>
      <c r="S305" s="11"/>
      <c r="T305" s="11"/>
    </row>
    <row r="306" spans="1:20" ht="36" customHeight="1" x14ac:dyDescent="0.2">
      <c r="A306" s="7">
        <v>303</v>
      </c>
      <c r="B306" s="7">
        <v>363</v>
      </c>
      <c r="C306" s="231" t="s">
        <v>1303</v>
      </c>
      <c r="D306" s="3" t="s">
        <v>416</v>
      </c>
      <c r="E306" s="21" t="s">
        <v>42</v>
      </c>
      <c r="F306" s="7"/>
      <c r="G306" s="7"/>
      <c r="H306" s="7"/>
      <c r="I306" s="3" t="s">
        <v>1304</v>
      </c>
      <c r="J306" s="7"/>
      <c r="K306" s="7"/>
      <c r="L306" s="228" t="s">
        <v>339</v>
      </c>
      <c r="M306" s="3"/>
      <c r="N306" s="228" t="s">
        <v>1305</v>
      </c>
      <c r="O306" s="3" t="s">
        <v>1306</v>
      </c>
      <c r="P306" s="186" t="s">
        <v>1307</v>
      </c>
      <c r="Q306" s="222" t="s">
        <v>1308</v>
      </c>
      <c r="R306" s="11"/>
      <c r="S306" s="11"/>
      <c r="T306" s="11"/>
    </row>
    <row r="307" spans="1:20" ht="36" customHeight="1" x14ac:dyDescent="0.2">
      <c r="A307" s="15">
        <v>304</v>
      </c>
      <c r="B307" s="15">
        <v>365</v>
      </c>
      <c r="C307" s="232" t="s">
        <v>1309</v>
      </c>
      <c r="D307" s="16" t="s">
        <v>1310</v>
      </c>
      <c r="E307" s="19" t="s">
        <v>28</v>
      </c>
      <c r="F307" s="15"/>
      <c r="G307" s="15"/>
      <c r="H307" s="15"/>
      <c r="I307" s="16" t="s">
        <v>617</v>
      </c>
      <c r="J307" s="15"/>
      <c r="K307" s="15"/>
      <c r="L307" s="233" t="s">
        <v>460</v>
      </c>
      <c r="M307" s="16"/>
      <c r="N307" s="233" t="s">
        <v>619</v>
      </c>
      <c r="O307" s="16" t="s">
        <v>1311</v>
      </c>
      <c r="P307" s="219" t="s">
        <v>47</v>
      </c>
      <c r="Q307" s="221" t="s">
        <v>1312</v>
      </c>
      <c r="R307" s="11"/>
      <c r="S307" s="11"/>
      <c r="T307" s="11"/>
    </row>
    <row r="308" spans="1:20" ht="36" customHeight="1" x14ac:dyDescent="0.2">
      <c r="A308" s="7">
        <v>305</v>
      </c>
      <c r="B308" s="7">
        <v>368</v>
      </c>
      <c r="C308" s="231" t="s">
        <v>1313</v>
      </c>
      <c r="D308" s="3" t="s">
        <v>1314</v>
      </c>
      <c r="E308" s="18" t="s">
        <v>28</v>
      </c>
      <c r="F308" s="7"/>
      <c r="G308" s="7"/>
      <c r="H308" s="7"/>
      <c r="I308" s="3" t="s">
        <v>507</v>
      </c>
      <c r="J308" s="7"/>
      <c r="K308" s="7"/>
      <c r="L308" s="228" t="s">
        <v>1159</v>
      </c>
      <c r="M308" s="3"/>
      <c r="N308" s="228" t="s">
        <v>508</v>
      </c>
      <c r="O308" s="3" t="s">
        <v>24</v>
      </c>
      <c r="P308" s="186" t="s">
        <v>24</v>
      </c>
      <c r="Q308" s="222" t="s">
        <v>1315</v>
      </c>
      <c r="R308" s="11"/>
      <c r="S308" s="11"/>
      <c r="T308" s="11"/>
    </row>
    <row r="309" spans="1:20" ht="36" customHeight="1" x14ac:dyDescent="0.2">
      <c r="A309" s="15">
        <v>306</v>
      </c>
      <c r="B309" s="15">
        <v>371</v>
      </c>
      <c r="C309" s="232" t="s">
        <v>1316</v>
      </c>
      <c r="D309" s="16" t="s">
        <v>1317</v>
      </c>
      <c r="E309" s="19" t="s">
        <v>28</v>
      </c>
      <c r="F309" s="15"/>
      <c r="G309" s="15"/>
      <c r="H309" s="15"/>
      <c r="I309" s="16" t="s">
        <v>1318</v>
      </c>
      <c r="J309" s="15"/>
      <c r="K309" s="15"/>
      <c r="L309" s="233" t="s">
        <v>1319</v>
      </c>
      <c r="M309" s="16"/>
      <c r="N309" s="233" t="s">
        <v>1320</v>
      </c>
      <c r="O309" s="16" t="s">
        <v>47</v>
      </c>
      <c r="P309" s="219" t="s">
        <v>47</v>
      </c>
      <c r="Q309" s="221" t="s">
        <v>1321</v>
      </c>
      <c r="R309" s="11"/>
      <c r="S309" s="11"/>
      <c r="T309" s="11"/>
    </row>
    <row r="310" spans="1:20" ht="36" customHeight="1" x14ac:dyDescent="0.2">
      <c r="A310" s="7">
        <v>307</v>
      </c>
      <c r="B310" s="7">
        <v>373</v>
      </c>
      <c r="C310" s="231" t="s">
        <v>1322</v>
      </c>
      <c r="D310" s="3" t="s">
        <v>941</v>
      </c>
      <c r="E310" s="18" t="s">
        <v>28</v>
      </c>
      <c r="F310" s="7"/>
      <c r="G310" s="7"/>
      <c r="H310" s="7"/>
      <c r="I310" s="3" t="s">
        <v>957</v>
      </c>
      <c r="J310" s="7"/>
      <c r="K310" s="7"/>
      <c r="L310" s="228" t="s">
        <v>792</v>
      </c>
      <c r="M310" s="3"/>
      <c r="N310" s="228" t="s">
        <v>959</v>
      </c>
      <c r="O310" s="3" t="s">
        <v>960</v>
      </c>
      <c r="P310" s="186" t="s">
        <v>153</v>
      </c>
      <c r="Q310" s="222" t="s">
        <v>1323</v>
      </c>
      <c r="R310" s="11"/>
      <c r="S310" s="11"/>
      <c r="T310" s="11"/>
    </row>
    <row r="311" spans="1:20" ht="36" customHeight="1" x14ac:dyDescent="0.2">
      <c r="A311" s="15">
        <v>308</v>
      </c>
      <c r="B311" s="15">
        <v>377</v>
      </c>
      <c r="C311" s="232" t="s">
        <v>1324</v>
      </c>
      <c r="D311" s="16" t="s">
        <v>309</v>
      </c>
      <c r="E311" s="19" t="s">
        <v>28</v>
      </c>
      <c r="F311" s="15"/>
      <c r="G311" s="15"/>
      <c r="H311" s="15"/>
      <c r="I311" s="16" t="s">
        <v>507</v>
      </c>
      <c r="J311" s="15"/>
      <c r="K311" s="15"/>
      <c r="L311" s="233" t="s">
        <v>1325</v>
      </c>
      <c r="M311" s="16"/>
      <c r="N311" s="233" t="s">
        <v>508</v>
      </c>
      <c r="O311" s="16" t="s">
        <v>1326</v>
      </c>
      <c r="P311" s="219" t="s">
        <v>1327</v>
      </c>
      <c r="Q311" s="221" t="s">
        <v>1328</v>
      </c>
      <c r="R311" s="11"/>
      <c r="S311" s="11"/>
      <c r="T311" s="11"/>
    </row>
    <row r="312" spans="1:20" ht="36" customHeight="1" x14ac:dyDescent="0.2">
      <c r="A312" s="7">
        <v>309</v>
      </c>
      <c r="B312" s="7">
        <v>378</v>
      </c>
      <c r="C312" s="231" t="s">
        <v>1329</v>
      </c>
      <c r="D312" s="3" t="s">
        <v>1330</v>
      </c>
      <c r="E312" s="20" t="s">
        <v>28</v>
      </c>
      <c r="F312" s="7"/>
      <c r="G312" s="7"/>
      <c r="H312" s="7"/>
      <c r="I312" s="3" t="s">
        <v>512</v>
      </c>
      <c r="J312" s="7"/>
      <c r="K312" s="7"/>
      <c r="L312" s="228" t="s">
        <v>1331</v>
      </c>
      <c r="M312" s="3"/>
      <c r="N312" s="228" t="s">
        <v>513</v>
      </c>
      <c r="O312" s="3" t="s">
        <v>65</v>
      </c>
      <c r="P312" s="186" t="s">
        <v>47</v>
      </c>
      <c r="Q312" s="222" t="s">
        <v>1332</v>
      </c>
      <c r="R312" s="11"/>
      <c r="S312" s="11"/>
      <c r="T312" s="11"/>
    </row>
    <row r="313" spans="1:20" ht="36" customHeight="1" x14ac:dyDescent="0.2">
      <c r="A313" s="15">
        <v>310</v>
      </c>
      <c r="B313" s="15">
        <v>380</v>
      </c>
      <c r="C313" s="232" t="s">
        <v>1333</v>
      </c>
      <c r="D313" s="16" t="s">
        <v>1334</v>
      </c>
      <c r="E313" s="22" t="s">
        <v>28</v>
      </c>
      <c r="F313" s="15"/>
      <c r="G313" s="15"/>
      <c r="H313" s="15"/>
      <c r="I313" s="16" t="s">
        <v>704</v>
      </c>
      <c r="J313" s="15"/>
      <c r="K313" s="15"/>
      <c r="L313" s="233" t="s">
        <v>1335</v>
      </c>
      <c r="M313" s="16"/>
      <c r="N313" s="233" t="s">
        <v>705</v>
      </c>
      <c r="O313" s="16" t="s">
        <v>24</v>
      </c>
      <c r="P313" s="219" t="s">
        <v>24</v>
      </c>
      <c r="Q313" s="221" t="s">
        <v>1336</v>
      </c>
      <c r="R313" s="11"/>
      <c r="S313" s="11"/>
      <c r="T313" s="11"/>
    </row>
    <row r="314" spans="1:20" ht="36" customHeight="1" x14ac:dyDescent="0.2">
      <c r="A314" s="7">
        <v>311</v>
      </c>
      <c r="B314" s="7">
        <v>383</v>
      </c>
      <c r="C314" s="231" t="s">
        <v>1337</v>
      </c>
      <c r="D314" s="3" t="s">
        <v>897</v>
      </c>
      <c r="E314" s="18" t="s">
        <v>20</v>
      </c>
      <c r="F314" s="7"/>
      <c r="G314" s="7"/>
      <c r="H314" s="7"/>
      <c r="I314" s="3" t="s">
        <v>1338</v>
      </c>
      <c r="J314" s="7"/>
      <c r="K314" s="7"/>
      <c r="L314" s="228" t="s">
        <v>1339</v>
      </c>
      <c r="M314" s="3"/>
      <c r="N314" s="228" t="s">
        <v>1340</v>
      </c>
      <c r="O314" s="3" t="s">
        <v>259</v>
      </c>
      <c r="P314" s="186" t="s">
        <v>47</v>
      </c>
      <c r="Q314" s="222" t="s">
        <v>1341</v>
      </c>
      <c r="R314" s="11"/>
      <c r="S314" s="11"/>
      <c r="T314" s="11"/>
    </row>
    <row r="315" spans="1:20" ht="36" customHeight="1" x14ac:dyDescent="0.2">
      <c r="A315" s="15">
        <v>312</v>
      </c>
      <c r="B315" s="15">
        <v>384</v>
      </c>
      <c r="C315" s="232" t="s">
        <v>1342</v>
      </c>
      <c r="D315" s="16" t="s">
        <v>1334</v>
      </c>
      <c r="E315" s="19" t="s">
        <v>28</v>
      </c>
      <c r="F315" s="15"/>
      <c r="G315" s="15"/>
      <c r="H315" s="15"/>
      <c r="I315" s="16" t="s">
        <v>704</v>
      </c>
      <c r="J315" s="15"/>
      <c r="K315" s="15"/>
      <c r="L315" s="233" t="s">
        <v>779</v>
      </c>
      <c r="M315" s="16"/>
      <c r="N315" s="233" t="s">
        <v>705</v>
      </c>
      <c r="O315" s="16" t="s">
        <v>24</v>
      </c>
      <c r="P315" s="219" t="s">
        <v>24</v>
      </c>
      <c r="Q315" s="221" t="s">
        <v>1343</v>
      </c>
      <c r="R315" s="11"/>
      <c r="S315" s="11"/>
      <c r="T315" s="11"/>
    </row>
    <row r="316" spans="1:20" ht="36" customHeight="1" x14ac:dyDescent="0.2">
      <c r="A316" s="7">
        <v>313</v>
      </c>
      <c r="B316" s="7">
        <v>385</v>
      </c>
      <c r="C316" s="231" t="s">
        <v>1344</v>
      </c>
      <c r="D316" s="3" t="s">
        <v>133</v>
      </c>
      <c r="E316" s="18" t="s">
        <v>28</v>
      </c>
      <c r="F316" s="7"/>
      <c r="G316" s="7"/>
      <c r="H316" s="7"/>
      <c r="I316" s="3" t="s">
        <v>1345</v>
      </c>
      <c r="J316" s="7"/>
      <c r="K316" s="7"/>
      <c r="L316" s="228" t="s">
        <v>339</v>
      </c>
      <c r="M316" s="3"/>
      <c r="N316" s="228" t="s">
        <v>1346</v>
      </c>
      <c r="O316" s="3" t="s">
        <v>24</v>
      </c>
      <c r="P316" s="186" t="s">
        <v>24</v>
      </c>
      <c r="Q316" s="222" t="s">
        <v>1347</v>
      </c>
      <c r="R316" s="11"/>
      <c r="S316" s="11"/>
      <c r="T316" s="11"/>
    </row>
    <row r="317" spans="1:20" ht="36" customHeight="1" x14ac:dyDescent="0.2">
      <c r="A317" s="15">
        <v>314</v>
      </c>
      <c r="B317" s="15">
        <v>387</v>
      </c>
      <c r="C317" s="232" t="s">
        <v>1348</v>
      </c>
      <c r="D317" s="16" t="s">
        <v>897</v>
      </c>
      <c r="E317" s="23" t="s">
        <v>20</v>
      </c>
      <c r="F317" s="15"/>
      <c r="G317" s="15"/>
      <c r="H317" s="15"/>
      <c r="I317" s="16" t="s">
        <v>704</v>
      </c>
      <c r="J317" s="15"/>
      <c r="K317" s="15"/>
      <c r="L317" s="233" t="s">
        <v>918</v>
      </c>
      <c r="M317" s="16"/>
      <c r="N317" s="233" t="s">
        <v>705</v>
      </c>
      <c r="O317" s="16" t="s">
        <v>24</v>
      </c>
      <c r="P317" s="219" t="s">
        <v>47</v>
      </c>
      <c r="Q317" s="221" t="s">
        <v>1349</v>
      </c>
      <c r="R317" s="11"/>
      <c r="S317" s="11"/>
      <c r="T317" s="11"/>
    </row>
    <row r="318" spans="1:20" ht="36" customHeight="1" x14ac:dyDescent="0.2">
      <c r="A318" s="7">
        <v>315</v>
      </c>
      <c r="B318" s="7">
        <v>389</v>
      </c>
      <c r="C318" s="231" t="s">
        <v>1350</v>
      </c>
      <c r="D318" s="3" t="s">
        <v>381</v>
      </c>
      <c r="E318" s="18" t="s">
        <v>20</v>
      </c>
      <c r="F318" s="7"/>
      <c r="G318" s="7"/>
      <c r="H318" s="7"/>
      <c r="I318" s="3" t="s">
        <v>229</v>
      </c>
      <c r="J318" s="7"/>
      <c r="K318" s="7"/>
      <c r="L318" s="228" t="s">
        <v>183</v>
      </c>
      <c r="M318" s="3"/>
      <c r="N318" s="228" t="s">
        <v>230</v>
      </c>
      <c r="O318" s="3" t="s">
        <v>24</v>
      </c>
      <c r="P318" s="186" t="s">
        <v>24</v>
      </c>
      <c r="Q318" s="222" t="s">
        <v>1351</v>
      </c>
      <c r="R318" s="11"/>
      <c r="S318" s="11"/>
      <c r="T318" s="11"/>
    </row>
    <row r="319" spans="1:20" ht="36" customHeight="1" x14ac:dyDescent="0.2">
      <c r="A319" s="15">
        <v>316</v>
      </c>
      <c r="B319" s="15">
        <v>390</v>
      </c>
      <c r="C319" s="232" t="s">
        <v>1352</v>
      </c>
      <c r="D319" s="16" t="s">
        <v>62</v>
      </c>
      <c r="E319" s="19" t="s">
        <v>28</v>
      </c>
      <c r="F319" s="15"/>
      <c r="G319" s="15"/>
      <c r="H319" s="15"/>
      <c r="I319" s="16" t="s">
        <v>1353</v>
      </c>
      <c r="J319" s="15"/>
      <c r="K319" s="15"/>
      <c r="L319" s="233" t="s">
        <v>339</v>
      </c>
      <c r="M319" s="16"/>
      <c r="N319" s="233" t="s">
        <v>1354</v>
      </c>
      <c r="O319" s="16" t="s">
        <v>65</v>
      </c>
      <c r="P319" s="219" t="s">
        <v>47</v>
      </c>
      <c r="Q319" s="221" t="s">
        <v>1355</v>
      </c>
      <c r="R319" s="11"/>
      <c r="S319" s="11"/>
      <c r="T319" s="11"/>
    </row>
    <row r="320" spans="1:20" ht="36" customHeight="1" x14ac:dyDescent="0.2">
      <c r="A320" s="7">
        <v>317</v>
      </c>
      <c r="B320" s="7">
        <v>391</v>
      </c>
      <c r="C320" s="231" t="s">
        <v>1356</v>
      </c>
      <c r="D320" s="3" t="s">
        <v>376</v>
      </c>
      <c r="E320" s="18" t="s">
        <v>42</v>
      </c>
      <c r="F320" s="7"/>
      <c r="G320" s="7"/>
      <c r="H320" s="7"/>
      <c r="I320" s="3" t="s">
        <v>1357</v>
      </c>
      <c r="J320" s="7"/>
      <c r="K320" s="7"/>
      <c r="L320" s="228" t="s">
        <v>339</v>
      </c>
      <c r="M320" s="3"/>
      <c r="N320" s="228" t="s">
        <v>1358</v>
      </c>
      <c r="O320" s="3" t="s">
        <v>24</v>
      </c>
      <c r="P320" s="186" t="s">
        <v>24</v>
      </c>
      <c r="Q320" s="222" t="s">
        <v>1359</v>
      </c>
      <c r="R320" s="11"/>
      <c r="S320" s="11"/>
      <c r="T320" s="11"/>
    </row>
    <row r="321" spans="1:20" ht="36" customHeight="1" x14ac:dyDescent="0.2">
      <c r="A321" s="15">
        <v>318</v>
      </c>
      <c r="B321" s="15">
        <v>392</v>
      </c>
      <c r="C321" s="232" t="s">
        <v>1360</v>
      </c>
      <c r="D321" s="16" t="s">
        <v>1361</v>
      </c>
      <c r="E321" s="17" t="s">
        <v>20</v>
      </c>
      <c r="F321" s="15"/>
      <c r="G321" s="15"/>
      <c r="H321" s="15"/>
      <c r="I321" s="16" t="s">
        <v>1362</v>
      </c>
      <c r="J321" s="15"/>
      <c r="K321" s="15"/>
      <c r="L321" s="233" t="s">
        <v>183</v>
      </c>
      <c r="M321" s="16"/>
      <c r="N321" s="233" t="s">
        <v>1363</v>
      </c>
      <c r="O321" s="16" t="s">
        <v>24</v>
      </c>
      <c r="P321" s="219" t="s">
        <v>24</v>
      </c>
      <c r="Q321" s="221" t="s">
        <v>1364</v>
      </c>
      <c r="R321" s="11"/>
      <c r="S321" s="11"/>
      <c r="T321" s="11"/>
    </row>
    <row r="322" spans="1:20" ht="36" customHeight="1" x14ac:dyDescent="0.2">
      <c r="A322" s="7">
        <v>319</v>
      </c>
      <c r="B322" s="7">
        <v>394</v>
      </c>
      <c r="C322" s="231" t="s">
        <v>1365</v>
      </c>
      <c r="D322" s="3" t="s">
        <v>133</v>
      </c>
      <c r="E322" s="18" t="s">
        <v>28</v>
      </c>
      <c r="F322" s="7"/>
      <c r="G322" s="7"/>
      <c r="H322" s="7"/>
      <c r="I322" s="3" t="s">
        <v>540</v>
      </c>
      <c r="J322" s="7"/>
      <c r="K322" s="7"/>
      <c r="L322" s="228" t="s">
        <v>541</v>
      </c>
      <c r="M322" s="3"/>
      <c r="N322" s="228" t="s">
        <v>542</v>
      </c>
      <c r="O322" s="3" t="s">
        <v>24</v>
      </c>
      <c r="P322" s="186" t="s">
        <v>24</v>
      </c>
      <c r="Q322" s="222" t="s">
        <v>1366</v>
      </c>
      <c r="R322" s="11"/>
      <c r="S322" s="11"/>
      <c r="T322" s="11"/>
    </row>
    <row r="323" spans="1:20" ht="36" customHeight="1" x14ac:dyDescent="0.2">
      <c r="A323" s="15">
        <v>320</v>
      </c>
      <c r="B323" s="15">
        <v>395</v>
      </c>
      <c r="C323" s="232" t="s">
        <v>1367</v>
      </c>
      <c r="D323" s="16" t="s">
        <v>35</v>
      </c>
      <c r="E323" s="23" t="s">
        <v>28</v>
      </c>
      <c r="F323" s="15"/>
      <c r="G323" s="15"/>
      <c r="H323" s="15"/>
      <c r="I323" s="16" t="s">
        <v>1368</v>
      </c>
      <c r="J323" s="15"/>
      <c r="K323" s="15"/>
      <c r="L323" s="233" t="s">
        <v>339</v>
      </c>
      <c r="M323" s="16"/>
      <c r="N323" s="233" t="s">
        <v>1369</v>
      </c>
      <c r="O323" s="16" t="s">
        <v>1370</v>
      </c>
      <c r="P323" s="219" t="s">
        <v>1371</v>
      </c>
      <c r="Q323" s="221" t="s">
        <v>1372</v>
      </c>
      <c r="R323" s="11"/>
      <c r="S323" s="11"/>
      <c r="T323" s="11"/>
    </row>
    <row r="324" spans="1:20" ht="36" customHeight="1" x14ac:dyDescent="0.2">
      <c r="A324" s="7">
        <v>321</v>
      </c>
      <c r="B324" s="7">
        <v>396</v>
      </c>
      <c r="C324" s="231" t="s">
        <v>1373</v>
      </c>
      <c r="D324" s="3" t="s">
        <v>376</v>
      </c>
      <c r="E324" s="21" t="s">
        <v>28</v>
      </c>
      <c r="F324" s="7"/>
      <c r="G324" s="7"/>
      <c r="H324" s="7"/>
      <c r="I324" s="3" t="s">
        <v>1374</v>
      </c>
      <c r="J324" s="7"/>
      <c r="K324" s="7"/>
      <c r="L324" s="228" t="s">
        <v>339</v>
      </c>
      <c r="M324" s="3"/>
      <c r="N324" s="228" t="s">
        <v>1375</v>
      </c>
      <c r="O324" s="3" t="s">
        <v>24</v>
      </c>
      <c r="P324" s="186" t="s">
        <v>24</v>
      </c>
      <c r="Q324" s="222" t="s">
        <v>1376</v>
      </c>
      <c r="R324" s="11"/>
      <c r="S324" s="11"/>
      <c r="T324" s="11"/>
    </row>
    <row r="325" spans="1:20" ht="36" customHeight="1" x14ac:dyDescent="0.2">
      <c r="A325" s="15">
        <v>322</v>
      </c>
      <c r="B325" s="15">
        <v>399</v>
      </c>
      <c r="C325" s="232" t="s">
        <v>1377</v>
      </c>
      <c r="D325" s="16" t="s">
        <v>1378</v>
      </c>
      <c r="E325" s="22" t="s">
        <v>28</v>
      </c>
      <c r="F325" s="15"/>
      <c r="G325" s="15"/>
      <c r="H325" s="15"/>
      <c r="I325" s="16" t="s">
        <v>617</v>
      </c>
      <c r="J325" s="15"/>
      <c r="K325" s="15"/>
      <c r="L325" s="233" t="s">
        <v>1020</v>
      </c>
      <c r="M325" s="16"/>
      <c r="N325" s="233" t="s">
        <v>619</v>
      </c>
      <c r="O325" s="16" t="s">
        <v>648</v>
      </c>
      <c r="P325" s="219" t="s">
        <v>648</v>
      </c>
      <c r="Q325" s="221" t="s">
        <v>1379</v>
      </c>
      <c r="R325" s="11"/>
      <c r="S325" s="11"/>
      <c r="T325" s="11"/>
    </row>
    <row r="326" spans="1:20" ht="36" customHeight="1" x14ac:dyDescent="0.2">
      <c r="A326" s="7">
        <v>323</v>
      </c>
      <c r="B326" s="7">
        <v>402</v>
      </c>
      <c r="C326" s="231" t="s">
        <v>1380</v>
      </c>
      <c r="D326" s="3" t="s">
        <v>1381</v>
      </c>
      <c r="E326" s="21" t="s">
        <v>28</v>
      </c>
      <c r="F326" s="7"/>
      <c r="G326" s="7"/>
      <c r="H326" s="7"/>
      <c r="I326" s="3" t="s">
        <v>540</v>
      </c>
      <c r="J326" s="7"/>
      <c r="K326" s="7"/>
      <c r="L326" s="228" t="s">
        <v>183</v>
      </c>
      <c r="M326" s="3"/>
      <c r="N326" s="228" t="s">
        <v>542</v>
      </c>
      <c r="O326" s="3" t="s">
        <v>24</v>
      </c>
      <c r="P326" s="186" t="s">
        <v>24</v>
      </c>
      <c r="Q326" s="222" t="s">
        <v>1382</v>
      </c>
      <c r="R326" s="11"/>
      <c r="S326" s="11"/>
      <c r="T326" s="11"/>
    </row>
    <row r="327" spans="1:20" ht="36" customHeight="1" x14ac:dyDescent="0.2">
      <c r="A327" s="15">
        <v>324</v>
      </c>
      <c r="B327" s="15">
        <v>403</v>
      </c>
      <c r="C327" s="232" t="s">
        <v>1383</v>
      </c>
      <c r="D327" s="16" t="s">
        <v>309</v>
      </c>
      <c r="E327" s="22" t="s">
        <v>42</v>
      </c>
      <c r="F327" s="15"/>
      <c r="G327" s="15"/>
      <c r="H327" s="15"/>
      <c r="I327" s="16" t="s">
        <v>1384</v>
      </c>
      <c r="J327" s="15"/>
      <c r="K327" s="15"/>
      <c r="L327" s="233" t="s">
        <v>339</v>
      </c>
      <c r="M327" s="16"/>
      <c r="N327" s="233" t="s">
        <v>1385</v>
      </c>
      <c r="O327" s="16" t="s">
        <v>341</v>
      </c>
      <c r="P327" s="219" t="s">
        <v>341</v>
      </c>
      <c r="Q327" s="221" t="s">
        <v>1386</v>
      </c>
      <c r="R327" s="11"/>
      <c r="S327" s="11"/>
      <c r="T327" s="11"/>
    </row>
    <row r="328" spans="1:20" ht="36" customHeight="1" x14ac:dyDescent="0.2">
      <c r="A328" s="7">
        <v>325</v>
      </c>
      <c r="B328" s="7">
        <v>406</v>
      </c>
      <c r="C328" s="231" t="s">
        <v>1387</v>
      </c>
      <c r="D328" s="3" t="s">
        <v>318</v>
      </c>
      <c r="E328" s="18" t="s">
        <v>28</v>
      </c>
      <c r="F328" s="7"/>
      <c r="G328" s="7"/>
      <c r="H328" s="7"/>
      <c r="I328" s="3" t="s">
        <v>652</v>
      </c>
      <c r="J328" s="7"/>
      <c r="K328" s="7"/>
      <c r="L328" s="228"/>
      <c r="M328" s="3"/>
      <c r="N328" s="228" t="s">
        <v>654</v>
      </c>
      <c r="O328" s="3" t="s">
        <v>53</v>
      </c>
      <c r="P328" s="186" t="s">
        <v>24</v>
      </c>
      <c r="Q328" s="222" t="s">
        <v>1388</v>
      </c>
      <c r="R328" s="11"/>
      <c r="S328" s="11"/>
      <c r="T328" s="11"/>
    </row>
    <row r="329" spans="1:20" ht="36" customHeight="1" x14ac:dyDescent="0.2">
      <c r="A329" s="15">
        <v>326</v>
      </c>
      <c r="B329" s="15">
        <v>407</v>
      </c>
      <c r="C329" s="232" t="s">
        <v>1389</v>
      </c>
      <c r="D329" s="16" t="s">
        <v>1390</v>
      </c>
      <c r="E329" s="19" t="s">
        <v>42</v>
      </c>
      <c r="F329" s="15"/>
      <c r="G329" s="15"/>
      <c r="H329" s="15"/>
      <c r="I329" s="16" t="s">
        <v>957</v>
      </c>
      <c r="J329" s="15"/>
      <c r="K329" s="15"/>
      <c r="L329" s="233" t="s">
        <v>183</v>
      </c>
      <c r="M329" s="16"/>
      <c r="N329" s="233" t="s">
        <v>959</v>
      </c>
      <c r="O329" s="16" t="s">
        <v>81</v>
      </c>
      <c r="P329" s="219" t="s">
        <v>81</v>
      </c>
      <c r="Q329" s="221" t="s">
        <v>1391</v>
      </c>
      <c r="R329" s="11"/>
      <c r="S329" s="11"/>
      <c r="T329" s="11"/>
    </row>
    <row r="330" spans="1:20" ht="36" customHeight="1" x14ac:dyDescent="0.2">
      <c r="A330" s="7">
        <v>327</v>
      </c>
      <c r="B330" s="7">
        <v>408</v>
      </c>
      <c r="C330" s="231" t="s">
        <v>1392</v>
      </c>
      <c r="D330" s="3" t="s">
        <v>98</v>
      </c>
      <c r="E330" s="18" t="s">
        <v>20</v>
      </c>
      <c r="F330" s="7"/>
      <c r="G330" s="7"/>
      <c r="H330" s="7"/>
      <c r="I330" s="3" t="s">
        <v>748</v>
      </c>
      <c r="J330" s="7"/>
      <c r="K330" s="7"/>
      <c r="L330" s="228" t="s">
        <v>589</v>
      </c>
      <c r="M330" s="3"/>
      <c r="N330" s="228" t="s">
        <v>750</v>
      </c>
      <c r="O330" s="3" t="s">
        <v>24</v>
      </c>
      <c r="P330" s="186" t="s">
        <v>24</v>
      </c>
      <c r="Q330" s="222" t="s">
        <v>1393</v>
      </c>
      <c r="R330" s="11"/>
      <c r="S330" s="11"/>
      <c r="T330" s="11"/>
    </row>
    <row r="331" spans="1:20" ht="36" customHeight="1" x14ac:dyDescent="0.2">
      <c r="A331" s="15">
        <v>328</v>
      </c>
      <c r="B331" s="15">
        <v>409</v>
      </c>
      <c r="C331" s="232" t="s">
        <v>1394</v>
      </c>
      <c r="D331" s="16" t="s">
        <v>1395</v>
      </c>
      <c r="E331" s="22" t="s">
        <v>20</v>
      </c>
      <c r="F331" s="15"/>
      <c r="G331" s="15"/>
      <c r="H331" s="15"/>
      <c r="I331" s="16" t="s">
        <v>704</v>
      </c>
      <c r="J331" s="15"/>
      <c r="K331" s="15"/>
      <c r="L331" s="233" t="s">
        <v>1168</v>
      </c>
      <c r="M331" s="16"/>
      <c r="N331" s="233" t="s">
        <v>705</v>
      </c>
      <c r="O331" s="16" t="s">
        <v>24</v>
      </c>
      <c r="P331" s="219" t="s">
        <v>24</v>
      </c>
      <c r="Q331" s="221" t="s">
        <v>1396</v>
      </c>
      <c r="R331" s="11"/>
      <c r="S331" s="11"/>
      <c r="T331" s="11"/>
    </row>
    <row r="332" spans="1:20" ht="36" customHeight="1" x14ac:dyDescent="0.2">
      <c r="A332" s="7">
        <v>329</v>
      </c>
      <c r="B332" s="7">
        <v>410</v>
      </c>
      <c r="C332" s="231" t="s">
        <v>1397</v>
      </c>
      <c r="D332" s="3" t="s">
        <v>1136</v>
      </c>
      <c r="E332" s="21" t="s">
        <v>42</v>
      </c>
      <c r="F332" s="7"/>
      <c r="G332" s="7"/>
      <c r="H332" s="7"/>
      <c r="I332" s="3" t="s">
        <v>512</v>
      </c>
      <c r="J332" s="7"/>
      <c r="K332" s="7"/>
      <c r="L332" s="228" t="s">
        <v>657</v>
      </c>
      <c r="M332" s="3"/>
      <c r="N332" s="228" t="s">
        <v>513</v>
      </c>
      <c r="O332" s="3" t="s">
        <v>65</v>
      </c>
      <c r="P332" s="186" t="s">
        <v>47</v>
      </c>
      <c r="Q332" s="222" t="s">
        <v>1398</v>
      </c>
      <c r="R332" s="11"/>
      <c r="S332" s="11"/>
      <c r="T332" s="11"/>
    </row>
    <row r="333" spans="1:20" ht="36" customHeight="1" x14ac:dyDescent="0.2">
      <c r="A333" s="15">
        <v>330</v>
      </c>
      <c r="B333" s="15">
        <v>412</v>
      </c>
      <c r="C333" s="232" t="s">
        <v>1399</v>
      </c>
      <c r="D333" s="16" t="s">
        <v>62</v>
      </c>
      <c r="E333" s="19" t="s">
        <v>20</v>
      </c>
      <c r="F333" s="15"/>
      <c r="G333" s="15"/>
      <c r="H333" s="15"/>
      <c r="I333" s="16" t="s">
        <v>229</v>
      </c>
      <c r="J333" s="15"/>
      <c r="K333" s="15"/>
      <c r="L333" s="233" t="s">
        <v>1020</v>
      </c>
      <c r="M333" s="16"/>
      <c r="N333" s="233" t="s">
        <v>230</v>
      </c>
      <c r="O333" s="16" t="s">
        <v>24</v>
      </c>
      <c r="P333" s="219" t="s">
        <v>24</v>
      </c>
      <c r="Q333" s="221" t="s">
        <v>1400</v>
      </c>
      <c r="R333" s="11"/>
      <c r="S333" s="11"/>
      <c r="T333" s="11"/>
    </row>
    <row r="334" spans="1:20" ht="36" customHeight="1" x14ac:dyDescent="0.2">
      <c r="A334" s="7">
        <v>331</v>
      </c>
      <c r="B334" s="7">
        <v>413</v>
      </c>
      <c r="C334" s="231" t="s">
        <v>1401</v>
      </c>
      <c r="D334" s="3" t="s">
        <v>309</v>
      </c>
      <c r="E334" s="20" t="s">
        <v>28</v>
      </c>
      <c r="F334" s="7"/>
      <c r="G334" s="7"/>
      <c r="H334" s="7"/>
      <c r="I334" s="3" t="s">
        <v>1042</v>
      </c>
      <c r="J334" s="7"/>
      <c r="K334" s="7"/>
      <c r="L334" s="228" t="s">
        <v>339</v>
      </c>
      <c r="M334" s="3"/>
      <c r="N334" s="228" t="s">
        <v>1402</v>
      </c>
      <c r="O334" s="3" t="s">
        <v>24</v>
      </c>
      <c r="P334" s="186" t="s">
        <v>47</v>
      </c>
      <c r="Q334" s="222" t="s">
        <v>1403</v>
      </c>
      <c r="R334" s="11"/>
      <c r="S334" s="11"/>
      <c r="T334" s="11"/>
    </row>
    <row r="335" spans="1:20" ht="36" customHeight="1" x14ac:dyDescent="0.2">
      <c r="A335" s="15">
        <v>332</v>
      </c>
      <c r="B335" s="15">
        <v>415</v>
      </c>
      <c r="C335" s="232" t="s">
        <v>1404</v>
      </c>
      <c r="D335" s="16" t="s">
        <v>56</v>
      </c>
      <c r="E335" s="19" t="s">
        <v>20</v>
      </c>
      <c r="F335" s="15"/>
      <c r="G335" s="15"/>
      <c r="H335" s="15"/>
      <c r="I335" s="16" t="s">
        <v>229</v>
      </c>
      <c r="J335" s="15"/>
      <c r="K335" s="15"/>
      <c r="L335" s="233" t="s">
        <v>634</v>
      </c>
      <c r="M335" s="16"/>
      <c r="N335" s="233" t="s">
        <v>230</v>
      </c>
      <c r="O335" s="16" t="s">
        <v>24</v>
      </c>
      <c r="P335" s="219" t="s">
        <v>24</v>
      </c>
      <c r="Q335" s="221" t="s">
        <v>1405</v>
      </c>
      <c r="R335" s="11"/>
      <c r="S335" s="11"/>
      <c r="T335" s="11"/>
    </row>
    <row r="336" spans="1:20" ht="36" customHeight="1" x14ac:dyDescent="0.2">
      <c r="A336" s="7">
        <v>333</v>
      </c>
      <c r="B336" s="7">
        <v>416</v>
      </c>
      <c r="C336" s="231" t="s">
        <v>1406</v>
      </c>
      <c r="D336" s="3" t="s">
        <v>309</v>
      </c>
      <c r="E336" s="20" t="s">
        <v>28</v>
      </c>
      <c r="F336" s="7"/>
      <c r="G336" s="7"/>
      <c r="H336" s="7"/>
      <c r="I336" s="3" t="s">
        <v>507</v>
      </c>
      <c r="J336" s="7"/>
      <c r="K336" s="7"/>
      <c r="L336" s="228" t="s">
        <v>1407</v>
      </c>
      <c r="M336" s="3"/>
      <c r="N336" s="228" t="s">
        <v>508</v>
      </c>
      <c r="O336" s="3" t="s">
        <v>1408</v>
      </c>
      <c r="P336" s="186" t="s">
        <v>1409</v>
      </c>
      <c r="Q336" s="222" t="s">
        <v>1410</v>
      </c>
      <c r="R336" s="11"/>
      <c r="S336" s="11"/>
      <c r="T336" s="11"/>
    </row>
    <row r="337" spans="1:20" ht="36" customHeight="1" x14ac:dyDescent="0.2">
      <c r="A337" s="15">
        <v>334</v>
      </c>
      <c r="B337" s="15">
        <v>417</v>
      </c>
      <c r="C337" s="232" t="s">
        <v>1411</v>
      </c>
      <c r="D337" s="16" t="s">
        <v>637</v>
      </c>
      <c r="E337" s="19" t="s">
        <v>28</v>
      </c>
      <c r="F337" s="15"/>
      <c r="G337" s="15"/>
      <c r="H337" s="15"/>
      <c r="I337" s="16" t="s">
        <v>617</v>
      </c>
      <c r="J337" s="15"/>
      <c r="K337" s="15"/>
      <c r="L337" s="233" t="s">
        <v>1412</v>
      </c>
      <c r="M337" s="16"/>
      <c r="N337" s="233" t="s">
        <v>619</v>
      </c>
      <c r="O337" s="16" t="s">
        <v>81</v>
      </c>
      <c r="P337" s="219" t="s">
        <v>81</v>
      </c>
      <c r="Q337" s="221" t="s">
        <v>1413</v>
      </c>
      <c r="R337" s="11"/>
      <c r="S337" s="11"/>
      <c r="T337" s="11"/>
    </row>
    <row r="338" spans="1:20" ht="36" customHeight="1" x14ac:dyDescent="0.2">
      <c r="A338" s="7">
        <v>335</v>
      </c>
      <c r="B338" s="7">
        <v>419</v>
      </c>
      <c r="C338" s="231" t="s">
        <v>1414</v>
      </c>
      <c r="D338" s="3" t="s">
        <v>283</v>
      </c>
      <c r="E338" s="21" t="s">
        <v>28</v>
      </c>
      <c r="F338" s="7"/>
      <c r="G338" s="7"/>
      <c r="H338" s="7"/>
      <c r="I338" s="3" t="s">
        <v>652</v>
      </c>
      <c r="J338" s="7"/>
      <c r="K338" s="7"/>
      <c r="L338" s="228" t="s">
        <v>372</v>
      </c>
      <c r="M338" s="3"/>
      <c r="N338" s="228" t="s">
        <v>654</v>
      </c>
      <c r="O338" s="3" t="s">
        <v>81</v>
      </c>
      <c r="P338" s="186" t="s">
        <v>81</v>
      </c>
      <c r="Q338" s="222" t="s">
        <v>1415</v>
      </c>
      <c r="R338" s="11"/>
      <c r="S338" s="11"/>
      <c r="T338" s="11"/>
    </row>
    <row r="339" spans="1:20" ht="36" customHeight="1" x14ac:dyDescent="0.2">
      <c r="A339" s="15">
        <v>336</v>
      </c>
      <c r="B339" s="15">
        <v>424</v>
      </c>
      <c r="C339" s="232" t="s">
        <v>1416</v>
      </c>
      <c r="D339" s="16" t="s">
        <v>427</v>
      </c>
      <c r="E339" s="19" t="s">
        <v>28</v>
      </c>
      <c r="F339" s="15"/>
      <c r="G339" s="15"/>
      <c r="H339" s="15"/>
      <c r="I339" s="16" t="s">
        <v>1417</v>
      </c>
      <c r="J339" s="15"/>
      <c r="K339" s="15"/>
      <c r="L339" s="233" t="s">
        <v>285</v>
      </c>
      <c r="M339" s="16"/>
      <c r="N339" s="233" t="s">
        <v>1418</v>
      </c>
      <c r="O339" s="16" t="s">
        <v>24</v>
      </c>
      <c r="P339" s="219" t="s">
        <v>1096</v>
      </c>
      <c r="Q339" s="221" t="s">
        <v>1419</v>
      </c>
      <c r="R339" s="11"/>
      <c r="S339" s="11"/>
      <c r="T339" s="11"/>
    </row>
    <row r="340" spans="1:20" ht="36" customHeight="1" x14ac:dyDescent="0.2">
      <c r="A340" s="7">
        <v>337</v>
      </c>
      <c r="B340" s="7">
        <v>426</v>
      </c>
      <c r="C340" s="231" t="s">
        <v>1420</v>
      </c>
      <c r="D340" s="3" t="s">
        <v>518</v>
      </c>
      <c r="E340" s="18" t="s">
        <v>28</v>
      </c>
      <c r="F340" s="7"/>
      <c r="G340" s="7"/>
      <c r="H340" s="7"/>
      <c r="I340" s="3" t="s">
        <v>512</v>
      </c>
      <c r="J340" s="7"/>
      <c r="K340" s="7"/>
      <c r="L340" s="228" t="s">
        <v>589</v>
      </c>
      <c r="M340" s="3"/>
      <c r="N340" s="228" t="s">
        <v>513</v>
      </c>
      <c r="O340" s="3" t="s">
        <v>65</v>
      </c>
      <c r="P340" s="186" t="s">
        <v>47</v>
      </c>
      <c r="Q340" s="222" t="s">
        <v>1421</v>
      </c>
      <c r="R340" s="11"/>
      <c r="S340" s="11"/>
      <c r="T340" s="11"/>
    </row>
    <row r="341" spans="1:20" ht="36" customHeight="1" x14ac:dyDescent="0.2">
      <c r="A341" s="15">
        <v>338</v>
      </c>
      <c r="B341" s="15">
        <v>428</v>
      </c>
      <c r="C341" s="232" t="s">
        <v>1422</v>
      </c>
      <c r="D341" s="16" t="s">
        <v>1127</v>
      </c>
      <c r="E341" s="23" t="s">
        <v>42</v>
      </c>
      <c r="F341" s="15"/>
      <c r="G341" s="15"/>
      <c r="H341" s="15"/>
      <c r="I341" s="16" t="s">
        <v>569</v>
      </c>
      <c r="J341" s="15"/>
      <c r="K341" s="15"/>
      <c r="L341" s="233" t="s">
        <v>460</v>
      </c>
      <c r="M341" s="16"/>
      <c r="N341" s="233" t="s">
        <v>571</v>
      </c>
      <c r="O341" s="16" t="s">
        <v>24</v>
      </c>
      <c r="P341" s="219" t="s">
        <v>24</v>
      </c>
      <c r="Q341" s="221" t="s">
        <v>1423</v>
      </c>
      <c r="R341" s="11"/>
      <c r="S341" s="11"/>
      <c r="T341" s="11"/>
    </row>
    <row r="342" spans="1:20" ht="36" customHeight="1" x14ac:dyDescent="0.2">
      <c r="A342" s="7">
        <v>339</v>
      </c>
      <c r="B342" s="7">
        <v>430</v>
      </c>
      <c r="C342" s="231" t="s">
        <v>1424</v>
      </c>
      <c r="D342" s="3" t="s">
        <v>127</v>
      </c>
      <c r="E342" s="21" t="s">
        <v>28</v>
      </c>
      <c r="F342" s="7"/>
      <c r="G342" s="7"/>
      <c r="H342" s="7"/>
      <c r="I342" s="3" t="s">
        <v>1425</v>
      </c>
      <c r="J342" s="7"/>
      <c r="K342" s="7"/>
      <c r="L342" s="228" t="s">
        <v>339</v>
      </c>
      <c r="M342" s="3"/>
      <c r="N342" s="228" t="s">
        <v>1426</v>
      </c>
      <c r="O342" s="3" t="s">
        <v>24</v>
      </c>
      <c r="P342" s="186" t="s">
        <v>24</v>
      </c>
      <c r="Q342" s="222" t="s">
        <v>1427</v>
      </c>
      <c r="R342" s="11"/>
      <c r="S342" s="11"/>
      <c r="T342" s="11"/>
    </row>
    <row r="343" spans="1:20" ht="36" customHeight="1" x14ac:dyDescent="0.2">
      <c r="A343" s="15">
        <v>340</v>
      </c>
      <c r="B343" s="15">
        <v>432</v>
      </c>
      <c r="C343" s="232" t="s">
        <v>1428</v>
      </c>
      <c r="D343" s="16" t="s">
        <v>1295</v>
      </c>
      <c r="E343" s="22" t="s">
        <v>42</v>
      </c>
      <c r="F343" s="15"/>
      <c r="G343" s="15"/>
      <c r="H343" s="15"/>
      <c r="I343" s="16" t="s">
        <v>704</v>
      </c>
      <c r="J343" s="15"/>
      <c r="K343" s="15"/>
      <c r="L343" s="233" t="s">
        <v>749</v>
      </c>
      <c r="M343" s="16"/>
      <c r="N343" s="233" t="s">
        <v>705</v>
      </c>
      <c r="O343" s="16" t="s">
        <v>24</v>
      </c>
      <c r="P343" s="219" t="s">
        <v>24</v>
      </c>
      <c r="Q343" s="221" t="s">
        <v>1429</v>
      </c>
      <c r="R343" s="11"/>
      <c r="S343" s="11"/>
      <c r="T343" s="11"/>
    </row>
    <row r="344" spans="1:20" ht="36" customHeight="1" x14ac:dyDescent="0.2">
      <c r="A344" s="7">
        <v>341</v>
      </c>
      <c r="B344" s="7">
        <v>435</v>
      </c>
      <c r="C344" s="231" t="s">
        <v>1430</v>
      </c>
      <c r="D344" s="3" t="s">
        <v>1431</v>
      </c>
      <c r="E344" s="18" t="s">
        <v>28</v>
      </c>
      <c r="F344" s="7"/>
      <c r="G344" s="7"/>
      <c r="H344" s="7"/>
      <c r="I344" s="3" t="s">
        <v>1432</v>
      </c>
      <c r="J344" s="7"/>
      <c r="K344" s="7"/>
      <c r="L344" s="228" t="s">
        <v>859</v>
      </c>
      <c r="M344" s="3"/>
      <c r="N344" s="228" t="s">
        <v>1433</v>
      </c>
      <c r="O344" s="3" t="s">
        <v>326</v>
      </c>
      <c r="P344" s="186" t="s">
        <v>47</v>
      </c>
      <c r="Q344" s="222" t="s">
        <v>1434</v>
      </c>
      <c r="R344" s="11"/>
      <c r="S344" s="11"/>
      <c r="T344" s="11"/>
    </row>
    <row r="345" spans="1:20" ht="36" customHeight="1" x14ac:dyDescent="0.2">
      <c r="A345" s="15">
        <v>342</v>
      </c>
      <c r="B345" s="15">
        <v>437</v>
      </c>
      <c r="C345" s="232" t="s">
        <v>1435</v>
      </c>
      <c r="D345" s="16" t="s">
        <v>1436</v>
      </c>
      <c r="E345" s="19" t="s">
        <v>28</v>
      </c>
      <c r="F345" s="15"/>
      <c r="G345" s="15"/>
      <c r="H345" s="15"/>
      <c r="I345" s="16" t="s">
        <v>1437</v>
      </c>
      <c r="J345" s="15"/>
      <c r="K345" s="15"/>
      <c r="L345" s="233" t="s">
        <v>1438</v>
      </c>
      <c r="M345" s="16"/>
      <c r="N345" s="233" t="s">
        <v>1439</v>
      </c>
      <c r="O345" s="16" t="s">
        <v>24</v>
      </c>
      <c r="P345" s="219" t="s">
        <v>24</v>
      </c>
      <c r="Q345" s="221" t="s">
        <v>1440</v>
      </c>
      <c r="R345" s="11"/>
      <c r="S345" s="11"/>
      <c r="T345" s="11"/>
    </row>
    <row r="346" spans="1:20" ht="36" customHeight="1" x14ac:dyDescent="0.2">
      <c r="A346" s="7">
        <v>343</v>
      </c>
      <c r="B346" s="7">
        <v>438</v>
      </c>
      <c r="C346" s="231" t="s">
        <v>1441</v>
      </c>
      <c r="D346" s="3" t="s">
        <v>427</v>
      </c>
      <c r="E346" s="18" t="s">
        <v>28</v>
      </c>
      <c r="F346" s="7"/>
      <c r="G346" s="7"/>
      <c r="H346" s="7"/>
      <c r="I346" s="3" t="s">
        <v>1442</v>
      </c>
      <c r="J346" s="7"/>
      <c r="K346" s="7"/>
      <c r="L346" s="228" t="s">
        <v>69</v>
      </c>
      <c r="M346" s="3"/>
      <c r="N346" s="228" t="s">
        <v>1443</v>
      </c>
      <c r="O346" s="3" t="s">
        <v>24</v>
      </c>
      <c r="P346" s="186" t="s">
        <v>47</v>
      </c>
      <c r="Q346" s="222" t="s">
        <v>1444</v>
      </c>
      <c r="R346" s="11"/>
      <c r="S346" s="11"/>
      <c r="T346" s="11"/>
    </row>
    <row r="347" spans="1:20" ht="36" customHeight="1" x14ac:dyDescent="0.2">
      <c r="A347" s="15">
        <v>344</v>
      </c>
      <c r="B347" s="15">
        <v>441</v>
      </c>
      <c r="C347" s="232" t="s">
        <v>1445</v>
      </c>
      <c r="D347" s="16" t="s">
        <v>62</v>
      </c>
      <c r="E347" s="19" t="s">
        <v>20</v>
      </c>
      <c r="F347" s="15"/>
      <c r="G347" s="15"/>
      <c r="H347" s="15"/>
      <c r="I347" s="16" t="s">
        <v>1446</v>
      </c>
      <c r="J347" s="15"/>
      <c r="K347" s="15"/>
      <c r="L347" s="233" t="s">
        <v>339</v>
      </c>
      <c r="M347" s="16"/>
      <c r="N347" s="233" t="s">
        <v>1447</v>
      </c>
      <c r="O347" s="16" t="s">
        <v>24</v>
      </c>
      <c r="P347" s="219" t="s">
        <v>24</v>
      </c>
      <c r="Q347" s="221" t="s">
        <v>1448</v>
      </c>
      <c r="R347" s="11"/>
      <c r="S347" s="11"/>
      <c r="T347" s="11"/>
    </row>
    <row r="348" spans="1:20" ht="36" customHeight="1" x14ac:dyDescent="0.2">
      <c r="A348" s="7">
        <v>345</v>
      </c>
      <c r="B348" s="7">
        <v>442</v>
      </c>
      <c r="C348" s="231" t="s">
        <v>1449</v>
      </c>
      <c r="D348" s="3" t="s">
        <v>19</v>
      </c>
      <c r="E348" s="18" t="s">
        <v>28</v>
      </c>
      <c r="F348" s="7"/>
      <c r="G348" s="7"/>
      <c r="H348" s="7"/>
      <c r="I348" s="3" t="s">
        <v>704</v>
      </c>
      <c r="J348" s="7"/>
      <c r="K348" s="7"/>
      <c r="L348" s="228" t="s">
        <v>183</v>
      </c>
      <c r="M348" s="3"/>
      <c r="N348" s="228" t="s">
        <v>705</v>
      </c>
      <c r="O348" s="3" t="s">
        <v>24</v>
      </c>
      <c r="P348" s="186" t="s">
        <v>24</v>
      </c>
      <c r="Q348" s="222" t="s">
        <v>1450</v>
      </c>
      <c r="R348" s="11"/>
      <c r="S348" s="11"/>
      <c r="T348" s="11"/>
    </row>
    <row r="349" spans="1:20" ht="36" customHeight="1" x14ac:dyDescent="0.2">
      <c r="A349" s="15">
        <v>346</v>
      </c>
      <c r="B349" s="15">
        <v>443</v>
      </c>
      <c r="C349" s="232" t="s">
        <v>1451</v>
      </c>
      <c r="D349" s="16" t="s">
        <v>611</v>
      </c>
      <c r="E349" s="19" t="s">
        <v>28</v>
      </c>
      <c r="F349" s="15"/>
      <c r="G349" s="15"/>
      <c r="H349" s="15"/>
      <c r="I349" s="16" t="s">
        <v>689</v>
      </c>
      <c r="J349" s="15"/>
      <c r="K349" s="15"/>
      <c r="L349" s="233" t="s">
        <v>58</v>
      </c>
      <c r="M349" s="16"/>
      <c r="N349" s="233" t="s">
        <v>690</v>
      </c>
      <c r="O349" s="16" t="s">
        <v>24</v>
      </c>
      <c r="P349" s="219" t="s">
        <v>1096</v>
      </c>
      <c r="Q349" s="221" t="s">
        <v>1452</v>
      </c>
      <c r="R349" s="11"/>
      <c r="S349" s="11"/>
      <c r="T349" s="11"/>
    </row>
    <row r="350" spans="1:20" ht="36" customHeight="1" x14ac:dyDescent="0.2">
      <c r="A350" s="7">
        <v>347</v>
      </c>
      <c r="B350" s="7">
        <v>445</v>
      </c>
      <c r="C350" s="231" t="s">
        <v>1453</v>
      </c>
      <c r="D350" s="3" t="s">
        <v>1454</v>
      </c>
      <c r="E350" s="18" t="s">
        <v>28</v>
      </c>
      <c r="F350" s="7"/>
      <c r="G350" s="7"/>
      <c r="H350" s="7"/>
      <c r="I350" s="3" t="s">
        <v>540</v>
      </c>
      <c r="J350" s="7"/>
      <c r="K350" s="7"/>
      <c r="L350" s="228" t="s">
        <v>497</v>
      </c>
      <c r="M350" s="3"/>
      <c r="N350" s="228" t="s">
        <v>542</v>
      </c>
      <c r="O350" s="3" t="s">
        <v>140</v>
      </c>
      <c r="P350" s="186" t="s">
        <v>140</v>
      </c>
      <c r="Q350" s="222" t="s">
        <v>1455</v>
      </c>
      <c r="R350" s="11"/>
      <c r="S350" s="11"/>
      <c r="T350" s="11"/>
    </row>
    <row r="351" spans="1:20" ht="36" customHeight="1" x14ac:dyDescent="0.2">
      <c r="A351" s="15">
        <v>348</v>
      </c>
      <c r="B351" s="15">
        <v>448</v>
      </c>
      <c r="C351" s="232" t="s">
        <v>1456</v>
      </c>
      <c r="D351" s="16" t="s">
        <v>19</v>
      </c>
      <c r="E351" s="19" t="s">
        <v>20</v>
      </c>
      <c r="F351" s="15"/>
      <c r="G351" s="15"/>
      <c r="H351" s="15"/>
      <c r="I351" s="16" t="s">
        <v>704</v>
      </c>
      <c r="J351" s="15"/>
      <c r="K351" s="15"/>
      <c r="L351" s="233" t="s">
        <v>1159</v>
      </c>
      <c r="M351" s="16"/>
      <c r="N351" s="233" t="s">
        <v>705</v>
      </c>
      <c r="O351" s="16" t="s">
        <v>24</v>
      </c>
      <c r="P351" s="219" t="s">
        <v>47</v>
      </c>
      <c r="Q351" s="221" t="s">
        <v>1457</v>
      </c>
      <c r="R351" s="11"/>
      <c r="S351" s="11"/>
      <c r="T351" s="11"/>
    </row>
    <row r="352" spans="1:20" ht="36" customHeight="1" x14ac:dyDescent="0.2">
      <c r="A352" s="7">
        <v>349</v>
      </c>
      <c r="B352" s="7">
        <v>449</v>
      </c>
      <c r="C352" s="231" t="s">
        <v>1458</v>
      </c>
      <c r="D352" s="3" t="s">
        <v>1459</v>
      </c>
      <c r="E352" s="18" t="s">
        <v>28</v>
      </c>
      <c r="F352" s="7"/>
      <c r="G352" s="7"/>
      <c r="H352" s="7"/>
      <c r="I352" s="3" t="s">
        <v>1460</v>
      </c>
      <c r="J352" s="7"/>
      <c r="K352" s="7"/>
      <c r="L352" s="228" t="s">
        <v>339</v>
      </c>
      <c r="M352" s="3"/>
      <c r="N352" s="228" t="s">
        <v>1461</v>
      </c>
      <c r="O352" s="3" t="s">
        <v>24</v>
      </c>
      <c r="P352" s="186" t="s">
        <v>24</v>
      </c>
      <c r="Q352" s="222" t="s">
        <v>1462</v>
      </c>
      <c r="R352" s="11"/>
      <c r="S352" s="11"/>
      <c r="T352" s="11"/>
    </row>
    <row r="353" spans="1:20" ht="36" customHeight="1" x14ac:dyDescent="0.2">
      <c r="A353" s="15">
        <v>350</v>
      </c>
      <c r="B353" s="15">
        <v>450</v>
      </c>
      <c r="C353" s="232" t="s">
        <v>1463</v>
      </c>
      <c r="D353" s="16" t="s">
        <v>518</v>
      </c>
      <c r="E353" s="19" t="s">
        <v>28</v>
      </c>
      <c r="F353" s="15"/>
      <c r="G353" s="15"/>
      <c r="H353" s="15"/>
      <c r="I353" s="16" t="s">
        <v>569</v>
      </c>
      <c r="J353" s="15"/>
      <c r="K353" s="15"/>
      <c r="L353" s="233" t="s">
        <v>1464</v>
      </c>
      <c r="M353" s="16"/>
      <c r="N353" s="233" t="s">
        <v>571</v>
      </c>
      <c r="O353" s="16" t="s">
        <v>503</v>
      </c>
      <c r="P353" s="219" t="s">
        <v>503</v>
      </c>
      <c r="Q353" s="221" t="s">
        <v>1465</v>
      </c>
      <c r="R353" s="11"/>
      <c r="S353" s="11"/>
      <c r="T353" s="11"/>
    </row>
    <row r="354" spans="1:20" ht="36" customHeight="1" x14ac:dyDescent="0.2">
      <c r="A354" s="7">
        <v>351</v>
      </c>
      <c r="B354" s="7">
        <v>451</v>
      </c>
      <c r="C354" s="231" t="s">
        <v>1466</v>
      </c>
      <c r="D354" s="3" t="s">
        <v>1467</v>
      </c>
      <c r="E354" s="21" t="s">
        <v>28</v>
      </c>
      <c r="F354" s="7"/>
      <c r="G354" s="7"/>
      <c r="H354" s="7"/>
      <c r="I354" s="3" t="s">
        <v>1076</v>
      </c>
      <c r="J354" s="7"/>
      <c r="K354" s="7"/>
      <c r="L354" s="228" t="s">
        <v>497</v>
      </c>
      <c r="M354" s="3"/>
      <c r="N354" s="228" t="s">
        <v>1077</v>
      </c>
      <c r="O354" s="3" t="s">
        <v>326</v>
      </c>
      <c r="P354" s="186" t="s">
        <v>24</v>
      </c>
      <c r="Q354" s="222" t="s">
        <v>1468</v>
      </c>
      <c r="R354" s="11"/>
      <c r="S354" s="11"/>
      <c r="T354" s="11"/>
    </row>
    <row r="355" spans="1:20" ht="36" customHeight="1" x14ac:dyDescent="0.2">
      <c r="A355" s="15">
        <v>352</v>
      </c>
      <c r="B355" s="15">
        <v>455</v>
      </c>
      <c r="C355" s="232" t="s">
        <v>1469</v>
      </c>
      <c r="D355" s="16" t="s">
        <v>318</v>
      </c>
      <c r="E355" s="19" t="s">
        <v>20</v>
      </c>
      <c r="F355" s="15"/>
      <c r="G355" s="15"/>
      <c r="H355" s="15"/>
      <c r="I355" s="16" t="s">
        <v>652</v>
      </c>
      <c r="J355" s="15"/>
      <c r="K355" s="15"/>
      <c r="L355" s="233" t="s">
        <v>188</v>
      </c>
      <c r="M355" s="16"/>
      <c r="N355" s="233" t="s">
        <v>654</v>
      </c>
      <c r="O355" s="16" t="s">
        <v>24</v>
      </c>
      <c r="P355" s="219" t="s">
        <v>1100</v>
      </c>
      <c r="Q355" s="221" t="s">
        <v>1470</v>
      </c>
      <c r="R355" s="11"/>
      <c r="S355" s="11"/>
      <c r="T355" s="11"/>
    </row>
    <row r="356" spans="1:20" ht="36" customHeight="1" x14ac:dyDescent="0.2">
      <c r="A356" s="7">
        <v>353</v>
      </c>
      <c r="B356" s="7">
        <v>456</v>
      </c>
      <c r="C356" s="231" t="s">
        <v>1471</v>
      </c>
      <c r="D356" s="3" t="s">
        <v>1472</v>
      </c>
      <c r="E356" s="21" t="s">
        <v>28</v>
      </c>
      <c r="F356" s="7"/>
      <c r="G356" s="7"/>
      <c r="H356" s="7"/>
      <c r="I356" s="3" t="s">
        <v>1473</v>
      </c>
      <c r="J356" s="7"/>
      <c r="K356" s="7"/>
      <c r="L356" s="228" t="s">
        <v>339</v>
      </c>
      <c r="M356" s="3"/>
      <c r="N356" s="228" t="s">
        <v>1474</v>
      </c>
      <c r="O356" s="3" t="s">
        <v>24</v>
      </c>
      <c r="P356" s="186" t="s">
        <v>24</v>
      </c>
      <c r="Q356" s="222" t="s">
        <v>1475</v>
      </c>
      <c r="R356" s="11"/>
      <c r="S356" s="11"/>
      <c r="T356" s="11"/>
    </row>
    <row r="357" spans="1:20" ht="36" customHeight="1" x14ac:dyDescent="0.2">
      <c r="A357" s="15">
        <v>354</v>
      </c>
      <c r="B357" s="15">
        <v>460</v>
      </c>
      <c r="C357" s="232" t="s">
        <v>1476</v>
      </c>
      <c r="D357" s="16" t="s">
        <v>1477</v>
      </c>
      <c r="E357" s="19" t="s">
        <v>42</v>
      </c>
      <c r="F357" s="15"/>
      <c r="G357" s="15"/>
      <c r="H357" s="15"/>
      <c r="I357" s="16" t="s">
        <v>459</v>
      </c>
      <c r="J357" s="15"/>
      <c r="K357" s="15"/>
      <c r="L357" s="233" t="s">
        <v>1478</v>
      </c>
      <c r="M357" s="16"/>
      <c r="N357" s="233" t="s">
        <v>461</v>
      </c>
      <c r="O357" s="16" t="s">
        <v>732</v>
      </c>
      <c r="P357" s="219" t="s">
        <v>24</v>
      </c>
      <c r="Q357" s="221" t="s">
        <v>1479</v>
      </c>
      <c r="R357" s="11"/>
      <c r="S357" s="11"/>
      <c r="T357" s="11"/>
    </row>
    <row r="358" spans="1:20" ht="36" customHeight="1" x14ac:dyDescent="0.2">
      <c r="A358" s="7">
        <v>355</v>
      </c>
      <c r="B358" s="7">
        <v>463</v>
      </c>
      <c r="C358" s="231" t="s">
        <v>1480</v>
      </c>
      <c r="D358" s="3" t="s">
        <v>283</v>
      </c>
      <c r="E358" s="18" t="s">
        <v>20</v>
      </c>
      <c r="F358" s="7"/>
      <c r="G358" s="7"/>
      <c r="H358" s="7"/>
      <c r="I358" s="3" t="s">
        <v>652</v>
      </c>
      <c r="J358" s="7"/>
      <c r="K358" s="7"/>
      <c r="L358" s="228" t="s">
        <v>188</v>
      </c>
      <c r="M358" s="3"/>
      <c r="N358" s="228" t="s">
        <v>654</v>
      </c>
      <c r="O358" s="3" t="s">
        <v>81</v>
      </c>
      <c r="P358" s="186" t="s">
        <v>81</v>
      </c>
      <c r="Q358" s="222" t="s">
        <v>1481</v>
      </c>
      <c r="R358" s="11"/>
      <c r="S358" s="11"/>
      <c r="T358" s="11"/>
    </row>
    <row r="359" spans="1:20" ht="36" customHeight="1" x14ac:dyDescent="0.2">
      <c r="A359" s="15">
        <v>356</v>
      </c>
      <c r="B359" s="15">
        <v>465</v>
      </c>
      <c r="C359" s="232" t="s">
        <v>1482</v>
      </c>
      <c r="D359" s="16" t="s">
        <v>1483</v>
      </c>
      <c r="E359" s="19" t="s">
        <v>42</v>
      </c>
      <c r="F359" s="15"/>
      <c r="G359" s="15"/>
      <c r="H359" s="15"/>
      <c r="I359" s="16" t="s">
        <v>300</v>
      </c>
      <c r="J359" s="15"/>
      <c r="K359" s="15"/>
      <c r="L359" s="233" t="s">
        <v>779</v>
      </c>
      <c r="M359" s="16"/>
      <c r="N359" s="233" t="s">
        <v>302</v>
      </c>
      <c r="O359" s="16" t="s">
        <v>648</v>
      </c>
      <c r="P359" s="219" t="s">
        <v>648</v>
      </c>
      <c r="Q359" s="221" t="s">
        <v>1484</v>
      </c>
      <c r="R359" s="11"/>
      <c r="S359" s="11"/>
      <c r="T359" s="11"/>
    </row>
    <row r="360" spans="1:20" ht="36" customHeight="1" x14ac:dyDescent="0.2">
      <c r="A360" s="7">
        <v>357</v>
      </c>
      <c r="B360" s="7">
        <v>468</v>
      </c>
      <c r="C360" s="231" t="s">
        <v>1485</v>
      </c>
      <c r="D360" s="3" t="s">
        <v>98</v>
      </c>
      <c r="E360" s="14" t="s">
        <v>28</v>
      </c>
      <c r="F360" s="7"/>
      <c r="G360" s="7"/>
      <c r="H360" s="7"/>
      <c r="I360" s="3" t="s">
        <v>748</v>
      </c>
      <c r="J360" s="7"/>
      <c r="K360" s="7"/>
      <c r="L360" s="228" t="s">
        <v>460</v>
      </c>
      <c r="M360" s="3"/>
      <c r="N360" s="228" t="s">
        <v>750</v>
      </c>
      <c r="O360" s="3" t="s">
        <v>24</v>
      </c>
      <c r="P360" s="186" t="s">
        <v>24</v>
      </c>
      <c r="Q360" s="222" t="s">
        <v>1486</v>
      </c>
      <c r="R360" s="11"/>
      <c r="S360" s="11"/>
      <c r="T360" s="11"/>
    </row>
    <row r="361" spans="1:20" ht="36" customHeight="1" x14ac:dyDescent="0.2">
      <c r="A361" s="15">
        <v>358</v>
      </c>
      <c r="B361" s="15">
        <v>472</v>
      </c>
      <c r="C361" s="232" t="s">
        <v>1487</v>
      </c>
      <c r="D361" s="16" t="s">
        <v>1488</v>
      </c>
      <c r="E361" s="23" t="s">
        <v>42</v>
      </c>
      <c r="F361" s="15"/>
      <c r="G361" s="15"/>
      <c r="H361" s="15"/>
      <c r="I361" s="16" t="s">
        <v>1489</v>
      </c>
      <c r="J361" s="15"/>
      <c r="K361" s="15"/>
      <c r="L361" s="233" t="s">
        <v>339</v>
      </c>
      <c r="M361" s="16"/>
      <c r="N361" s="233" t="s">
        <v>1490</v>
      </c>
      <c r="O361" s="16" t="s">
        <v>1242</v>
      </c>
      <c r="P361" s="219" t="s">
        <v>1243</v>
      </c>
      <c r="Q361" s="221" t="s">
        <v>1491</v>
      </c>
      <c r="R361" s="11"/>
      <c r="S361" s="11"/>
      <c r="T361" s="11"/>
    </row>
    <row r="362" spans="1:20" ht="36" customHeight="1" x14ac:dyDescent="0.2">
      <c r="A362" s="7">
        <v>359</v>
      </c>
      <c r="B362" s="7">
        <v>473</v>
      </c>
      <c r="C362" s="231" t="s">
        <v>1492</v>
      </c>
      <c r="D362" s="3" t="s">
        <v>234</v>
      </c>
      <c r="E362" s="18" t="s">
        <v>28</v>
      </c>
      <c r="F362" s="7"/>
      <c r="G362" s="7"/>
      <c r="H362" s="7"/>
      <c r="I362" s="3" t="s">
        <v>300</v>
      </c>
      <c r="J362" s="7"/>
      <c r="K362" s="7"/>
      <c r="L362" s="228" t="s">
        <v>779</v>
      </c>
      <c r="M362" s="3"/>
      <c r="N362" s="228" t="s">
        <v>302</v>
      </c>
      <c r="O362" s="3" t="s">
        <v>303</v>
      </c>
      <c r="P362" s="186" t="s">
        <v>304</v>
      </c>
      <c r="Q362" s="222" t="s">
        <v>1493</v>
      </c>
      <c r="R362" s="11"/>
      <c r="S362" s="11"/>
      <c r="T362" s="11"/>
    </row>
    <row r="363" spans="1:20" ht="36" customHeight="1" x14ac:dyDescent="0.2">
      <c r="A363" s="15">
        <v>360</v>
      </c>
      <c r="B363" s="15">
        <v>474</v>
      </c>
      <c r="C363" s="232" t="s">
        <v>1494</v>
      </c>
      <c r="D363" s="16" t="s">
        <v>309</v>
      </c>
      <c r="E363" s="22" t="s">
        <v>28</v>
      </c>
      <c r="F363" s="15"/>
      <c r="G363" s="15"/>
      <c r="H363" s="15"/>
      <c r="I363" s="16" t="s">
        <v>1495</v>
      </c>
      <c r="J363" s="15"/>
      <c r="K363" s="15"/>
      <c r="L363" s="233" t="s">
        <v>339</v>
      </c>
      <c r="M363" s="16"/>
      <c r="N363" s="233" t="s">
        <v>1496</v>
      </c>
      <c r="O363" s="16" t="s">
        <v>1497</v>
      </c>
      <c r="P363" s="219" t="s">
        <v>363</v>
      </c>
      <c r="Q363" s="221" t="s">
        <v>1498</v>
      </c>
      <c r="R363" s="11"/>
      <c r="S363" s="11"/>
      <c r="T363" s="11"/>
    </row>
    <row r="364" spans="1:20" ht="36" customHeight="1" x14ac:dyDescent="0.2">
      <c r="A364" s="7">
        <v>361</v>
      </c>
      <c r="B364" s="7">
        <v>477</v>
      </c>
      <c r="C364" s="231" t="s">
        <v>1499</v>
      </c>
      <c r="D364" s="3" t="s">
        <v>666</v>
      </c>
      <c r="E364" s="18" t="s">
        <v>28</v>
      </c>
      <c r="F364" s="7"/>
      <c r="G364" s="7"/>
      <c r="H364" s="7"/>
      <c r="I364" s="3" t="s">
        <v>229</v>
      </c>
      <c r="J364" s="7"/>
      <c r="K364" s="7"/>
      <c r="L364" s="228" t="s">
        <v>460</v>
      </c>
      <c r="M364" s="3"/>
      <c r="N364" s="228" t="s">
        <v>230</v>
      </c>
      <c r="O364" s="3" t="s">
        <v>24</v>
      </c>
      <c r="P364" s="186" t="s">
        <v>47</v>
      </c>
      <c r="Q364" s="222" t="s">
        <v>1500</v>
      </c>
      <c r="R364" s="11"/>
      <c r="S364" s="11"/>
      <c r="T364" s="11"/>
    </row>
    <row r="365" spans="1:20" ht="36" customHeight="1" x14ac:dyDescent="0.2">
      <c r="A365" s="15">
        <v>362</v>
      </c>
      <c r="B365" s="15">
        <v>480</v>
      </c>
      <c r="C365" s="232" t="s">
        <v>1501</v>
      </c>
      <c r="D365" s="16" t="s">
        <v>1502</v>
      </c>
      <c r="E365" s="19" t="s">
        <v>42</v>
      </c>
      <c r="F365" s="15"/>
      <c r="G365" s="15"/>
      <c r="H365" s="15"/>
      <c r="I365" s="16" t="s">
        <v>917</v>
      </c>
      <c r="J365" s="15"/>
      <c r="K365" s="15"/>
      <c r="L365" s="233" t="s">
        <v>1503</v>
      </c>
      <c r="M365" s="16"/>
      <c r="N365" s="233" t="s">
        <v>919</v>
      </c>
      <c r="O365" s="16" t="s">
        <v>960</v>
      </c>
      <c r="P365" s="219" t="s">
        <v>153</v>
      </c>
      <c r="Q365" s="221" t="s">
        <v>1504</v>
      </c>
      <c r="R365" s="11"/>
      <c r="S365" s="11"/>
      <c r="T365" s="11"/>
    </row>
    <row r="366" spans="1:20" ht="36" customHeight="1" x14ac:dyDescent="0.2">
      <c r="A366" s="7">
        <v>363</v>
      </c>
      <c r="B366" s="7">
        <v>485</v>
      </c>
      <c r="C366" s="231" t="s">
        <v>1505</v>
      </c>
      <c r="D366" s="3" t="s">
        <v>166</v>
      </c>
      <c r="E366" s="18" t="s">
        <v>20</v>
      </c>
      <c r="F366" s="7"/>
      <c r="G366" s="7"/>
      <c r="H366" s="7"/>
      <c r="I366" s="3" t="s">
        <v>652</v>
      </c>
      <c r="J366" s="7"/>
      <c r="K366" s="7"/>
      <c r="L366" s="228" t="s">
        <v>122</v>
      </c>
      <c r="M366" s="3"/>
      <c r="N366" s="228" t="s">
        <v>654</v>
      </c>
      <c r="O366" s="3" t="s">
        <v>24</v>
      </c>
      <c r="P366" s="186" t="s">
        <v>1100</v>
      </c>
      <c r="Q366" s="222" t="s">
        <v>1506</v>
      </c>
      <c r="R366" s="11"/>
      <c r="S366" s="11"/>
      <c r="T366" s="11"/>
    </row>
    <row r="367" spans="1:20" ht="36" customHeight="1" x14ac:dyDescent="0.2">
      <c r="A367" s="15">
        <v>364</v>
      </c>
      <c r="B367" s="15">
        <v>486</v>
      </c>
      <c r="C367" s="232" t="s">
        <v>1507</v>
      </c>
      <c r="D367" s="16" t="s">
        <v>309</v>
      </c>
      <c r="E367" s="17" t="s">
        <v>28</v>
      </c>
      <c r="F367" s="15"/>
      <c r="G367" s="15"/>
      <c r="H367" s="15"/>
      <c r="I367" s="16" t="s">
        <v>507</v>
      </c>
      <c r="J367" s="15"/>
      <c r="K367" s="15"/>
      <c r="L367" s="233" t="s">
        <v>779</v>
      </c>
      <c r="M367" s="16"/>
      <c r="N367" s="233" t="s">
        <v>508</v>
      </c>
      <c r="O367" s="16" t="s">
        <v>24</v>
      </c>
      <c r="P367" s="219" t="s">
        <v>24</v>
      </c>
      <c r="Q367" s="221" t="s">
        <v>1508</v>
      </c>
      <c r="R367" s="11"/>
      <c r="S367" s="11"/>
      <c r="T367" s="11"/>
    </row>
    <row r="368" spans="1:20" ht="36" customHeight="1" x14ac:dyDescent="0.2">
      <c r="A368" s="7">
        <v>365</v>
      </c>
      <c r="B368" s="7">
        <v>489</v>
      </c>
      <c r="C368" s="231" t="s">
        <v>1509</v>
      </c>
      <c r="D368" s="3" t="s">
        <v>1483</v>
      </c>
      <c r="E368" s="14" t="s">
        <v>42</v>
      </c>
      <c r="F368" s="7"/>
      <c r="G368" s="7"/>
      <c r="H368" s="7"/>
      <c r="I368" s="3" t="s">
        <v>300</v>
      </c>
      <c r="J368" s="7"/>
      <c r="K368" s="7"/>
      <c r="L368" s="228" t="s">
        <v>589</v>
      </c>
      <c r="M368" s="3"/>
      <c r="N368" s="228" t="s">
        <v>302</v>
      </c>
      <c r="O368" s="3" t="s">
        <v>648</v>
      </c>
      <c r="P368" s="186" t="s">
        <v>648</v>
      </c>
      <c r="Q368" s="222" t="s">
        <v>1510</v>
      </c>
      <c r="R368" s="11"/>
      <c r="S368" s="11"/>
      <c r="T368" s="11"/>
    </row>
    <row r="369" spans="1:20" ht="36" customHeight="1" x14ac:dyDescent="0.2">
      <c r="A369" s="15">
        <v>366</v>
      </c>
      <c r="B369" s="15">
        <v>490</v>
      </c>
      <c r="C369" s="232" t="s">
        <v>1511</v>
      </c>
      <c r="D369" s="16" t="s">
        <v>1512</v>
      </c>
      <c r="E369" s="17" t="s">
        <v>28</v>
      </c>
      <c r="F369" s="15"/>
      <c r="G369" s="15"/>
      <c r="H369" s="15"/>
      <c r="I369" s="16" t="s">
        <v>617</v>
      </c>
      <c r="J369" s="15"/>
      <c r="K369" s="15"/>
      <c r="L369" s="233" t="s">
        <v>749</v>
      </c>
      <c r="M369" s="16"/>
      <c r="N369" s="233" t="s">
        <v>619</v>
      </c>
      <c r="O369" s="16" t="s">
        <v>648</v>
      </c>
      <c r="P369" s="219" t="s">
        <v>648</v>
      </c>
      <c r="Q369" s="221" t="s">
        <v>1513</v>
      </c>
      <c r="R369" s="11"/>
      <c r="S369" s="11"/>
      <c r="T369" s="11"/>
    </row>
    <row r="370" spans="1:20" ht="36" customHeight="1" x14ac:dyDescent="0.2">
      <c r="A370" s="7">
        <v>367</v>
      </c>
      <c r="B370" s="7">
        <v>493</v>
      </c>
      <c r="C370" s="231" t="s">
        <v>1514</v>
      </c>
      <c r="D370" s="3" t="s">
        <v>1515</v>
      </c>
      <c r="E370" s="20" t="s">
        <v>42</v>
      </c>
      <c r="F370" s="7"/>
      <c r="G370" s="7"/>
      <c r="H370" s="7"/>
      <c r="I370" s="3" t="s">
        <v>1076</v>
      </c>
      <c r="J370" s="7"/>
      <c r="K370" s="7"/>
      <c r="L370" s="228" t="s">
        <v>58</v>
      </c>
      <c r="M370" s="3"/>
      <c r="N370" s="228" t="s">
        <v>1077</v>
      </c>
      <c r="O370" s="3" t="s">
        <v>326</v>
      </c>
      <c r="P370" s="186" t="s">
        <v>24</v>
      </c>
      <c r="Q370" s="222" t="s">
        <v>1516</v>
      </c>
      <c r="R370" s="11"/>
      <c r="S370" s="11"/>
      <c r="T370" s="11"/>
    </row>
    <row r="371" spans="1:20" ht="36" customHeight="1" x14ac:dyDescent="0.2">
      <c r="A371" s="15">
        <v>368</v>
      </c>
      <c r="B371" s="15">
        <v>494</v>
      </c>
      <c r="C371" s="232" t="s">
        <v>1517</v>
      </c>
      <c r="D371" s="16" t="s">
        <v>1518</v>
      </c>
      <c r="E371" s="17" t="s">
        <v>28</v>
      </c>
      <c r="F371" s="15"/>
      <c r="G371" s="15"/>
      <c r="H371" s="15"/>
      <c r="I371" s="16" t="s">
        <v>507</v>
      </c>
      <c r="J371" s="15"/>
      <c r="K371" s="15"/>
      <c r="L371" s="233" t="s">
        <v>1519</v>
      </c>
      <c r="M371" s="16"/>
      <c r="N371" s="233" t="s">
        <v>508</v>
      </c>
      <c r="O371" s="16" t="s">
        <v>1520</v>
      </c>
      <c r="P371" s="219" t="s">
        <v>1327</v>
      </c>
      <c r="Q371" s="221" t="s">
        <v>1521</v>
      </c>
      <c r="R371" s="11"/>
      <c r="S371" s="11"/>
      <c r="T371" s="11"/>
    </row>
    <row r="372" spans="1:20" ht="36" customHeight="1" x14ac:dyDescent="0.2">
      <c r="A372" s="7">
        <v>369</v>
      </c>
      <c r="B372" s="7">
        <v>496</v>
      </c>
      <c r="C372" s="231" t="s">
        <v>1522</v>
      </c>
      <c r="D372" s="3" t="s">
        <v>1472</v>
      </c>
      <c r="E372" s="21" t="s">
        <v>20</v>
      </c>
      <c r="F372" s="7"/>
      <c r="G372" s="7"/>
      <c r="H372" s="7"/>
      <c r="I372" s="3" t="s">
        <v>540</v>
      </c>
      <c r="J372" s="7"/>
      <c r="K372" s="7"/>
      <c r="L372" s="228" t="s">
        <v>657</v>
      </c>
      <c r="M372" s="3"/>
      <c r="N372" s="228" t="s">
        <v>542</v>
      </c>
      <c r="O372" s="3" t="s">
        <v>24</v>
      </c>
      <c r="P372" s="186" t="s">
        <v>24</v>
      </c>
      <c r="Q372" s="222" t="s">
        <v>1523</v>
      </c>
      <c r="R372" s="11"/>
      <c r="S372" s="11"/>
      <c r="T372" s="11"/>
    </row>
    <row r="373" spans="1:20" ht="36" customHeight="1" x14ac:dyDescent="0.2">
      <c r="A373" s="15">
        <v>370</v>
      </c>
      <c r="B373" s="15">
        <v>498</v>
      </c>
      <c r="C373" s="232" t="s">
        <v>1524</v>
      </c>
      <c r="D373" s="16" t="s">
        <v>283</v>
      </c>
      <c r="E373" s="23" t="s">
        <v>28</v>
      </c>
      <c r="F373" s="15"/>
      <c r="G373" s="15"/>
      <c r="H373" s="15"/>
      <c r="I373" s="16" t="s">
        <v>652</v>
      </c>
      <c r="J373" s="15"/>
      <c r="K373" s="15"/>
      <c r="L373" s="233" t="s">
        <v>90</v>
      </c>
      <c r="M373" s="16"/>
      <c r="N373" s="233" t="s">
        <v>654</v>
      </c>
      <c r="O373" s="16" t="s">
        <v>363</v>
      </c>
      <c r="P373" s="219" t="s">
        <v>47</v>
      </c>
      <c r="Q373" s="221" t="s">
        <v>1525</v>
      </c>
      <c r="R373" s="11"/>
      <c r="S373" s="11"/>
      <c r="T373" s="11"/>
    </row>
    <row r="374" spans="1:20" ht="36" customHeight="1" x14ac:dyDescent="0.2">
      <c r="A374" s="7">
        <v>371</v>
      </c>
      <c r="B374" s="7">
        <v>501</v>
      </c>
      <c r="C374" s="231" t="s">
        <v>1526</v>
      </c>
      <c r="D374" s="3" t="s">
        <v>518</v>
      </c>
      <c r="E374" s="18" t="s">
        <v>20</v>
      </c>
      <c r="F374" s="7"/>
      <c r="G374" s="7"/>
      <c r="H374" s="7"/>
      <c r="I374" s="3" t="s">
        <v>1527</v>
      </c>
      <c r="J374" s="7"/>
      <c r="K374" s="7"/>
      <c r="L374" s="228" t="s">
        <v>339</v>
      </c>
      <c r="M374" s="3"/>
      <c r="N374" s="228" t="s">
        <v>1528</v>
      </c>
      <c r="O374" s="3" t="s">
        <v>24</v>
      </c>
      <c r="P374" s="186" t="s">
        <v>503</v>
      </c>
      <c r="Q374" s="222" t="s">
        <v>1529</v>
      </c>
      <c r="R374" s="11"/>
      <c r="S374" s="11"/>
      <c r="T374" s="11"/>
    </row>
    <row r="375" spans="1:20" ht="36" customHeight="1" x14ac:dyDescent="0.2">
      <c r="A375" s="15">
        <v>372</v>
      </c>
      <c r="B375" s="15">
        <v>502</v>
      </c>
      <c r="C375" s="232" t="s">
        <v>1530</v>
      </c>
      <c r="D375" s="16" t="s">
        <v>1531</v>
      </c>
      <c r="E375" s="19" t="s">
        <v>42</v>
      </c>
      <c r="F375" s="15"/>
      <c r="G375" s="15"/>
      <c r="H375" s="15"/>
      <c r="I375" s="16" t="s">
        <v>1532</v>
      </c>
      <c r="J375" s="15"/>
      <c r="K375" s="15"/>
      <c r="L375" s="233" t="s">
        <v>339</v>
      </c>
      <c r="M375" s="16"/>
      <c r="N375" s="233" t="s">
        <v>1533</v>
      </c>
      <c r="O375" s="16" t="s">
        <v>326</v>
      </c>
      <c r="P375" s="219" t="s">
        <v>24</v>
      </c>
      <c r="Q375" s="221" t="s">
        <v>1534</v>
      </c>
      <c r="R375" s="11"/>
      <c r="S375" s="11"/>
      <c r="T375" s="11"/>
    </row>
    <row r="376" spans="1:20" ht="36" customHeight="1" x14ac:dyDescent="0.2">
      <c r="A376" s="7">
        <v>373</v>
      </c>
      <c r="B376" s="7">
        <v>503</v>
      </c>
      <c r="C376" s="231" t="s">
        <v>1535</v>
      </c>
      <c r="D376" s="3" t="s">
        <v>466</v>
      </c>
      <c r="E376" s="21" t="s">
        <v>28</v>
      </c>
      <c r="F376" s="7"/>
      <c r="G376" s="7"/>
      <c r="H376" s="7"/>
      <c r="I376" s="3" t="s">
        <v>540</v>
      </c>
      <c r="J376" s="7"/>
      <c r="K376" s="7"/>
      <c r="L376" s="228" t="s">
        <v>918</v>
      </c>
      <c r="M376" s="3"/>
      <c r="N376" s="228" t="s">
        <v>542</v>
      </c>
      <c r="O376" s="3" t="s">
        <v>24</v>
      </c>
      <c r="P376" s="186" t="s">
        <v>24</v>
      </c>
      <c r="Q376" s="222" t="s">
        <v>1536</v>
      </c>
      <c r="R376" s="11"/>
      <c r="S376" s="11"/>
      <c r="T376" s="11"/>
    </row>
    <row r="377" spans="1:20" ht="36" customHeight="1" x14ac:dyDescent="0.2">
      <c r="A377" s="15">
        <v>374</v>
      </c>
      <c r="B377" s="15">
        <v>504</v>
      </c>
      <c r="C377" s="232" t="s">
        <v>1537</v>
      </c>
      <c r="D377" s="16" t="s">
        <v>62</v>
      </c>
      <c r="E377" s="22" t="s">
        <v>20</v>
      </c>
      <c r="F377" s="15"/>
      <c r="G377" s="15"/>
      <c r="H377" s="15"/>
      <c r="I377" s="16" t="s">
        <v>1538</v>
      </c>
      <c r="J377" s="15"/>
      <c r="K377" s="15"/>
      <c r="L377" s="233" t="s">
        <v>339</v>
      </c>
      <c r="M377" s="16"/>
      <c r="N377" s="233" t="s">
        <v>1539</v>
      </c>
      <c r="O377" s="16" t="s">
        <v>65</v>
      </c>
      <c r="P377" s="219" t="s">
        <v>65</v>
      </c>
      <c r="Q377" s="221" t="s">
        <v>1540</v>
      </c>
      <c r="R377" s="11"/>
      <c r="S377" s="11"/>
      <c r="T377" s="11"/>
    </row>
    <row r="378" spans="1:20" ht="36" customHeight="1" x14ac:dyDescent="0.2">
      <c r="A378" s="7">
        <v>375</v>
      </c>
      <c r="B378" s="7">
        <v>507</v>
      </c>
      <c r="C378" s="231" t="s">
        <v>1541</v>
      </c>
      <c r="D378" s="3" t="s">
        <v>62</v>
      </c>
      <c r="E378" s="18" t="s">
        <v>20</v>
      </c>
      <c r="F378" s="7"/>
      <c r="G378" s="7"/>
      <c r="H378" s="7"/>
      <c r="I378" s="3" t="s">
        <v>1542</v>
      </c>
      <c r="J378" s="7"/>
      <c r="K378" s="7"/>
      <c r="L378" s="228"/>
      <c r="M378" s="3"/>
      <c r="N378" s="228" t="s">
        <v>1543</v>
      </c>
      <c r="O378" s="3" t="s">
        <v>24</v>
      </c>
      <c r="P378" s="186" t="s">
        <v>24</v>
      </c>
      <c r="Q378" s="222" t="s">
        <v>1544</v>
      </c>
      <c r="R378" s="11"/>
      <c r="S378" s="11"/>
      <c r="T378" s="11"/>
    </row>
    <row r="379" spans="1:20" ht="36" customHeight="1" x14ac:dyDescent="0.2">
      <c r="A379" s="15">
        <v>376</v>
      </c>
      <c r="B379" s="15">
        <v>509</v>
      </c>
      <c r="C379" s="232" t="s">
        <v>1545</v>
      </c>
      <c r="D379" s="16" t="s">
        <v>1258</v>
      </c>
      <c r="E379" s="19" t="s">
        <v>20</v>
      </c>
      <c r="F379" s="15"/>
      <c r="G379" s="15"/>
      <c r="H379" s="15"/>
      <c r="I379" s="16" t="s">
        <v>507</v>
      </c>
      <c r="J379" s="15"/>
      <c r="K379" s="15"/>
      <c r="L379" s="233" t="s">
        <v>918</v>
      </c>
      <c r="M379" s="16"/>
      <c r="N379" s="233" t="s">
        <v>508</v>
      </c>
      <c r="O379" s="16" t="s">
        <v>24</v>
      </c>
      <c r="P379" s="219" t="s">
        <v>24</v>
      </c>
      <c r="Q379" s="221" t="s">
        <v>1546</v>
      </c>
      <c r="R379" s="11"/>
      <c r="S379" s="11"/>
      <c r="T379" s="11"/>
    </row>
    <row r="380" spans="1:20" ht="36" customHeight="1" x14ac:dyDescent="0.2">
      <c r="A380" s="7">
        <v>377</v>
      </c>
      <c r="B380" s="7">
        <v>514</v>
      </c>
      <c r="C380" s="231" t="s">
        <v>1547</v>
      </c>
      <c r="D380" s="3" t="s">
        <v>1086</v>
      </c>
      <c r="E380" s="18" t="s">
        <v>42</v>
      </c>
      <c r="F380" s="7"/>
      <c r="G380" s="7"/>
      <c r="H380" s="7"/>
      <c r="I380" s="3" t="s">
        <v>507</v>
      </c>
      <c r="J380" s="7"/>
      <c r="K380" s="7"/>
      <c r="L380" s="228" t="s">
        <v>779</v>
      </c>
      <c r="M380" s="3"/>
      <c r="N380" s="228" t="s">
        <v>508</v>
      </c>
      <c r="O380" s="3" t="s">
        <v>1548</v>
      </c>
      <c r="P380" s="186" t="s">
        <v>24</v>
      </c>
      <c r="Q380" s="222" t="s">
        <v>1549</v>
      </c>
      <c r="R380" s="11"/>
      <c r="S380" s="11"/>
      <c r="T380" s="11"/>
    </row>
    <row r="381" spans="1:20" ht="36" customHeight="1" x14ac:dyDescent="0.2">
      <c r="A381" s="15">
        <v>378</v>
      </c>
      <c r="B381" s="15">
        <v>515</v>
      </c>
      <c r="C381" s="232" t="s">
        <v>1550</v>
      </c>
      <c r="D381" s="16" t="s">
        <v>534</v>
      </c>
      <c r="E381" s="22" t="s">
        <v>28</v>
      </c>
      <c r="F381" s="15"/>
      <c r="G381" s="15"/>
      <c r="H381" s="15"/>
      <c r="I381" s="16" t="s">
        <v>569</v>
      </c>
      <c r="J381" s="15"/>
      <c r="K381" s="15"/>
      <c r="L381" s="233" t="s">
        <v>460</v>
      </c>
      <c r="M381" s="16"/>
      <c r="N381" s="233" t="s">
        <v>571</v>
      </c>
      <c r="O381" s="16" t="s">
        <v>24</v>
      </c>
      <c r="P381" s="219" t="s">
        <v>24</v>
      </c>
      <c r="Q381" s="221" t="s">
        <v>1551</v>
      </c>
      <c r="R381" s="11"/>
      <c r="S381" s="11"/>
      <c r="T381" s="11"/>
    </row>
    <row r="382" spans="1:20" ht="36" customHeight="1" x14ac:dyDescent="0.2">
      <c r="A382" s="7">
        <v>379</v>
      </c>
      <c r="B382" s="7">
        <v>516</v>
      </c>
      <c r="C382" s="231" t="s">
        <v>1552</v>
      </c>
      <c r="D382" s="3" t="s">
        <v>50</v>
      </c>
      <c r="E382" s="21" t="s">
        <v>28</v>
      </c>
      <c r="F382" s="7"/>
      <c r="G382" s="7"/>
      <c r="H382" s="7"/>
      <c r="I382" s="3" t="s">
        <v>507</v>
      </c>
      <c r="J382" s="7"/>
      <c r="K382" s="7"/>
      <c r="L382" s="228" t="s">
        <v>1553</v>
      </c>
      <c r="M382" s="3"/>
      <c r="N382" s="228" t="s">
        <v>508</v>
      </c>
      <c r="O382" s="3" t="s">
        <v>24</v>
      </c>
      <c r="P382" s="186" t="s">
        <v>24</v>
      </c>
      <c r="Q382" s="222" t="s">
        <v>1554</v>
      </c>
      <c r="R382" s="11"/>
      <c r="S382" s="11"/>
      <c r="T382" s="11"/>
    </row>
    <row r="383" spans="1:20" ht="36" customHeight="1" x14ac:dyDescent="0.2">
      <c r="A383" s="15">
        <v>380</v>
      </c>
      <c r="B383" s="15">
        <v>518</v>
      </c>
      <c r="C383" s="232" t="s">
        <v>1555</v>
      </c>
      <c r="D383" s="16" t="s">
        <v>309</v>
      </c>
      <c r="E383" s="23" t="s">
        <v>28</v>
      </c>
      <c r="F383" s="15"/>
      <c r="G383" s="15"/>
      <c r="H383" s="15"/>
      <c r="I383" s="16" t="s">
        <v>507</v>
      </c>
      <c r="J383" s="15"/>
      <c r="K383" s="15"/>
      <c r="L383" s="233" t="s">
        <v>1556</v>
      </c>
      <c r="M383" s="16"/>
      <c r="N383" s="233" t="s">
        <v>508</v>
      </c>
      <c r="O383" s="16" t="s">
        <v>1520</v>
      </c>
      <c r="P383" s="219" t="s">
        <v>1327</v>
      </c>
      <c r="Q383" s="221" t="s">
        <v>1557</v>
      </c>
      <c r="R383" s="11"/>
      <c r="S383" s="11"/>
      <c r="T383" s="11"/>
    </row>
    <row r="384" spans="1:20" ht="36" customHeight="1" x14ac:dyDescent="0.2">
      <c r="A384" s="7">
        <v>381</v>
      </c>
      <c r="B384" s="7">
        <v>523</v>
      </c>
      <c r="C384" s="231" t="s">
        <v>1558</v>
      </c>
      <c r="D384" s="3" t="s">
        <v>1559</v>
      </c>
      <c r="E384" s="18" t="s">
        <v>28</v>
      </c>
      <c r="F384" s="7"/>
      <c r="G384" s="7"/>
      <c r="H384" s="7"/>
      <c r="I384" s="3" t="s">
        <v>704</v>
      </c>
      <c r="J384" s="7"/>
      <c r="K384" s="7"/>
      <c r="L384" s="228" t="s">
        <v>787</v>
      </c>
      <c r="M384" s="3"/>
      <c r="N384" s="228" t="s">
        <v>705</v>
      </c>
      <c r="O384" s="3" t="s">
        <v>24</v>
      </c>
      <c r="P384" s="186" t="s">
        <v>24</v>
      </c>
      <c r="Q384" s="222" t="s">
        <v>1560</v>
      </c>
      <c r="R384" s="11"/>
      <c r="S384" s="11"/>
      <c r="T384" s="11"/>
    </row>
    <row r="385" spans="1:20" ht="36" customHeight="1" x14ac:dyDescent="0.2">
      <c r="A385" s="15">
        <v>382</v>
      </c>
      <c r="B385" s="15">
        <v>525</v>
      </c>
      <c r="C385" s="232" t="s">
        <v>1561</v>
      </c>
      <c r="D385" s="16" t="s">
        <v>1559</v>
      </c>
      <c r="E385" s="19" t="s">
        <v>28</v>
      </c>
      <c r="F385" s="15"/>
      <c r="G385" s="15"/>
      <c r="H385" s="15"/>
      <c r="I385" s="16" t="s">
        <v>704</v>
      </c>
      <c r="J385" s="15"/>
      <c r="K385" s="15"/>
      <c r="L385" s="233" t="s">
        <v>74</v>
      </c>
      <c r="M385" s="16"/>
      <c r="N385" s="233" t="s">
        <v>705</v>
      </c>
      <c r="O385" s="16" t="s">
        <v>24</v>
      </c>
      <c r="P385" s="219" t="s">
        <v>24</v>
      </c>
      <c r="Q385" s="221" t="s">
        <v>1562</v>
      </c>
      <c r="R385" s="11"/>
      <c r="S385" s="11"/>
      <c r="T385" s="11"/>
    </row>
    <row r="386" spans="1:20" ht="36" customHeight="1" x14ac:dyDescent="0.2">
      <c r="A386" s="7">
        <v>383</v>
      </c>
      <c r="B386" s="7">
        <v>528</v>
      </c>
      <c r="C386" s="231" t="s">
        <v>1563</v>
      </c>
      <c r="D386" s="3" t="s">
        <v>1564</v>
      </c>
      <c r="E386" s="18" t="s">
        <v>28</v>
      </c>
      <c r="F386" s="7"/>
      <c r="G386" s="7"/>
      <c r="H386" s="7"/>
      <c r="I386" s="3" t="s">
        <v>512</v>
      </c>
      <c r="J386" s="7"/>
      <c r="K386" s="7"/>
      <c r="L386" s="228" t="s">
        <v>981</v>
      </c>
      <c r="M386" s="3"/>
      <c r="N386" s="228" t="s">
        <v>513</v>
      </c>
      <c r="O386" s="3" t="s">
        <v>65</v>
      </c>
      <c r="P386" s="186" t="s">
        <v>47</v>
      </c>
      <c r="Q386" s="222" t="s">
        <v>1565</v>
      </c>
      <c r="R386" s="11"/>
      <c r="S386" s="11"/>
      <c r="T386" s="11"/>
    </row>
    <row r="387" spans="1:20" ht="36" customHeight="1" x14ac:dyDescent="0.2">
      <c r="A387" s="15">
        <v>384</v>
      </c>
      <c r="B387" s="15">
        <v>529</v>
      </c>
      <c r="C387" s="232" t="s">
        <v>1566</v>
      </c>
      <c r="D387" s="16" t="s">
        <v>1106</v>
      </c>
      <c r="E387" s="19" t="s">
        <v>28</v>
      </c>
      <c r="F387" s="15"/>
      <c r="G387" s="15"/>
      <c r="H387" s="15"/>
      <c r="I387" s="16" t="s">
        <v>617</v>
      </c>
      <c r="J387" s="15"/>
      <c r="K387" s="15"/>
      <c r="L387" s="233" t="s">
        <v>589</v>
      </c>
      <c r="M387" s="16"/>
      <c r="N387" s="233" t="s">
        <v>619</v>
      </c>
      <c r="O387" s="16" t="s">
        <v>363</v>
      </c>
      <c r="P387" s="219" t="s">
        <v>363</v>
      </c>
      <c r="Q387" s="221" t="s">
        <v>1567</v>
      </c>
      <c r="R387" s="11"/>
      <c r="S387" s="11"/>
      <c r="T387" s="11"/>
    </row>
    <row r="388" spans="1:20" ht="36" customHeight="1" x14ac:dyDescent="0.2">
      <c r="A388" s="7">
        <v>385</v>
      </c>
      <c r="B388" s="7">
        <v>530</v>
      </c>
      <c r="C388" s="231" t="s">
        <v>1568</v>
      </c>
      <c r="D388" s="3" t="s">
        <v>518</v>
      </c>
      <c r="E388" s="21" t="s">
        <v>20</v>
      </c>
      <c r="F388" s="7"/>
      <c r="G388" s="7"/>
      <c r="H388" s="7"/>
      <c r="I388" s="3" t="s">
        <v>1569</v>
      </c>
      <c r="J388" s="7"/>
      <c r="K388" s="7"/>
      <c r="L388" s="228" t="s">
        <v>339</v>
      </c>
      <c r="M388" s="3"/>
      <c r="N388" s="228" t="s">
        <v>1570</v>
      </c>
      <c r="O388" s="3" t="s">
        <v>24</v>
      </c>
      <c r="P388" s="186" t="s">
        <v>503</v>
      </c>
      <c r="Q388" s="222" t="s">
        <v>1571</v>
      </c>
      <c r="R388" s="11"/>
      <c r="S388" s="11"/>
      <c r="T388" s="11"/>
    </row>
    <row r="389" spans="1:20" ht="36" customHeight="1" x14ac:dyDescent="0.2">
      <c r="A389" s="15">
        <v>386</v>
      </c>
      <c r="B389" s="15">
        <v>532</v>
      </c>
      <c r="C389" s="232" t="s">
        <v>1572</v>
      </c>
      <c r="D389" s="16" t="s">
        <v>19</v>
      </c>
      <c r="E389" s="19" t="s">
        <v>28</v>
      </c>
      <c r="F389" s="15"/>
      <c r="G389" s="15"/>
      <c r="H389" s="15"/>
      <c r="I389" s="16" t="s">
        <v>704</v>
      </c>
      <c r="J389" s="15"/>
      <c r="K389" s="15"/>
      <c r="L389" s="233" t="s">
        <v>460</v>
      </c>
      <c r="M389" s="16"/>
      <c r="N389" s="233" t="s">
        <v>705</v>
      </c>
      <c r="O389" s="16" t="s">
        <v>24</v>
      </c>
      <c r="P389" s="219" t="s">
        <v>24</v>
      </c>
      <c r="Q389" s="221" t="s">
        <v>1573</v>
      </c>
      <c r="R389" s="11"/>
      <c r="S389" s="11"/>
      <c r="T389" s="11"/>
    </row>
    <row r="390" spans="1:20" ht="36" customHeight="1" x14ac:dyDescent="0.2">
      <c r="A390" s="7">
        <v>387</v>
      </c>
      <c r="B390" s="7">
        <v>535</v>
      </c>
      <c r="C390" s="231" t="s">
        <v>1574</v>
      </c>
      <c r="D390" s="3" t="s">
        <v>1575</v>
      </c>
      <c r="E390" s="18" t="s">
        <v>28</v>
      </c>
      <c r="F390" s="7"/>
      <c r="G390" s="7"/>
      <c r="H390" s="7"/>
      <c r="I390" s="3" t="s">
        <v>704</v>
      </c>
      <c r="J390" s="7"/>
      <c r="K390" s="7"/>
      <c r="L390" s="228" t="s">
        <v>749</v>
      </c>
      <c r="M390" s="3"/>
      <c r="N390" s="228" t="s">
        <v>705</v>
      </c>
      <c r="O390" s="3" t="s">
        <v>24</v>
      </c>
      <c r="P390" s="186" t="s">
        <v>24</v>
      </c>
      <c r="Q390" s="222" t="s">
        <v>1576</v>
      </c>
      <c r="R390" s="11"/>
      <c r="S390" s="11"/>
      <c r="T390" s="11"/>
    </row>
    <row r="391" spans="1:20" ht="36" customHeight="1" x14ac:dyDescent="0.2">
      <c r="A391" s="15">
        <v>388</v>
      </c>
      <c r="B391" s="15">
        <v>540</v>
      </c>
      <c r="C391" s="232" t="s">
        <v>1577</v>
      </c>
      <c r="D391" s="16" t="s">
        <v>41</v>
      </c>
      <c r="E391" s="19" t="s">
        <v>28</v>
      </c>
      <c r="F391" s="15"/>
      <c r="G391" s="15"/>
      <c r="H391" s="15"/>
      <c r="I391" s="16" t="s">
        <v>512</v>
      </c>
      <c r="J391" s="15"/>
      <c r="K391" s="15"/>
      <c r="L391" s="233" t="s">
        <v>90</v>
      </c>
      <c r="M391" s="16"/>
      <c r="N391" s="233" t="s">
        <v>513</v>
      </c>
      <c r="O391" s="16" t="s">
        <v>65</v>
      </c>
      <c r="P391" s="219" t="s">
        <v>47</v>
      </c>
      <c r="Q391" s="221" t="s">
        <v>1578</v>
      </c>
      <c r="R391" s="11"/>
      <c r="S391" s="11"/>
      <c r="T391" s="11"/>
    </row>
    <row r="392" spans="1:20" ht="36" customHeight="1" x14ac:dyDescent="0.2">
      <c r="A392" s="7">
        <v>389</v>
      </c>
      <c r="B392" s="7">
        <v>541</v>
      </c>
      <c r="C392" s="231" t="s">
        <v>1579</v>
      </c>
      <c r="D392" s="3" t="s">
        <v>611</v>
      </c>
      <c r="E392" s="21" t="s">
        <v>20</v>
      </c>
      <c r="F392" s="7"/>
      <c r="G392" s="7"/>
      <c r="H392" s="7"/>
      <c r="I392" s="3" t="s">
        <v>689</v>
      </c>
      <c r="J392" s="7"/>
      <c r="K392" s="7"/>
      <c r="L392" s="228" t="s">
        <v>183</v>
      </c>
      <c r="M392" s="3"/>
      <c r="N392" s="228" t="s">
        <v>690</v>
      </c>
      <c r="O392" s="3" t="s">
        <v>24</v>
      </c>
      <c r="P392" s="186" t="s">
        <v>1096</v>
      </c>
      <c r="Q392" s="222" t="s">
        <v>1580</v>
      </c>
      <c r="R392" s="11"/>
      <c r="S392" s="11"/>
      <c r="T392" s="11"/>
    </row>
    <row r="393" spans="1:20" ht="36" customHeight="1" x14ac:dyDescent="0.2">
      <c r="A393" s="15">
        <v>390</v>
      </c>
      <c r="B393" s="15">
        <v>542</v>
      </c>
      <c r="C393" s="232" t="s">
        <v>1581</v>
      </c>
      <c r="D393" s="16" t="s">
        <v>1106</v>
      </c>
      <c r="E393" s="23" t="s">
        <v>28</v>
      </c>
      <c r="F393" s="15"/>
      <c r="G393" s="15"/>
      <c r="H393" s="15"/>
      <c r="I393" s="16" t="s">
        <v>617</v>
      </c>
      <c r="J393" s="15"/>
      <c r="K393" s="15"/>
      <c r="L393" s="233" t="s">
        <v>1582</v>
      </c>
      <c r="M393" s="16"/>
      <c r="N393" s="233" t="s">
        <v>619</v>
      </c>
      <c r="O393" s="16" t="s">
        <v>81</v>
      </c>
      <c r="P393" s="219" t="s">
        <v>81</v>
      </c>
      <c r="Q393" s="221" t="s">
        <v>1583</v>
      </c>
      <c r="R393" s="11"/>
      <c r="S393" s="11"/>
      <c r="T393" s="11"/>
    </row>
    <row r="394" spans="1:20" ht="36" customHeight="1" x14ac:dyDescent="0.2">
      <c r="A394" s="7">
        <v>391</v>
      </c>
      <c r="B394" s="7">
        <v>543</v>
      </c>
      <c r="C394" s="231" t="s">
        <v>1584</v>
      </c>
      <c r="D394" s="3" t="s">
        <v>500</v>
      </c>
      <c r="E394" s="18" t="s">
        <v>20</v>
      </c>
      <c r="F394" s="7"/>
      <c r="G394" s="7"/>
      <c r="H394" s="7"/>
      <c r="I394" s="3" t="s">
        <v>569</v>
      </c>
      <c r="J394" s="7"/>
      <c r="K394" s="7"/>
      <c r="L394" s="228" t="s">
        <v>1585</v>
      </c>
      <c r="M394" s="3"/>
      <c r="N394" s="228" t="s">
        <v>571</v>
      </c>
      <c r="O394" s="3" t="s">
        <v>24</v>
      </c>
      <c r="P394" s="186" t="s">
        <v>503</v>
      </c>
      <c r="Q394" s="222" t="s">
        <v>1586</v>
      </c>
      <c r="R394" s="11"/>
      <c r="S394" s="11"/>
      <c r="T394" s="11"/>
    </row>
    <row r="395" spans="1:20" ht="36" customHeight="1" x14ac:dyDescent="0.2">
      <c r="A395" s="15">
        <v>392</v>
      </c>
      <c r="B395" s="15">
        <v>545</v>
      </c>
      <c r="C395" s="232" t="s">
        <v>1587</v>
      </c>
      <c r="D395" s="16" t="s">
        <v>879</v>
      </c>
      <c r="E395" s="19" t="s">
        <v>28</v>
      </c>
      <c r="F395" s="15"/>
      <c r="G395" s="15"/>
      <c r="H395" s="15"/>
      <c r="I395" s="16" t="s">
        <v>569</v>
      </c>
      <c r="J395" s="15"/>
      <c r="K395" s="15"/>
      <c r="L395" s="233" t="s">
        <v>589</v>
      </c>
      <c r="M395" s="16"/>
      <c r="N395" s="233" t="s">
        <v>571</v>
      </c>
      <c r="O395" s="16" t="s">
        <v>24</v>
      </c>
      <c r="P395" s="219" t="s">
        <v>503</v>
      </c>
      <c r="Q395" s="221" t="s">
        <v>1588</v>
      </c>
      <c r="R395" s="11"/>
      <c r="S395" s="11"/>
      <c r="T395" s="11"/>
    </row>
    <row r="396" spans="1:20" ht="36" customHeight="1" x14ac:dyDescent="0.2">
      <c r="A396" s="7">
        <v>393</v>
      </c>
      <c r="B396" s="7">
        <v>547</v>
      </c>
      <c r="C396" s="231" t="s">
        <v>1589</v>
      </c>
      <c r="D396" s="3" t="s">
        <v>1050</v>
      </c>
      <c r="E396" s="18" t="s">
        <v>28</v>
      </c>
      <c r="F396" s="7"/>
      <c r="G396" s="7"/>
      <c r="H396" s="7"/>
      <c r="I396" s="3" t="s">
        <v>617</v>
      </c>
      <c r="J396" s="7"/>
      <c r="K396" s="7"/>
      <c r="L396" s="228" t="s">
        <v>367</v>
      </c>
      <c r="M396" s="3"/>
      <c r="N396" s="228" t="s">
        <v>619</v>
      </c>
      <c r="O396" s="3" t="s">
        <v>648</v>
      </c>
      <c r="P396" s="186" t="s">
        <v>648</v>
      </c>
      <c r="Q396" s="222" t="s">
        <v>1590</v>
      </c>
      <c r="R396" s="11"/>
      <c r="S396" s="11"/>
      <c r="T396" s="11"/>
    </row>
    <row r="397" spans="1:20" ht="36" customHeight="1" x14ac:dyDescent="0.2">
      <c r="A397" s="15">
        <v>394</v>
      </c>
      <c r="B397" s="15">
        <v>549</v>
      </c>
      <c r="C397" s="232" t="s">
        <v>1591</v>
      </c>
      <c r="D397" s="16" t="s">
        <v>500</v>
      </c>
      <c r="E397" s="19" t="s">
        <v>28</v>
      </c>
      <c r="F397" s="15"/>
      <c r="G397" s="15"/>
      <c r="H397" s="15"/>
      <c r="I397" s="16" t="s">
        <v>569</v>
      </c>
      <c r="J397" s="15"/>
      <c r="K397" s="15"/>
      <c r="L397" s="233"/>
      <c r="M397" s="16"/>
      <c r="N397" s="233" t="s">
        <v>571</v>
      </c>
      <c r="O397" s="16" t="s">
        <v>24</v>
      </c>
      <c r="P397" s="219" t="s">
        <v>503</v>
      </c>
      <c r="Q397" s="221" t="s">
        <v>1592</v>
      </c>
      <c r="R397" s="11"/>
      <c r="S397" s="11"/>
      <c r="T397" s="11"/>
    </row>
    <row r="398" spans="1:20" ht="36" customHeight="1" x14ac:dyDescent="0.2">
      <c r="A398" s="7">
        <v>395</v>
      </c>
      <c r="B398" s="7">
        <v>550</v>
      </c>
      <c r="C398" s="231" t="s">
        <v>1593</v>
      </c>
      <c r="D398" s="3" t="s">
        <v>866</v>
      </c>
      <c r="E398" s="14" t="s">
        <v>28</v>
      </c>
      <c r="F398" s="7"/>
      <c r="G398" s="7"/>
      <c r="H398" s="7"/>
      <c r="I398" s="3" t="s">
        <v>1594</v>
      </c>
      <c r="J398" s="7"/>
      <c r="K398" s="7"/>
      <c r="L398" s="228"/>
      <c r="M398" s="3"/>
      <c r="N398" s="228" t="s">
        <v>1595</v>
      </c>
      <c r="O398" s="3" t="s">
        <v>24</v>
      </c>
      <c r="P398" s="186" t="s">
        <v>24</v>
      </c>
      <c r="Q398" s="222" t="s">
        <v>1596</v>
      </c>
      <c r="R398" s="11"/>
      <c r="S398" s="11"/>
      <c r="T398" s="11"/>
    </row>
    <row r="399" spans="1:20" ht="36" customHeight="1" x14ac:dyDescent="0.2">
      <c r="A399" s="15">
        <v>396</v>
      </c>
      <c r="B399" s="15">
        <v>554</v>
      </c>
      <c r="C399" s="232" t="s">
        <v>1597</v>
      </c>
      <c r="D399" s="16" t="s">
        <v>19</v>
      </c>
      <c r="E399" s="22" t="s">
        <v>28</v>
      </c>
      <c r="F399" s="15"/>
      <c r="G399" s="15"/>
      <c r="H399" s="15"/>
      <c r="I399" s="16" t="s">
        <v>1598</v>
      </c>
      <c r="J399" s="15"/>
      <c r="K399" s="15"/>
      <c r="L399" s="233" t="s">
        <v>339</v>
      </c>
      <c r="M399" s="16"/>
      <c r="N399" s="233" t="s">
        <v>1599</v>
      </c>
      <c r="O399" s="16" t="s">
        <v>24</v>
      </c>
      <c r="P399" s="219" t="s">
        <v>24</v>
      </c>
      <c r="Q399" s="221" t="s">
        <v>1600</v>
      </c>
      <c r="R399" s="11"/>
      <c r="S399" s="11"/>
      <c r="T399" s="11"/>
    </row>
    <row r="400" spans="1:20" ht="36" customHeight="1" x14ac:dyDescent="0.2">
      <c r="A400" s="7">
        <v>397</v>
      </c>
      <c r="B400" s="7">
        <v>556</v>
      </c>
      <c r="C400" s="231" t="s">
        <v>1601</v>
      </c>
      <c r="D400" s="3" t="s">
        <v>1602</v>
      </c>
      <c r="E400" s="14" t="s">
        <v>28</v>
      </c>
      <c r="F400" s="7"/>
      <c r="G400" s="7"/>
      <c r="H400" s="7"/>
      <c r="I400" s="3" t="s">
        <v>192</v>
      </c>
      <c r="J400" s="7"/>
      <c r="K400" s="7"/>
      <c r="L400" s="228" t="s">
        <v>339</v>
      </c>
      <c r="M400" s="3"/>
      <c r="N400" s="228" t="s">
        <v>1603</v>
      </c>
      <c r="O400" s="3" t="s">
        <v>1604</v>
      </c>
      <c r="P400" s="186" t="s">
        <v>1604</v>
      </c>
      <c r="Q400" s="222" t="s">
        <v>1605</v>
      </c>
      <c r="R400" s="11"/>
      <c r="S400" s="11"/>
      <c r="T400" s="11"/>
    </row>
    <row r="401" spans="1:20" ht="36" customHeight="1" x14ac:dyDescent="0.2">
      <c r="A401" s="15">
        <v>398</v>
      </c>
      <c r="B401" s="15">
        <v>557</v>
      </c>
      <c r="C401" s="232" t="s">
        <v>1606</v>
      </c>
      <c r="D401" s="16" t="s">
        <v>611</v>
      </c>
      <c r="E401" s="17" t="s">
        <v>20</v>
      </c>
      <c r="F401" s="15"/>
      <c r="G401" s="15"/>
      <c r="H401" s="15"/>
      <c r="I401" s="16" t="s">
        <v>1607</v>
      </c>
      <c r="J401" s="15"/>
      <c r="K401" s="15"/>
      <c r="L401" s="233" t="s">
        <v>339</v>
      </c>
      <c r="M401" s="16"/>
      <c r="N401" s="233" t="s">
        <v>1608</v>
      </c>
      <c r="O401" s="16" t="s">
        <v>24</v>
      </c>
      <c r="P401" s="219" t="s">
        <v>24</v>
      </c>
      <c r="Q401" s="221" t="s">
        <v>1609</v>
      </c>
      <c r="R401" s="11"/>
      <c r="S401" s="11"/>
      <c r="T401" s="11"/>
    </row>
    <row r="402" spans="1:20" ht="36" customHeight="1" x14ac:dyDescent="0.2">
      <c r="A402" s="7">
        <v>399</v>
      </c>
      <c r="B402" s="7">
        <v>560</v>
      </c>
      <c r="C402" s="231" t="s">
        <v>1610</v>
      </c>
      <c r="D402" s="3" t="s">
        <v>1559</v>
      </c>
      <c r="E402" s="21" t="s">
        <v>28</v>
      </c>
      <c r="F402" s="7"/>
      <c r="G402" s="7"/>
      <c r="H402" s="7"/>
      <c r="I402" s="3" t="s">
        <v>1611</v>
      </c>
      <c r="J402" s="7"/>
      <c r="K402" s="7"/>
      <c r="L402" s="228" t="s">
        <v>30</v>
      </c>
      <c r="M402" s="3"/>
      <c r="N402" s="228" t="s">
        <v>1612</v>
      </c>
      <c r="O402" s="3" t="s">
        <v>24</v>
      </c>
      <c r="P402" s="186" t="s">
        <v>24</v>
      </c>
      <c r="Q402" s="222" t="s">
        <v>1613</v>
      </c>
      <c r="R402" s="11"/>
      <c r="S402" s="11"/>
      <c r="T402" s="11"/>
    </row>
    <row r="403" spans="1:20" ht="36" customHeight="1" x14ac:dyDescent="0.2">
      <c r="A403" s="15">
        <v>400</v>
      </c>
      <c r="B403" s="15">
        <v>561</v>
      </c>
      <c r="C403" s="232" t="s">
        <v>1614</v>
      </c>
      <c r="D403" s="16" t="s">
        <v>166</v>
      </c>
      <c r="E403" s="17" t="s">
        <v>20</v>
      </c>
      <c r="F403" s="15"/>
      <c r="G403" s="15"/>
      <c r="H403" s="15"/>
      <c r="I403" s="16" t="s">
        <v>1615</v>
      </c>
      <c r="J403" s="15"/>
      <c r="K403" s="15"/>
      <c r="L403" s="233" t="s">
        <v>339</v>
      </c>
      <c r="M403" s="16"/>
      <c r="N403" s="233" t="s">
        <v>1616</v>
      </c>
      <c r="O403" s="16" t="s">
        <v>326</v>
      </c>
      <c r="P403" s="219" t="s">
        <v>47</v>
      </c>
      <c r="Q403" s="221" t="s">
        <v>1617</v>
      </c>
      <c r="R403" s="11"/>
      <c r="S403" s="11"/>
      <c r="T403" s="11"/>
    </row>
    <row r="404" spans="1:20" ht="36" customHeight="1" x14ac:dyDescent="0.2">
      <c r="A404" s="7">
        <v>401</v>
      </c>
      <c r="B404" s="7">
        <v>564</v>
      </c>
      <c r="C404" s="231" t="s">
        <v>1618</v>
      </c>
      <c r="D404" s="3" t="s">
        <v>56</v>
      </c>
      <c r="E404" s="18" t="s">
        <v>42</v>
      </c>
      <c r="F404" s="7"/>
      <c r="G404" s="7"/>
      <c r="H404" s="7"/>
      <c r="I404" s="3" t="s">
        <v>229</v>
      </c>
      <c r="J404" s="7"/>
      <c r="K404" s="7"/>
      <c r="L404" s="228" t="s">
        <v>779</v>
      </c>
      <c r="M404" s="3"/>
      <c r="N404" s="228" t="s">
        <v>230</v>
      </c>
      <c r="O404" s="3" t="s">
        <v>65</v>
      </c>
      <c r="P404" s="186" t="s">
        <v>65</v>
      </c>
      <c r="Q404" s="222" t="s">
        <v>1619</v>
      </c>
      <c r="R404" s="11"/>
      <c r="S404" s="11"/>
      <c r="T404" s="11"/>
    </row>
    <row r="405" spans="1:20" ht="36" customHeight="1" x14ac:dyDescent="0.2">
      <c r="A405" s="15">
        <v>402</v>
      </c>
      <c r="B405" s="15">
        <v>565</v>
      </c>
      <c r="C405" s="232" t="s">
        <v>1620</v>
      </c>
      <c r="D405" s="16" t="s">
        <v>19</v>
      </c>
      <c r="E405" s="19" t="s">
        <v>28</v>
      </c>
      <c r="F405" s="15"/>
      <c r="G405" s="15"/>
      <c r="H405" s="15"/>
      <c r="I405" s="16" t="s">
        <v>704</v>
      </c>
      <c r="J405" s="15"/>
      <c r="K405" s="15"/>
      <c r="L405" s="233" t="s">
        <v>460</v>
      </c>
      <c r="M405" s="16"/>
      <c r="N405" s="233" t="s">
        <v>705</v>
      </c>
      <c r="O405" s="16" t="s">
        <v>24</v>
      </c>
      <c r="P405" s="219" t="s">
        <v>47</v>
      </c>
      <c r="Q405" s="221" t="s">
        <v>1621</v>
      </c>
      <c r="R405" s="11"/>
      <c r="S405" s="11"/>
      <c r="T405" s="11"/>
    </row>
    <row r="406" spans="1:20" ht="36" customHeight="1" x14ac:dyDescent="0.2">
      <c r="A406" s="7">
        <v>403</v>
      </c>
      <c r="B406" s="7">
        <v>567</v>
      </c>
      <c r="C406" s="231" t="s">
        <v>1622</v>
      </c>
      <c r="D406" s="3" t="s">
        <v>427</v>
      </c>
      <c r="E406" s="14" t="s">
        <v>28</v>
      </c>
      <c r="F406" s="7"/>
      <c r="G406" s="7"/>
      <c r="H406" s="7"/>
      <c r="I406" s="3" t="s">
        <v>1623</v>
      </c>
      <c r="J406" s="7"/>
      <c r="K406" s="7"/>
      <c r="L406" s="228" t="s">
        <v>269</v>
      </c>
      <c r="M406" s="3"/>
      <c r="N406" s="228" t="s">
        <v>1624</v>
      </c>
      <c r="O406" s="3" t="s">
        <v>24</v>
      </c>
      <c r="P406" s="186" t="s">
        <v>1096</v>
      </c>
      <c r="Q406" s="222" t="s">
        <v>1625</v>
      </c>
      <c r="R406" s="11"/>
      <c r="S406" s="11"/>
      <c r="T406" s="11"/>
    </row>
    <row r="407" spans="1:20" ht="36" customHeight="1" x14ac:dyDescent="0.2">
      <c r="A407" s="15">
        <v>404</v>
      </c>
      <c r="B407" s="15">
        <v>569</v>
      </c>
      <c r="C407" s="232" t="s">
        <v>1626</v>
      </c>
      <c r="D407" s="16" t="s">
        <v>796</v>
      </c>
      <c r="E407" s="23" t="s">
        <v>42</v>
      </c>
      <c r="F407" s="15"/>
      <c r="G407" s="15"/>
      <c r="H407" s="15"/>
      <c r="I407" s="16" t="s">
        <v>1627</v>
      </c>
      <c r="J407" s="15"/>
      <c r="K407" s="15"/>
      <c r="L407" s="233" t="s">
        <v>339</v>
      </c>
      <c r="M407" s="16"/>
      <c r="N407" s="233" t="s">
        <v>1628</v>
      </c>
      <c r="O407" s="16" t="s">
        <v>326</v>
      </c>
      <c r="P407" s="219" t="s">
        <v>24</v>
      </c>
      <c r="Q407" s="221" t="s">
        <v>1629</v>
      </c>
      <c r="R407" s="11"/>
      <c r="S407" s="11"/>
      <c r="T407" s="11"/>
    </row>
    <row r="408" spans="1:20" ht="36" customHeight="1" x14ac:dyDescent="0.2">
      <c r="A408" s="7">
        <v>405</v>
      </c>
      <c r="B408" s="7">
        <v>570</v>
      </c>
      <c r="C408" s="231" t="s">
        <v>1630</v>
      </c>
      <c r="D408" s="3" t="s">
        <v>19</v>
      </c>
      <c r="E408" s="18" t="s">
        <v>28</v>
      </c>
      <c r="F408" s="7"/>
      <c r="G408" s="7"/>
      <c r="H408" s="7"/>
      <c r="I408" s="3" t="s">
        <v>1631</v>
      </c>
      <c r="J408" s="7"/>
      <c r="K408" s="7"/>
      <c r="L408" s="228" t="s">
        <v>183</v>
      </c>
      <c r="M408" s="3"/>
      <c r="N408" s="228" t="s">
        <v>1632</v>
      </c>
      <c r="O408" s="3" t="s">
        <v>24</v>
      </c>
      <c r="P408" s="186" t="s">
        <v>24</v>
      </c>
      <c r="Q408" s="222" t="s">
        <v>1633</v>
      </c>
      <c r="R408" s="11"/>
      <c r="S408" s="11"/>
      <c r="T408" s="11"/>
    </row>
    <row r="409" spans="1:20" ht="36" customHeight="1" x14ac:dyDescent="0.2">
      <c r="A409" s="15">
        <v>406</v>
      </c>
      <c r="B409" s="15">
        <v>572</v>
      </c>
      <c r="C409" s="232" t="s">
        <v>1634</v>
      </c>
      <c r="D409" s="16" t="s">
        <v>500</v>
      </c>
      <c r="E409" s="19" t="s">
        <v>20</v>
      </c>
      <c r="F409" s="15"/>
      <c r="G409" s="15"/>
      <c r="H409" s="15"/>
      <c r="I409" s="16" t="s">
        <v>569</v>
      </c>
      <c r="J409" s="15"/>
      <c r="K409" s="15"/>
      <c r="L409" s="233" t="s">
        <v>1635</v>
      </c>
      <c r="M409" s="16"/>
      <c r="N409" s="233" t="s">
        <v>571</v>
      </c>
      <c r="O409" s="16" t="s">
        <v>1636</v>
      </c>
      <c r="P409" s="219" t="s">
        <v>503</v>
      </c>
      <c r="Q409" s="221" t="s">
        <v>1637</v>
      </c>
      <c r="R409" s="11"/>
      <c r="S409" s="11"/>
      <c r="T409" s="11"/>
    </row>
    <row r="410" spans="1:20" ht="36" customHeight="1" x14ac:dyDescent="0.2">
      <c r="A410" s="7">
        <v>407</v>
      </c>
      <c r="B410" s="7">
        <v>577</v>
      </c>
      <c r="C410" s="231" t="s">
        <v>1638</v>
      </c>
      <c r="D410" s="3" t="s">
        <v>796</v>
      </c>
      <c r="E410" s="20" t="s">
        <v>20</v>
      </c>
      <c r="F410" s="7"/>
      <c r="G410" s="7"/>
      <c r="H410" s="7"/>
      <c r="I410" s="3" t="s">
        <v>1639</v>
      </c>
      <c r="J410" s="7"/>
      <c r="K410" s="7"/>
      <c r="L410" s="228" t="s">
        <v>339</v>
      </c>
      <c r="M410" s="3"/>
      <c r="N410" s="228" t="s">
        <v>1640</v>
      </c>
      <c r="O410" s="3" t="s">
        <v>24</v>
      </c>
      <c r="P410" s="186" t="s">
        <v>24</v>
      </c>
      <c r="Q410" s="222" t="s">
        <v>1641</v>
      </c>
      <c r="R410" s="11"/>
      <c r="S410" s="11"/>
      <c r="T410" s="11"/>
    </row>
    <row r="411" spans="1:20" ht="36" customHeight="1" x14ac:dyDescent="0.2">
      <c r="A411" s="15">
        <v>408</v>
      </c>
      <c r="B411" s="15">
        <v>584</v>
      </c>
      <c r="C411" s="232" t="s">
        <v>1642</v>
      </c>
      <c r="D411" s="16" t="s">
        <v>796</v>
      </c>
      <c r="E411" s="19" t="s">
        <v>20</v>
      </c>
      <c r="F411" s="15"/>
      <c r="G411" s="15"/>
      <c r="H411" s="15"/>
      <c r="I411" s="16" t="s">
        <v>1643</v>
      </c>
      <c r="J411" s="15"/>
      <c r="K411" s="15"/>
      <c r="L411" s="233" t="s">
        <v>183</v>
      </c>
      <c r="M411" s="16"/>
      <c r="N411" s="233" t="s">
        <v>1644</v>
      </c>
      <c r="O411" s="16" t="s">
        <v>24</v>
      </c>
      <c r="P411" s="219" t="s">
        <v>24</v>
      </c>
      <c r="Q411" s="221" t="s">
        <v>1645</v>
      </c>
      <c r="R411" s="11"/>
      <c r="S411" s="11"/>
      <c r="T411" s="11"/>
    </row>
    <row r="412" spans="1:20" ht="36" customHeight="1" x14ac:dyDescent="0.2">
      <c r="A412" s="7">
        <v>409</v>
      </c>
      <c r="B412" s="7">
        <v>588</v>
      </c>
      <c r="C412" s="231" t="s">
        <v>1646</v>
      </c>
      <c r="D412" s="3" t="s">
        <v>909</v>
      </c>
      <c r="E412" s="18" t="s">
        <v>42</v>
      </c>
      <c r="F412" s="7"/>
      <c r="G412" s="7"/>
      <c r="H412" s="7"/>
      <c r="I412" s="3" t="s">
        <v>925</v>
      </c>
      <c r="J412" s="7"/>
      <c r="K412" s="7"/>
      <c r="L412" s="228" t="s">
        <v>1647</v>
      </c>
      <c r="M412" s="3"/>
      <c r="N412" s="228" t="s">
        <v>927</v>
      </c>
      <c r="O412" s="3" t="s">
        <v>912</v>
      </c>
      <c r="P412" s="186" t="s">
        <v>913</v>
      </c>
      <c r="Q412" s="222" t="s">
        <v>1648</v>
      </c>
      <c r="R412" s="11"/>
      <c r="S412" s="11"/>
      <c r="T412" s="11"/>
    </row>
    <row r="413" spans="1:20" ht="36" customHeight="1" x14ac:dyDescent="0.2">
      <c r="A413" s="15">
        <v>410</v>
      </c>
      <c r="B413" s="15">
        <v>595</v>
      </c>
      <c r="C413" s="232" t="s">
        <v>1649</v>
      </c>
      <c r="D413" s="16" t="s">
        <v>796</v>
      </c>
      <c r="E413" s="17" t="s">
        <v>20</v>
      </c>
      <c r="F413" s="15"/>
      <c r="G413" s="15"/>
      <c r="H413" s="15"/>
      <c r="I413" s="16" t="s">
        <v>925</v>
      </c>
      <c r="J413" s="15"/>
      <c r="K413" s="15"/>
      <c r="L413" s="233" t="s">
        <v>183</v>
      </c>
      <c r="M413" s="16"/>
      <c r="N413" s="233" t="s">
        <v>927</v>
      </c>
      <c r="O413" s="16" t="s">
        <v>912</v>
      </c>
      <c r="P413" s="219" t="s">
        <v>913</v>
      </c>
      <c r="Q413" s="221" t="s">
        <v>1650</v>
      </c>
      <c r="R413" s="11"/>
      <c r="S413" s="11"/>
      <c r="T413" s="11"/>
    </row>
    <row r="414" spans="1:20" ht="36" customHeight="1" x14ac:dyDescent="0.2">
      <c r="A414" s="7">
        <v>411</v>
      </c>
      <c r="B414" s="7">
        <v>599</v>
      </c>
      <c r="C414" s="231" t="s">
        <v>1651</v>
      </c>
      <c r="D414" s="3" t="s">
        <v>19</v>
      </c>
      <c r="E414" s="18" t="s">
        <v>20</v>
      </c>
      <c r="F414" s="7"/>
      <c r="G414" s="7"/>
      <c r="H414" s="7"/>
      <c r="I414" s="3" t="s">
        <v>1652</v>
      </c>
      <c r="J414" s="7"/>
      <c r="K414" s="7"/>
      <c r="L414" s="228" t="s">
        <v>339</v>
      </c>
      <c r="M414" s="3"/>
      <c r="N414" s="228" t="s">
        <v>1653</v>
      </c>
      <c r="O414" s="3" t="s">
        <v>1285</v>
      </c>
      <c r="P414" s="186" t="s">
        <v>24</v>
      </c>
      <c r="Q414" s="222" t="s">
        <v>1654</v>
      </c>
      <c r="R414" s="11"/>
      <c r="S414" s="11"/>
      <c r="T414" s="11"/>
    </row>
    <row r="415" spans="1:20" ht="36" customHeight="1" x14ac:dyDescent="0.2">
      <c r="A415" s="15">
        <v>412</v>
      </c>
      <c r="B415" s="15">
        <v>605</v>
      </c>
      <c r="C415" s="232" t="s">
        <v>1655</v>
      </c>
      <c r="D415" s="16" t="s">
        <v>318</v>
      </c>
      <c r="E415" s="19" t="s">
        <v>20</v>
      </c>
      <c r="F415" s="15"/>
      <c r="G415" s="15"/>
      <c r="H415" s="15"/>
      <c r="I415" s="16" t="s">
        <v>652</v>
      </c>
      <c r="J415" s="15"/>
      <c r="K415" s="15"/>
      <c r="L415" s="233" t="s">
        <v>58</v>
      </c>
      <c r="M415" s="16"/>
      <c r="N415" s="233" t="s">
        <v>654</v>
      </c>
      <c r="O415" s="16" t="s">
        <v>24</v>
      </c>
      <c r="P415" s="219" t="s">
        <v>1100</v>
      </c>
      <c r="Q415" s="221" t="s">
        <v>1656</v>
      </c>
      <c r="R415" s="11"/>
      <c r="S415" s="11"/>
      <c r="T415" s="11"/>
    </row>
    <row r="416" spans="1:20" ht="36" customHeight="1" x14ac:dyDescent="0.2">
      <c r="A416" s="7">
        <v>413</v>
      </c>
      <c r="B416" s="7">
        <v>610</v>
      </c>
      <c r="C416" s="231" t="s">
        <v>1657</v>
      </c>
      <c r="D416" s="3" t="s">
        <v>796</v>
      </c>
      <c r="E416" s="21" t="s">
        <v>20</v>
      </c>
      <c r="F416" s="7"/>
      <c r="G416" s="7"/>
      <c r="H416" s="7"/>
      <c r="I416" s="3" t="s">
        <v>1658</v>
      </c>
      <c r="J416" s="7"/>
      <c r="K416" s="7"/>
      <c r="L416" s="228" t="s">
        <v>339</v>
      </c>
      <c r="M416" s="3"/>
      <c r="N416" s="228" t="s">
        <v>1659</v>
      </c>
      <c r="O416" s="3" t="s">
        <v>24</v>
      </c>
      <c r="P416" s="186" t="s">
        <v>47</v>
      </c>
      <c r="Q416" s="222" t="s">
        <v>1660</v>
      </c>
      <c r="R416" s="11"/>
      <c r="S416" s="11"/>
      <c r="T416" s="11"/>
    </row>
    <row r="417" spans="1:20" ht="36" customHeight="1" x14ac:dyDescent="0.2">
      <c r="A417" s="15">
        <v>414</v>
      </c>
      <c r="B417" s="15">
        <v>620</v>
      </c>
      <c r="C417" s="232" t="s">
        <v>1661</v>
      </c>
      <c r="D417" s="16" t="s">
        <v>866</v>
      </c>
      <c r="E417" s="19" t="s">
        <v>20</v>
      </c>
      <c r="F417" s="15"/>
      <c r="G417" s="15"/>
      <c r="H417" s="15"/>
      <c r="I417" s="16" t="s">
        <v>1662</v>
      </c>
      <c r="J417" s="15"/>
      <c r="K417" s="15"/>
      <c r="L417" s="233"/>
      <c r="M417" s="16"/>
      <c r="N417" s="233" t="s">
        <v>1663</v>
      </c>
      <c r="O417" s="16" t="s">
        <v>24</v>
      </c>
      <c r="P417" s="219" t="s">
        <v>24</v>
      </c>
      <c r="Q417" s="221" t="s">
        <v>1664</v>
      </c>
      <c r="R417" s="11"/>
      <c r="S417" s="11"/>
      <c r="T417" s="11"/>
    </row>
    <row r="418" spans="1:20" ht="36" customHeight="1" x14ac:dyDescent="0.2">
      <c r="A418" s="7">
        <v>415</v>
      </c>
      <c r="B418" s="7">
        <v>621</v>
      </c>
      <c r="C418" s="231" t="s">
        <v>1665</v>
      </c>
      <c r="D418" s="3" t="s">
        <v>1531</v>
      </c>
      <c r="E418" s="18" t="s">
        <v>28</v>
      </c>
      <c r="F418" s="7"/>
      <c r="G418" s="7"/>
      <c r="H418" s="7"/>
      <c r="I418" s="3" t="s">
        <v>957</v>
      </c>
      <c r="J418" s="7"/>
      <c r="K418" s="7"/>
      <c r="L418" s="228" t="s">
        <v>1666</v>
      </c>
      <c r="M418" s="3"/>
      <c r="N418" s="228" t="s">
        <v>959</v>
      </c>
      <c r="O418" s="3" t="s">
        <v>24</v>
      </c>
      <c r="P418" s="186" t="s">
        <v>47</v>
      </c>
      <c r="Q418" s="222" t="s">
        <v>1667</v>
      </c>
      <c r="R418" s="11"/>
      <c r="S418" s="11"/>
      <c r="T418" s="11"/>
    </row>
    <row r="419" spans="1:20" ht="36" customHeight="1" x14ac:dyDescent="0.2">
      <c r="A419" s="15">
        <v>416</v>
      </c>
      <c r="B419" s="15">
        <v>622</v>
      </c>
      <c r="C419" s="232" t="s">
        <v>1668</v>
      </c>
      <c r="D419" s="16" t="s">
        <v>1298</v>
      </c>
      <c r="E419" s="19" t="s">
        <v>28</v>
      </c>
      <c r="F419" s="15"/>
      <c r="G419" s="15"/>
      <c r="H419" s="15"/>
      <c r="I419" s="16" t="s">
        <v>1669</v>
      </c>
      <c r="J419" s="15"/>
      <c r="K419" s="15"/>
      <c r="L419" s="233" t="s">
        <v>279</v>
      </c>
      <c r="M419" s="16"/>
      <c r="N419" s="233" t="s">
        <v>1670</v>
      </c>
      <c r="O419" s="16" t="s">
        <v>24</v>
      </c>
      <c r="P419" s="219" t="s">
        <v>24</v>
      </c>
      <c r="Q419" s="221" t="s">
        <v>1671</v>
      </c>
      <c r="R419" s="11"/>
      <c r="S419" s="11"/>
      <c r="T419" s="11"/>
    </row>
    <row r="420" spans="1:20" ht="36" customHeight="1" x14ac:dyDescent="0.2">
      <c r="A420" s="7">
        <v>417</v>
      </c>
      <c r="B420" s="7">
        <v>626</v>
      </c>
      <c r="C420" s="231" t="s">
        <v>1672</v>
      </c>
      <c r="D420" s="3" t="s">
        <v>796</v>
      </c>
      <c r="E420" s="20" t="s">
        <v>28</v>
      </c>
      <c r="F420" s="7"/>
      <c r="G420" s="7"/>
      <c r="H420" s="7"/>
      <c r="I420" s="3" t="s">
        <v>1673</v>
      </c>
      <c r="J420" s="7"/>
      <c r="K420" s="7"/>
      <c r="L420" s="228" t="s">
        <v>339</v>
      </c>
      <c r="M420" s="3"/>
      <c r="N420" s="228" t="s">
        <v>1674</v>
      </c>
      <c r="O420" s="3" t="s">
        <v>326</v>
      </c>
      <c r="P420" s="186" t="s">
        <v>24</v>
      </c>
      <c r="Q420" s="222" t="s">
        <v>1675</v>
      </c>
      <c r="R420" s="11"/>
      <c r="S420" s="11"/>
      <c r="T420" s="11"/>
    </row>
    <row r="421" spans="1:20" ht="36" customHeight="1" x14ac:dyDescent="0.2">
      <c r="A421" s="15">
        <v>418</v>
      </c>
      <c r="B421" s="15">
        <v>628</v>
      </c>
      <c r="C421" s="232" t="s">
        <v>1676</v>
      </c>
      <c r="D421" s="16" t="s">
        <v>1075</v>
      </c>
      <c r="E421" s="19" t="s">
        <v>20</v>
      </c>
      <c r="F421" s="15"/>
      <c r="G421" s="15"/>
      <c r="H421" s="15"/>
      <c r="I421" s="16" t="s">
        <v>1076</v>
      </c>
      <c r="J421" s="15"/>
      <c r="K421" s="15"/>
      <c r="L421" s="233" t="s">
        <v>188</v>
      </c>
      <c r="M421" s="16"/>
      <c r="N421" s="233" t="s">
        <v>1077</v>
      </c>
      <c r="O421" s="16" t="s">
        <v>24</v>
      </c>
      <c r="P421" s="219" t="s">
        <v>47</v>
      </c>
      <c r="Q421" s="221" t="s">
        <v>1677</v>
      </c>
      <c r="R421" s="11"/>
      <c r="S421" s="11"/>
      <c r="T421" s="11"/>
    </row>
    <row r="422" spans="1:20" ht="36" customHeight="1" x14ac:dyDescent="0.2">
      <c r="A422" s="7">
        <v>419</v>
      </c>
      <c r="B422" s="7">
        <v>632</v>
      </c>
      <c r="C422" s="231" t="s">
        <v>1678</v>
      </c>
      <c r="D422" s="3" t="s">
        <v>1679</v>
      </c>
      <c r="E422" s="14" t="s">
        <v>42</v>
      </c>
      <c r="F422" s="7"/>
      <c r="G422" s="7"/>
      <c r="H422" s="7"/>
      <c r="I422" s="3" t="s">
        <v>1680</v>
      </c>
      <c r="J422" s="7"/>
      <c r="K422" s="7"/>
      <c r="L422" s="228" t="s">
        <v>1103</v>
      </c>
      <c r="M422" s="3"/>
      <c r="N422" s="228" t="s">
        <v>1681</v>
      </c>
      <c r="O422" s="3" t="s">
        <v>24</v>
      </c>
      <c r="P422" s="186" t="s">
        <v>47</v>
      </c>
      <c r="Q422" s="222" t="s">
        <v>1682</v>
      </c>
      <c r="R422" s="11"/>
      <c r="S422" s="11"/>
      <c r="T422" s="11"/>
    </row>
    <row r="423" spans="1:20" ht="36" customHeight="1" x14ac:dyDescent="0.2">
      <c r="A423" s="15">
        <v>420</v>
      </c>
      <c r="B423" s="15">
        <v>633</v>
      </c>
      <c r="C423" s="232" t="s">
        <v>1683</v>
      </c>
      <c r="D423" s="16" t="s">
        <v>295</v>
      </c>
      <c r="E423" s="17" t="s">
        <v>28</v>
      </c>
      <c r="F423" s="15"/>
      <c r="G423" s="15"/>
      <c r="H423" s="15"/>
      <c r="I423" s="16" t="s">
        <v>512</v>
      </c>
      <c r="J423" s="15"/>
      <c r="K423" s="15"/>
      <c r="L423" s="233" t="s">
        <v>188</v>
      </c>
      <c r="M423" s="16"/>
      <c r="N423" s="233" t="s">
        <v>513</v>
      </c>
      <c r="O423" s="16" t="s">
        <v>1684</v>
      </c>
      <c r="P423" s="219" t="s">
        <v>47</v>
      </c>
      <c r="Q423" s="221" t="s">
        <v>1685</v>
      </c>
      <c r="R423" s="11"/>
      <c r="S423" s="11"/>
      <c r="T423" s="11"/>
    </row>
    <row r="424" spans="1:20" ht="36" customHeight="1" x14ac:dyDescent="0.2">
      <c r="A424" s="7">
        <v>421</v>
      </c>
      <c r="B424" s="7">
        <v>635</v>
      </c>
      <c r="C424" s="231" t="s">
        <v>1686</v>
      </c>
      <c r="D424" s="3" t="s">
        <v>1295</v>
      </c>
      <c r="E424" s="18" t="s">
        <v>28</v>
      </c>
      <c r="F424" s="7"/>
      <c r="G424" s="7"/>
      <c r="H424" s="7"/>
      <c r="I424" s="3" t="s">
        <v>1687</v>
      </c>
      <c r="J424" s="7"/>
      <c r="K424" s="7"/>
      <c r="L424" s="228" t="s">
        <v>460</v>
      </c>
      <c r="M424" s="3"/>
      <c r="N424" s="228" t="s">
        <v>1688</v>
      </c>
      <c r="O424" s="3" t="s">
        <v>24</v>
      </c>
      <c r="P424" s="186" t="s">
        <v>24</v>
      </c>
      <c r="Q424" s="222" t="s">
        <v>1689</v>
      </c>
      <c r="R424" s="11"/>
      <c r="S424" s="11"/>
      <c r="T424" s="11"/>
    </row>
    <row r="425" spans="1:20" ht="36" customHeight="1" x14ac:dyDescent="0.2">
      <c r="A425" s="15">
        <v>422</v>
      </c>
      <c r="B425" s="15">
        <v>636</v>
      </c>
      <c r="C425" s="232" t="s">
        <v>1690</v>
      </c>
      <c r="D425" s="16" t="s">
        <v>1472</v>
      </c>
      <c r="E425" s="22" t="s">
        <v>28</v>
      </c>
      <c r="F425" s="15"/>
      <c r="G425" s="15"/>
      <c r="H425" s="15"/>
      <c r="I425" s="16" t="s">
        <v>540</v>
      </c>
      <c r="J425" s="15"/>
      <c r="K425" s="15"/>
      <c r="L425" s="233" t="s">
        <v>1691</v>
      </c>
      <c r="M425" s="16"/>
      <c r="N425" s="233" t="s">
        <v>542</v>
      </c>
      <c r="O425" s="16" t="s">
        <v>24</v>
      </c>
      <c r="P425" s="219" t="s">
        <v>24</v>
      </c>
      <c r="Q425" s="221" t="s">
        <v>1692</v>
      </c>
      <c r="R425" s="11"/>
      <c r="S425" s="11"/>
      <c r="T425" s="11"/>
    </row>
    <row r="426" spans="1:20" ht="36" customHeight="1" x14ac:dyDescent="0.2">
      <c r="A426" s="7">
        <v>423</v>
      </c>
      <c r="B426" s="7">
        <v>642</v>
      </c>
      <c r="C426" s="231" t="s">
        <v>1693</v>
      </c>
      <c r="D426" s="3" t="s">
        <v>1694</v>
      </c>
      <c r="E426" s="18" t="s">
        <v>42</v>
      </c>
      <c r="F426" s="7"/>
      <c r="G426" s="7"/>
      <c r="H426" s="7"/>
      <c r="I426" s="3" t="s">
        <v>957</v>
      </c>
      <c r="J426" s="7"/>
      <c r="K426" s="7"/>
      <c r="L426" s="228" t="s">
        <v>958</v>
      </c>
      <c r="M426" s="3"/>
      <c r="N426" s="228" t="s">
        <v>959</v>
      </c>
      <c r="O426" s="3" t="s">
        <v>912</v>
      </c>
      <c r="P426" s="186" t="s">
        <v>913</v>
      </c>
      <c r="Q426" s="222" t="s">
        <v>1695</v>
      </c>
      <c r="R426" s="11"/>
      <c r="S426" s="11"/>
      <c r="T426" s="11"/>
    </row>
    <row r="427" spans="1:20" ht="36" customHeight="1" x14ac:dyDescent="0.2">
      <c r="A427" s="15">
        <v>424</v>
      </c>
      <c r="B427" s="15">
        <v>643</v>
      </c>
      <c r="C427" s="232" t="s">
        <v>1696</v>
      </c>
      <c r="D427" s="16" t="s">
        <v>916</v>
      </c>
      <c r="E427" s="23" t="s">
        <v>20</v>
      </c>
      <c r="F427" s="15"/>
      <c r="G427" s="15"/>
      <c r="H427" s="15"/>
      <c r="I427" s="16" t="s">
        <v>917</v>
      </c>
      <c r="J427" s="15"/>
      <c r="K427" s="15"/>
      <c r="L427" s="233" t="s">
        <v>183</v>
      </c>
      <c r="M427" s="16"/>
      <c r="N427" s="233" t="s">
        <v>919</v>
      </c>
      <c r="O427" s="16" t="s">
        <v>24</v>
      </c>
      <c r="P427" s="219" t="s">
        <v>1096</v>
      </c>
      <c r="Q427" s="221" t="s">
        <v>1697</v>
      </c>
      <c r="R427" s="11"/>
      <c r="S427" s="11"/>
      <c r="T427" s="11"/>
    </row>
    <row r="428" spans="1:20" ht="36" customHeight="1" x14ac:dyDescent="0.2">
      <c r="A428" s="7">
        <v>425</v>
      </c>
      <c r="B428" s="7">
        <v>645</v>
      </c>
      <c r="C428" s="231" t="s">
        <v>1698</v>
      </c>
      <c r="D428" s="3" t="s">
        <v>19</v>
      </c>
      <c r="E428" s="18" t="s">
        <v>20</v>
      </c>
      <c r="F428" s="7"/>
      <c r="G428" s="7"/>
      <c r="H428" s="7"/>
      <c r="I428" s="3" t="s">
        <v>1699</v>
      </c>
      <c r="J428" s="7"/>
      <c r="K428" s="7"/>
      <c r="L428" s="228" t="s">
        <v>339</v>
      </c>
      <c r="M428" s="3"/>
      <c r="N428" s="228" t="s">
        <v>1700</v>
      </c>
      <c r="O428" s="3" t="s">
        <v>24</v>
      </c>
      <c r="P428" s="186" t="s">
        <v>24</v>
      </c>
      <c r="Q428" s="222" t="s">
        <v>1701</v>
      </c>
      <c r="R428" s="11"/>
      <c r="S428" s="11"/>
      <c r="T428" s="11"/>
    </row>
    <row r="429" spans="1:20" ht="36" customHeight="1" x14ac:dyDescent="0.2">
      <c r="A429" s="15">
        <v>426</v>
      </c>
      <c r="B429" s="15">
        <v>647</v>
      </c>
      <c r="C429" s="232" t="s">
        <v>1702</v>
      </c>
      <c r="D429" s="16" t="s">
        <v>50</v>
      </c>
      <c r="E429" s="19" t="s">
        <v>28</v>
      </c>
      <c r="F429" s="15"/>
      <c r="G429" s="15"/>
      <c r="H429" s="15"/>
      <c r="I429" s="16" t="s">
        <v>507</v>
      </c>
      <c r="J429" s="15"/>
      <c r="K429" s="15"/>
      <c r="L429" s="233" t="s">
        <v>1703</v>
      </c>
      <c r="M429" s="16"/>
      <c r="N429" s="233" t="s">
        <v>508</v>
      </c>
      <c r="O429" s="16" t="s">
        <v>53</v>
      </c>
      <c r="P429" s="219" t="s">
        <v>47</v>
      </c>
      <c r="Q429" s="221" t="s">
        <v>1704</v>
      </c>
      <c r="R429" s="11"/>
      <c r="S429" s="11"/>
      <c r="T429" s="11"/>
    </row>
    <row r="430" spans="1:20" ht="36" customHeight="1" x14ac:dyDescent="0.2">
      <c r="A430" s="7">
        <v>427</v>
      </c>
      <c r="B430" s="7">
        <v>648</v>
      </c>
      <c r="C430" s="231" t="s">
        <v>1705</v>
      </c>
      <c r="D430" s="3" t="s">
        <v>1706</v>
      </c>
      <c r="E430" s="21" t="s">
        <v>28</v>
      </c>
      <c r="F430" s="7"/>
      <c r="G430" s="7"/>
      <c r="H430" s="7"/>
      <c r="I430" s="3" t="s">
        <v>925</v>
      </c>
      <c r="J430" s="7"/>
      <c r="K430" s="7"/>
      <c r="L430" s="228" t="s">
        <v>779</v>
      </c>
      <c r="M430" s="3"/>
      <c r="N430" s="228" t="s">
        <v>927</v>
      </c>
      <c r="O430" s="3" t="s">
        <v>912</v>
      </c>
      <c r="P430" s="186" t="s">
        <v>913</v>
      </c>
      <c r="Q430" s="222" t="s">
        <v>1707</v>
      </c>
      <c r="R430" s="11"/>
      <c r="S430" s="11"/>
      <c r="T430" s="11"/>
    </row>
    <row r="431" spans="1:20" ht="36" customHeight="1" x14ac:dyDescent="0.2">
      <c r="A431" s="15">
        <v>428</v>
      </c>
      <c r="B431" s="15">
        <v>653</v>
      </c>
      <c r="C431" s="232" t="s">
        <v>1708</v>
      </c>
      <c r="D431" s="16" t="s">
        <v>518</v>
      </c>
      <c r="E431" s="22" t="s">
        <v>20</v>
      </c>
      <c r="F431" s="15"/>
      <c r="G431" s="15"/>
      <c r="H431" s="15"/>
      <c r="I431" s="16" t="s">
        <v>1709</v>
      </c>
      <c r="J431" s="15"/>
      <c r="K431" s="15"/>
      <c r="L431" s="233" t="s">
        <v>339</v>
      </c>
      <c r="M431" s="16"/>
      <c r="N431" s="233" t="s">
        <v>1710</v>
      </c>
      <c r="O431" s="16" t="s">
        <v>24</v>
      </c>
      <c r="P431" s="219" t="s">
        <v>24</v>
      </c>
      <c r="Q431" s="221" t="s">
        <v>1711</v>
      </c>
      <c r="R431" s="11"/>
      <c r="S431" s="11"/>
      <c r="T431" s="11"/>
    </row>
    <row r="432" spans="1:20" ht="36" customHeight="1" x14ac:dyDescent="0.2">
      <c r="A432" s="7">
        <v>429</v>
      </c>
      <c r="B432" s="7">
        <v>658</v>
      </c>
      <c r="C432" s="231" t="s">
        <v>1712</v>
      </c>
      <c r="D432" s="3" t="s">
        <v>41</v>
      </c>
      <c r="E432" s="18" t="s">
        <v>28</v>
      </c>
      <c r="F432" s="7"/>
      <c r="G432" s="7"/>
      <c r="H432" s="7"/>
      <c r="I432" s="3" t="s">
        <v>512</v>
      </c>
      <c r="J432" s="7"/>
      <c r="K432" s="7"/>
      <c r="L432" s="228" t="s">
        <v>1335</v>
      </c>
      <c r="M432" s="3"/>
      <c r="N432" s="228" t="s">
        <v>513</v>
      </c>
      <c r="O432" s="3" t="s">
        <v>1713</v>
      </c>
      <c r="P432" s="186" t="s">
        <v>47</v>
      </c>
      <c r="Q432" s="222" t="s">
        <v>1714</v>
      </c>
      <c r="R432" s="11"/>
      <c r="S432" s="11"/>
      <c r="T432" s="11"/>
    </row>
    <row r="433" spans="1:20" ht="36" customHeight="1" x14ac:dyDescent="0.2">
      <c r="A433" s="15">
        <v>430</v>
      </c>
      <c r="B433" s="15">
        <v>659</v>
      </c>
      <c r="C433" s="232" t="s">
        <v>1069</v>
      </c>
      <c r="D433" s="16" t="s">
        <v>1715</v>
      </c>
      <c r="E433" s="22" t="s">
        <v>28</v>
      </c>
      <c r="F433" s="15"/>
      <c r="G433" s="15"/>
      <c r="H433" s="15"/>
      <c r="I433" s="16" t="s">
        <v>748</v>
      </c>
      <c r="J433" s="15"/>
      <c r="K433" s="15"/>
      <c r="L433" s="233" t="s">
        <v>1716</v>
      </c>
      <c r="M433" s="16"/>
      <c r="N433" s="233" t="s">
        <v>750</v>
      </c>
      <c r="O433" s="16" t="s">
        <v>24</v>
      </c>
      <c r="P433" s="219" t="s">
        <v>24</v>
      </c>
      <c r="Q433" s="221" t="s">
        <v>1071</v>
      </c>
      <c r="R433" s="11"/>
      <c r="S433" s="11"/>
      <c r="T433" s="11"/>
    </row>
    <row r="434" spans="1:20" ht="36" customHeight="1" x14ac:dyDescent="0.2">
      <c r="A434" s="7">
        <v>431</v>
      </c>
      <c r="B434" s="7">
        <v>661</v>
      </c>
      <c r="C434" s="231" t="s">
        <v>1717</v>
      </c>
      <c r="D434" s="3" t="s">
        <v>283</v>
      </c>
      <c r="E434" s="18" t="s">
        <v>20</v>
      </c>
      <c r="F434" s="7"/>
      <c r="G434" s="7"/>
      <c r="H434" s="7"/>
      <c r="I434" s="3" t="s">
        <v>1718</v>
      </c>
      <c r="J434" s="7"/>
      <c r="K434" s="7"/>
      <c r="L434" s="228" t="s">
        <v>460</v>
      </c>
      <c r="M434" s="3"/>
      <c r="N434" s="228" t="s">
        <v>1719</v>
      </c>
      <c r="O434" s="3" t="s">
        <v>24</v>
      </c>
      <c r="P434" s="186" t="s">
        <v>24</v>
      </c>
      <c r="Q434" s="222" t="s">
        <v>1720</v>
      </c>
      <c r="R434" s="11"/>
      <c r="S434" s="11"/>
      <c r="T434" s="11"/>
    </row>
    <row r="435" spans="1:20" ht="36" customHeight="1" x14ac:dyDescent="0.2">
      <c r="A435" s="15">
        <v>432</v>
      </c>
      <c r="B435" s="15">
        <v>662</v>
      </c>
      <c r="C435" s="232" t="s">
        <v>1721</v>
      </c>
      <c r="D435" s="16" t="s">
        <v>534</v>
      </c>
      <c r="E435" s="19" t="s">
        <v>28</v>
      </c>
      <c r="F435" s="15"/>
      <c r="G435" s="15"/>
      <c r="H435" s="15"/>
      <c r="I435" s="16" t="s">
        <v>569</v>
      </c>
      <c r="J435" s="15"/>
      <c r="K435" s="15"/>
      <c r="L435" s="233" t="s">
        <v>1722</v>
      </c>
      <c r="M435" s="16"/>
      <c r="N435" s="233" t="s">
        <v>571</v>
      </c>
      <c r="O435" s="16" t="s">
        <v>24</v>
      </c>
      <c r="P435" s="219" t="s">
        <v>24</v>
      </c>
      <c r="Q435" s="221" t="s">
        <v>1723</v>
      </c>
      <c r="R435" s="11"/>
      <c r="S435" s="11"/>
      <c r="T435" s="11"/>
    </row>
    <row r="436" spans="1:20" ht="36" customHeight="1" x14ac:dyDescent="0.2">
      <c r="A436" s="7">
        <v>433</v>
      </c>
      <c r="B436" s="7">
        <v>670</v>
      </c>
      <c r="C436" s="231" t="s">
        <v>1724</v>
      </c>
      <c r="D436" s="3" t="s">
        <v>318</v>
      </c>
      <c r="E436" s="18" t="s">
        <v>28</v>
      </c>
      <c r="F436" s="7"/>
      <c r="G436" s="7"/>
      <c r="H436" s="7"/>
      <c r="I436" s="3" t="s">
        <v>652</v>
      </c>
      <c r="J436" s="7"/>
      <c r="K436" s="7"/>
      <c r="L436" s="228" t="s">
        <v>589</v>
      </c>
      <c r="M436" s="3"/>
      <c r="N436" s="228" t="s">
        <v>654</v>
      </c>
      <c r="O436" s="3" t="s">
        <v>24</v>
      </c>
      <c r="P436" s="186" t="s">
        <v>1100</v>
      </c>
      <c r="Q436" s="222" t="s">
        <v>1725</v>
      </c>
      <c r="R436" s="11"/>
      <c r="S436" s="11"/>
      <c r="T436" s="11"/>
    </row>
    <row r="437" spans="1:20" ht="36" customHeight="1" x14ac:dyDescent="0.2">
      <c r="A437" s="15">
        <v>434</v>
      </c>
      <c r="B437" s="15">
        <v>678</v>
      </c>
      <c r="C437" s="232" t="s">
        <v>1726</v>
      </c>
      <c r="D437" s="16" t="s">
        <v>1381</v>
      </c>
      <c r="E437" s="19" t="s">
        <v>28</v>
      </c>
      <c r="F437" s="15"/>
      <c r="G437" s="15"/>
      <c r="H437" s="15"/>
      <c r="I437" s="16" t="s">
        <v>748</v>
      </c>
      <c r="J437" s="15"/>
      <c r="K437" s="15"/>
      <c r="L437" s="233" t="s">
        <v>642</v>
      </c>
      <c r="M437" s="16"/>
      <c r="N437" s="233" t="s">
        <v>750</v>
      </c>
      <c r="O437" s="16" t="s">
        <v>24</v>
      </c>
      <c r="P437" s="219" t="s">
        <v>24</v>
      </c>
      <c r="Q437" s="221" t="s">
        <v>1727</v>
      </c>
      <c r="R437" s="11"/>
      <c r="S437" s="11"/>
      <c r="T437" s="11"/>
    </row>
    <row r="438" spans="1:20" ht="36" customHeight="1" x14ac:dyDescent="0.2">
      <c r="A438" s="7">
        <v>435</v>
      </c>
      <c r="B438" s="7">
        <v>680</v>
      </c>
      <c r="C438" s="231" t="s">
        <v>1728</v>
      </c>
      <c r="D438" s="3" t="s">
        <v>611</v>
      </c>
      <c r="E438" s="14" t="s">
        <v>20</v>
      </c>
      <c r="F438" s="7"/>
      <c r="G438" s="7"/>
      <c r="H438" s="7"/>
      <c r="I438" s="3" t="s">
        <v>689</v>
      </c>
      <c r="J438" s="7"/>
      <c r="K438" s="7"/>
      <c r="L438" s="228" t="s">
        <v>168</v>
      </c>
      <c r="M438" s="3"/>
      <c r="N438" s="228" t="s">
        <v>690</v>
      </c>
      <c r="O438" s="3" t="s">
        <v>24</v>
      </c>
      <c r="P438" s="186" t="s">
        <v>47</v>
      </c>
      <c r="Q438" s="222" t="s">
        <v>1729</v>
      </c>
      <c r="R438" s="11"/>
      <c r="S438" s="11"/>
      <c r="T438" s="11"/>
    </row>
    <row r="439" spans="1:20" ht="36" customHeight="1" x14ac:dyDescent="0.2">
      <c r="A439" s="15">
        <v>436</v>
      </c>
      <c r="B439" s="15">
        <v>682</v>
      </c>
      <c r="C439" s="232" t="s">
        <v>1730</v>
      </c>
      <c r="D439" s="16" t="s">
        <v>1731</v>
      </c>
      <c r="E439" s="19" t="s">
        <v>20</v>
      </c>
      <c r="F439" s="15"/>
      <c r="G439" s="15"/>
      <c r="H439" s="15"/>
      <c r="I439" s="16" t="s">
        <v>1732</v>
      </c>
      <c r="J439" s="15"/>
      <c r="K439" s="15"/>
      <c r="L439" s="233"/>
      <c r="M439" s="16"/>
      <c r="N439" s="233" t="s">
        <v>1733</v>
      </c>
      <c r="O439" s="16" t="s">
        <v>24</v>
      </c>
      <c r="P439" s="219" t="s">
        <v>24</v>
      </c>
      <c r="Q439" s="221" t="s">
        <v>1734</v>
      </c>
      <c r="R439" s="11"/>
      <c r="S439" s="11"/>
      <c r="T439" s="11"/>
    </row>
    <row r="440" spans="1:20" ht="36" customHeight="1" x14ac:dyDescent="0.2">
      <c r="A440" s="7">
        <v>437</v>
      </c>
      <c r="B440" s="7">
        <v>684</v>
      </c>
      <c r="C440" s="231" t="s">
        <v>1735</v>
      </c>
      <c r="D440" s="3" t="s">
        <v>1050</v>
      </c>
      <c r="E440" s="20" t="s">
        <v>28</v>
      </c>
      <c r="F440" s="7"/>
      <c r="G440" s="7"/>
      <c r="H440" s="7"/>
      <c r="I440" s="3" t="s">
        <v>1736</v>
      </c>
      <c r="J440" s="7"/>
      <c r="K440" s="7"/>
      <c r="L440" s="228" t="s">
        <v>339</v>
      </c>
      <c r="M440" s="3"/>
      <c r="N440" s="228" t="s">
        <v>1737</v>
      </c>
      <c r="O440" s="3" t="s">
        <v>1738</v>
      </c>
      <c r="P440" s="186" t="s">
        <v>24</v>
      </c>
      <c r="Q440" s="222" t="s">
        <v>1739</v>
      </c>
      <c r="R440" s="11"/>
      <c r="S440" s="11"/>
      <c r="T440" s="11"/>
    </row>
    <row r="441" spans="1:20" ht="36" customHeight="1" x14ac:dyDescent="0.2">
      <c r="A441" s="15">
        <v>438</v>
      </c>
      <c r="B441" s="15">
        <v>688</v>
      </c>
      <c r="C441" s="232" t="s">
        <v>1740</v>
      </c>
      <c r="D441" s="16" t="s">
        <v>354</v>
      </c>
      <c r="E441" s="19" t="s">
        <v>28</v>
      </c>
      <c r="F441" s="15"/>
      <c r="G441" s="15"/>
      <c r="H441" s="15"/>
      <c r="I441" s="16" t="s">
        <v>507</v>
      </c>
      <c r="J441" s="15"/>
      <c r="K441" s="15"/>
      <c r="L441" s="233" t="s">
        <v>460</v>
      </c>
      <c r="M441" s="16"/>
      <c r="N441" s="233" t="s">
        <v>508</v>
      </c>
      <c r="O441" s="16" t="s">
        <v>24</v>
      </c>
      <c r="P441" s="219" t="s">
        <v>24</v>
      </c>
      <c r="Q441" s="221" t="s">
        <v>1741</v>
      </c>
      <c r="R441" s="11"/>
      <c r="S441" s="11"/>
      <c r="T441" s="11"/>
    </row>
    <row r="442" spans="1:20" ht="36" customHeight="1" x14ac:dyDescent="0.2">
      <c r="A442" s="7">
        <v>439</v>
      </c>
      <c r="B442" s="7">
        <v>690</v>
      </c>
      <c r="C442" s="231" t="s">
        <v>1742</v>
      </c>
      <c r="D442" s="3" t="s">
        <v>1743</v>
      </c>
      <c r="E442" s="21" t="s">
        <v>28</v>
      </c>
      <c r="F442" s="7"/>
      <c r="G442" s="7"/>
      <c r="H442" s="7"/>
      <c r="I442" s="3" t="s">
        <v>617</v>
      </c>
      <c r="J442" s="7"/>
      <c r="K442" s="7"/>
      <c r="L442" s="228" t="s">
        <v>779</v>
      </c>
      <c r="M442" s="3"/>
      <c r="N442" s="228" t="s">
        <v>619</v>
      </c>
      <c r="O442" s="3" t="s">
        <v>648</v>
      </c>
      <c r="P442" s="186" t="s">
        <v>648</v>
      </c>
      <c r="Q442" s="222" t="s">
        <v>1744</v>
      </c>
      <c r="R442" s="11"/>
      <c r="S442" s="11"/>
      <c r="T442" s="11"/>
    </row>
    <row r="443" spans="1:20" ht="36" customHeight="1" x14ac:dyDescent="0.2">
      <c r="A443" s="15">
        <v>440</v>
      </c>
      <c r="B443" s="15">
        <v>692</v>
      </c>
      <c r="C443" s="232" t="s">
        <v>1745</v>
      </c>
      <c r="D443" s="16" t="s">
        <v>1746</v>
      </c>
      <c r="E443" s="19" t="s">
        <v>28</v>
      </c>
      <c r="F443" s="15"/>
      <c r="G443" s="15"/>
      <c r="H443" s="15"/>
      <c r="I443" s="16" t="s">
        <v>957</v>
      </c>
      <c r="J443" s="15"/>
      <c r="K443" s="15"/>
      <c r="L443" s="233" t="s">
        <v>223</v>
      </c>
      <c r="M443" s="16"/>
      <c r="N443" s="233" t="s">
        <v>959</v>
      </c>
      <c r="O443" s="16" t="s">
        <v>24</v>
      </c>
      <c r="P443" s="219" t="s">
        <v>24</v>
      </c>
      <c r="Q443" s="221" t="s">
        <v>1747</v>
      </c>
      <c r="R443" s="11"/>
      <c r="S443" s="11"/>
      <c r="T443" s="11"/>
    </row>
    <row r="444" spans="1:20" ht="36" customHeight="1" x14ac:dyDescent="0.2">
      <c r="A444" s="7">
        <v>441</v>
      </c>
      <c r="B444" s="7">
        <v>693</v>
      </c>
      <c r="C444" s="231" t="s">
        <v>1748</v>
      </c>
      <c r="D444" s="3" t="s">
        <v>181</v>
      </c>
      <c r="E444" s="20" t="s">
        <v>20</v>
      </c>
      <c r="F444" s="7"/>
      <c r="G444" s="7"/>
      <c r="H444" s="7"/>
      <c r="I444" s="3" t="s">
        <v>484</v>
      </c>
      <c r="J444" s="7"/>
      <c r="K444" s="7"/>
      <c r="L444" s="228" t="s">
        <v>339</v>
      </c>
      <c r="M444" s="3"/>
      <c r="N444" s="228" t="s">
        <v>1749</v>
      </c>
      <c r="O444" s="3" t="s">
        <v>47</v>
      </c>
      <c r="P444" s="186" t="s">
        <v>47</v>
      </c>
      <c r="Q444" s="222" t="s">
        <v>1750</v>
      </c>
      <c r="R444" s="11"/>
      <c r="S444" s="11"/>
      <c r="T444" s="11"/>
    </row>
    <row r="445" spans="1:20" ht="36" customHeight="1" x14ac:dyDescent="0.2">
      <c r="A445" s="15">
        <v>442</v>
      </c>
      <c r="B445" s="15">
        <v>695</v>
      </c>
      <c r="C445" s="232" t="s">
        <v>1751</v>
      </c>
      <c r="D445" s="16" t="s">
        <v>637</v>
      </c>
      <c r="E445" s="23" t="s">
        <v>28</v>
      </c>
      <c r="F445" s="15"/>
      <c r="G445" s="15"/>
      <c r="H445" s="15"/>
      <c r="I445" s="16" t="s">
        <v>617</v>
      </c>
      <c r="J445" s="15"/>
      <c r="K445" s="15"/>
      <c r="L445" s="233" t="s">
        <v>766</v>
      </c>
      <c r="M445" s="16"/>
      <c r="N445" s="233" t="s">
        <v>619</v>
      </c>
      <c r="O445" s="16" t="s">
        <v>81</v>
      </c>
      <c r="P445" s="219" t="s">
        <v>81</v>
      </c>
      <c r="Q445" s="221" t="s">
        <v>1752</v>
      </c>
      <c r="R445" s="11"/>
      <c r="S445" s="11"/>
      <c r="T445" s="11"/>
    </row>
    <row r="446" spans="1:20" ht="36" customHeight="1" x14ac:dyDescent="0.2">
      <c r="A446" s="7">
        <v>443</v>
      </c>
      <c r="B446" s="7">
        <v>696</v>
      </c>
      <c r="C446" s="231" t="s">
        <v>1753</v>
      </c>
      <c r="D446" s="3" t="s">
        <v>611</v>
      </c>
      <c r="E446" s="20" t="s">
        <v>20</v>
      </c>
      <c r="F446" s="7"/>
      <c r="G446" s="7"/>
      <c r="H446" s="7"/>
      <c r="I446" s="3" t="s">
        <v>1754</v>
      </c>
      <c r="J446" s="7"/>
      <c r="K446" s="7"/>
      <c r="L446" s="228" t="s">
        <v>339</v>
      </c>
      <c r="M446" s="3"/>
      <c r="N446" s="228" t="s">
        <v>1755</v>
      </c>
      <c r="O446" s="3" t="s">
        <v>24</v>
      </c>
      <c r="P446" s="186" t="s">
        <v>24</v>
      </c>
      <c r="Q446" s="222" t="s">
        <v>1756</v>
      </c>
      <c r="R446" s="11"/>
      <c r="S446" s="11"/>
      <c r="T446" s="11"/>
    </row>
    <row r="447" spans="1:20" ht="36" customHeight="1" x14ac:dyDescent="0.2">
      <c r="A447" s="15">
        <v>444</v>
      </c>
      <c r="B447" s="15">
        <v>698</v>
      </c>
      <c r="C447" s="232" t="s">
        <v>1757</v>
      </c>
      <c r="D447" s="16" t="s">
        <v>234</v>
      </c>
      <c r="E447" s="19" t="s">
        <v>28</v>
      </c>
      <c r="F447" s="15"/>
      <c r="G447" s="15"/>
      <c r="H447" s="15"/>
      <c r="I447" s="16" t="s">
        <v>1758</v>
      </c>
      <c r="J447" s="15"/>
      <c r="K447" s="15"/>
      <c r="L447" s="233" t="s">
        <v>339</v>
      </c>
      <c r="M447" s="16"/>
      <c r="N447" s="233" t="s">
        <v>1759</v>
      </c>
      <c r="O447" s="16" t="s">
        <v>1760</v>
      </c>
      <c r="P447" s="219" t="s">
        <v>231</v>
      </c>
      <c r="Q447" s="221" t="s">
        <v>1761</v>
      </c>
      <c r="R447" s="11"/>
      <c r="S447" s="11"/>
      <c r="T447" s="11"/>
    </row>
    <row r="448" spans="1:20" ht="36" customHeight="1" x14ac:dyDescent="0.2">
      <c r="A448" s="7">
        <v>445</v>
      </c>
      <c r="B448" s="7">
        <v>699</v>
      </c>
      <c r="C448" s="231" t="s">
        <v>1762</v>
      </c>
      <c r="D448" s="3" t="s">
        <v>1763</v>
      </c>
      <c r="E448" s="20" t="s">
        <v>42</v>
      </c>
      <c r="F448" s="7"/>
      <c r="G448" s="7"/>
      <c r="H448" s="7"/>
      <c r="I448" s="3" t="s">
        <v>1076</v>
      </c>
      <c r="J448" s="7"/>
      <c r="K448" s="7"/>
      <c r="L448" s="228" t="s">
        <v>779</v>
      </c>
      <c r="M448" s="3"/>
      <c r="N448" s="228" t="s">
        <v>1077</v>
      </c>
      <c r="O448" s="3" t="s">
        <v>326</v>
      </c>
      <c r="P448" s="186" t="s">
        <v>24</v>
      </c>
      <c r="Q448" s="222" t="s">
        <v>1764</v>
      </c>
      <c r="R448" s="11"/>
      <c r="S448" s="11"/>
      <c r="T448" s="11"/>
    </row>
    <row r="449" spans="1:20" ht="36" customHeight="1" x14ac:dyDescent="0.2">
      <c r="A449" s="15">
        <v>446</v>
      </c>
      <c r="B449" s="15">
        <v>700</v>
      </c>
      <c r="C449" s="232" t="s">
        <v>1765</v>
      </c>
      <c r="D449" s="16" t="s">
        <v>1766</v>
      </c>
      <c r="E449" s="17" t="s">
        <v>20</v>
      </c>
      <c r="F449" s="15"/>
      <c r="G449" s="15"/>
      <c r="H449" s="15"/>
      <c r="I449" s="16" t="s">
        <v>1767</v>
      </c>
      <c r="J449" s="15"/>
      <c r="K449" s="15"/>
      <c r="L449" s="233"/>
      <c r="M449" s="16"/>
      <c r="N449" s="233" t="s">
        <v>1768</v>
      </c>
      <c r="O449" s="16" t="s">
        <v>24</v>
      </c>
      <c r="P449" s="219" t="s">
        <v>24</v>
      </c>
      <c r="Q449" s="221" t="s">
        <v>1769</v>
      </c>
      <c r="R449" s="11"/>
      <c r="S449" s="11"/>
      <c r="T449" s="11"/>
    </row>
    <row r="450" spans="1:20" ht="36" customHeight="1" x14ac:dyDescent="0.2">
      <c r="A450" s="7">
        <v>447</v>
      </c>
      <c r="B450" s="7">
        <v>703</v>
      </c>
      <c r="C450" s="231" t="s">
        <v>1770</v>
      </c>
      <c r="D450" s="3" t="s">
        <v>1121</v>
      </c>
      <c r="E450" s="18" t="s">
        <v>20</v>
      </c>
      <c r="F450" s="7"/>
      <c r="G450" s="7"/>
      <c r="H450" s="7"/>
      <c r="I450" s="3" t="s">
        <v>1771</v>
      </c>
      <c r="J450" s="7"/>
      <c r="K450" s="7"/>
      <c r="L450" s="228" t="s">
        <v>1772</v>
      </c>
      <c r="M450" s="3"/>
      <c r="N450" s="228" t="s">
        <v>1773</v>
      </c>
      <c r="O450" s="3" t="s">
        <v>960</v>
      </c>
      <c r="P450" s="186" t="s">
        <v>153</v>
      </c>
      <c r="Q450" s="222" t="s">
        <v>1774</v>
      </c>
      <c r="R450" s="11"/>
      <c r="S450" s="11"/>
      <c r="T450" s="11"/>
    </row>
    <row r="451" spans="1:20" ht="36" customHeight="1" x14ac:dyDescent="0.2">
      <c r="A451" s="15">
        <v>448</v>
      </c>
      <c r="B451" s="15">
        <v>704</v>
      </c>
      <c r="C451" s="232" t="s">
        <v>512</v>
      </c>
      <c r="D451" s="16" t="s">
        <v>41</v>
      </c>
      <c r="E451" s="19" t="s">
        <v>20</v>
      </c>
      <c r="F451" s="15"/>
      <c r="G451" s="15"/>
      <c r="H451" s="15"/>
      <c r="I451" s="16" t="s">
        <v>1775</v>
      </c>
      <c r="J451" s="15"/>
      <c r="K451" s="15"/>
      <c r="L451" s="233" t="s">
        <v>570</v>
      </c>
      <c r="M451" s="16"/>
      <c r="N451" s="233" t="s">
        <v>1776</v>
      </c>
      <c r="O451" s="16" t="s">
        <v>65</v>
      </c>
      <c r="P451" s="219" t="s">
        <v>47</v>
      </c>
      <c r="Q451" s="221" t="s">
        <v>1777</v>
      </c>
      <c r="R451" s="11"/>
      <c r="S451" s="11"/>
      <c r="T451" s="11"/>
    </row>
    <row r="452" spans="1:20" ht="36" customHeight="1" x14ac:dyDescent="0.2">
      <c r="A452" s="7">
        <v>449</v>
      </c>
      <c r="B452" s="7">
        <v>706</v>
      </c>
      <c r="C452" s="231" t="s">
        <v>1778</v>
      </c>
      <c r="D452" s="3" t="s">
        <v>1295</v>
      </c>
      <c r="E452" s="18" t="s">
        <v>20</v>
      </c>
      <c r="F452" s="7"/>
      <c r="G452" s="7"/>
      <c r="H452" s="7"/>
      <c r="I452" s="3" t="s">
        <v>704</v>
      </c>
      <c r="J452" s="7"/>
      <c r="K452" s="7"/>
      <c r="L452" s="228" t="s">
        <v>787</v>
      </c>
      <c r="M452" s="3"/>
      <c r="N452" s="228" t="s">
        <v>705</v>
      </c>
      <c r="O452" s="3" t="s">
        <v>24</v>
      </c>
      <c r="P452" s="186" t="s">
        <v>24</v>
      </c>
      <c r="Q452" s="222" t="s">
        <v>1779</v>
      </c>
      <c r="R452" s="11"/>
      <c r="S452" s="11"/>
      <c r="T452" s="11"/>
    </row>
    <row r="453" spans="1:20" ht="36" customHeight="1" x14ac:dyDescent="0.2">
      <c r="A453" s="15">
        <v>450</v>
      </c>
      <c r="B453" s="15">
        <v>707</v>
      </c>
      <c r="C453" s="232" t="s">
        <v>1780</v>
      </c>
      <c r="D453" s="16" t="s">
        <v>1781</v>
      </c>
      <c r="E453" s="19" t="s">
        <v>28</v>
      </c>
      <c r="F453" s="15"/>
      <c r="G453" s="15"/>
      <c r="H453" s="15"/>
      <c r="I453" s="16" t="s">
        <v>459</v>
      </c>
      <c r="J453" s="15"/>
      <c r="K453" s="15"/>
      <c r="L453" s="233" t="s">
        <v>918</v>
      </c>
      <c r="M453" s="16"/>
      <c r="N453" s="233" t="s">
        <v>461</v>
      </c>
      <c r="O453" s="16" t="s">
        <v>24</v>
      </c>
      <c r="P453" s="219" t="s">
        <v>47</v>
      </c>
      <c r="Q453" s="221" t="s">
        <v>1782</v>
      </c>
      <c r="R453" s="11"/>
      <c r="S453" s="11"/>
      <c r="T453" s="11"/>
    </row>
    <row r="454" spans="1:20" ht="36" customHeight="1" x14ac:dyDescent="0.2">
      <c r="A454" s="7">
        <v>451</v>
      </c>
      <c r="B454" s="7">
        <v>708</v>
      </c>
      <c r="C454" s="231" t="s">
        <v>1783</v>
      </c>
      <c r="D454" s="3" t="s">
        <v>127</v>
      </c>
      <c r="E454" s="18" t="s">
        <v>28</v>
      </c>
      <c r="F454" s="7"/>
      <c r="G454" s="7"/>
      <c r="H454" s="7"/>
      <c r="I454" s="3" t="s">
        <v>459</v>
      </c>
      <c r="J454" s="7"/>
      <c r="K454" s="7"/>
      <c r="L454" s="228" t="s">
        <v>589</v>
      </c>
      <c r="M454" s="3"/>
      <c r="N454" s="228" t="s">
        <v>461</v>
      </c>
      <c r="O454" s="3" t="s">
        <v>326</v>
      </c>
      <c r="P454" s="186" t="s">
        <v>65</v>
      </c>
      <c r="Q454" s="222" t="s">
        <v>1784</v>
      </c>
      <c r="R454" s="11"/>
      <c r="S454" s="11"/>
      <c r="T454" s="11"/>
    </row>
    <row r="455" spans="1:20" ht="36" customHeight="1" x14ac:dyDescent="0.2">
      <c r="A455" s="15">
        <v>452</v>
      </c>
      <c r="B455" s="15">
        <v>709</v>
      </c>
      <c r="C455" s="232" t="s">
        <v>1785</v>
      </c>
      <c r="D455" s="16" t="s">
        <v>98</v>
      </c>
      <c r="E455" s="23" t="s">
        <v>20</v>
      </c>
      <c r="F455" s="15"/>
      <c r="G455" s="15"/>
      <c r="H455" s="15"/>
      <c r="I455" s="16" t="s">
        <v>1786</v>
      </c>
      <c r="J455" s="15"/>
      <c r="K455" s="15"/>
      <c r="L455" s="233"/>
      <c r="M455" s="16"/>
      <c r="N455" s="233" t="s">
        <v>1787</v>
      </c>
      <c r="O455" s="16" t="s">
        <v>24</v>
      </c>
      <c r="P455" s="219" t="s">
        <v>24</v>
      </c>
      <c r="Q455" s="221" t="s">
        <v>1788</v>
      </c>
      <c r="R455" s="11"/>
      <c r="S455" s="11"/>
      <c r="T455" s="11"/>
    </row>
    <row r="456" spans="1:20" ht="36" customHeight="1" x14ac:dyDescent="0.2">
      <c r="A456" s="7">
        <v>453</v>
      </c>
      <c r="B456" s="7">
        <v>712</v>
      </c>
      <c r="C456" s="231" t="s">
        <v>1789</v>
      </c>
      <c r="D456" s="3" t="s">
        <v>50</v>
      </c>
      <c r="E456" s="18" t="s">
        <v>28</v>
      </c>
      <c r="F456" s="7"/>
      <c r="G456" s="7"/>
      <c r="H456" s="7"/>
      <c r="I456" s="3" t="s">
        <v>1790</v>
      </c>
      <c r="J456" s="7"/>
      <c r="K456" s="7"/>
      <c r="L456" s="228"/>
      <c r="M456" s="3"/>
      <c r="N456" s="228" t="s">
        <v>1791</v>
      </c>
      <c r="O456" s="3" t="s">
        <v>24</v>
      </c>
      <c r="P456" s="186" t="s">
        <v>24</v>
      </c>
      <c r="Q456" s="222" t="s">
        <v>1792</v>
      </c>
      <c r="R456" s="11"/>
      <c r="S456" s="11"/>
      <c r="T456" s="11"/>
    </row>
    <row r="457" spans="1:20" ht="36" customHeight="1" x14ac:dyDescent="0.2">
      <c r="A457" s="15">
        <v>454</v>
      </c>
      <c r="B457" s="15">
        <v>713</v>
      </c>
      <c r="C457" s="232" t="s">
        <v>1793</v>
      </c>
      <c r="D457" s="16" t="s">
        <v>916</v>
      </c>
      <c r="E457" s="19" t="s">
        <v>28</v>
      </c>
      <c r="F457" s="15"/>
      <c r="G457" s="15"/>
      <c r="H457" s="15"/>
      <c r="I457" s="16" t="s">
        <v>917</v>
      </c>
      <c r="J457" s="15"/>
      <c r="K457" s="15"/>
      <c r="L457" s="233" t="s">
        <v>188</v>
      </c>
      <c r="M457" s="16"/>
      <c r="N457" s="233" t="s">
        <v>919</v>
      </c>
      <c r="O457" s="16" t="s">
        <v>24</v>
      </c>
      <c r="P457" s="219" t="s">
        <v>1096</v>
      </c>
      <c r="Q457" s="221" t="s">
        <v>1794</v>
      </c>
      <c r="R457" s="11"/>
      <c r="S457" s="11"/>
      <c r="T457" s="11"/>
    </row>
    <row r="458" spans="1:20" ht="36" customHeight="1" x14ac:dyDescent="0.2">
      <c r="A458" s="7">
        <v>455</v>
      </c>
      <c r="B458" s="7">
        <v>714</v>
      </c>
      <c r="C458" s="231" t="s">
        <v>1795</v>
      </c>
      <c r="D458" s="3" t="s">
        <v>309</v>
      </c>
      <c r="E458" s="21" t="s">
        <v>28</v>
      </c>
      <c r="F458" s="7"/>
      <c r="G458" s="7"/>
      <c r="H458" s="7"/>
      <c r="I458" s="3" t="s">
        <v>507</v>
      </c>
      <c r="J458" s="7"/>
      <c r="K458" s="7"/>
      <c r="L458" s="228" t="s">
        <v>460</v>
      </c>
      <c r="M458" s="3"/>
      <c r="N458" s="228" t="s">
        <v>508</v>
      </c>
      <c r="O458" s="3" t="s">
        <v>24</v>
      </c>
      <c r="P458" s="186" t="s">
        <v>24</v>
      </c>
      <c r="Q458" s="222" t="s">
        <v>1796</v>
      </c>
      <c r="R458" s="11"/>
      <c r="S458" s="11"/>
      <c r="T458" s="11"/>
    </row>
    <row r="459" spans="1:20" ht="36" customHeight="1" x14ac:dyDescent="0.2">
      <c r="A459" s="15">
        <v>456</v>
      </c>
      <c r="B459" s="15">
        <v>715</v>
      </c>
      <c r="C459" s="232" t="s">
        <v>1797</v>
      </c>
      <c r="D459" s="16" t="s">
        <v>1798</v>
      </c>
      <c r="E459" s="19" t="s">
        <v>42</v>
      </c>
      <c r="F459" s="15"/>
      <c r="G459" s="15"/>
      <c r="H459" s="15"/>
      <c r="I459" s="16" t="s">
        <v>1076</v>
      </c>
      <c r="J459" s="15"/>
      <c r="K459" s="15"/>
      <c r="L459" s="233" t="s">
        <v>1159</v>
      </c>
      <c r="M459" s="16"/>
      <c r="N459" s="233" t="s">
        <v>1077</v>
      </c>
      <c r="O459" s="16" t="s">
        <v>326</v>
      </c>
      <c r="P459" s="219" t="s">
        <v>24</v>
      </c>
      <c r="Q459" s="221" t="s">
        <v>1799</v>
      </c>
      <c r="R459" s="11"/>
      <c r="S459" s="11"/>
      <c r="T459" s="11"/>
    </row>
    <row r="460" spans="1:20" ht="36" customHeight="1" x14ac:dyDescent="0.2">
      <c r="A460" s="7">
        <v>457</v>
      </c>
      <c r="B460" s="7">
        <v>719</v>
      </c>
      <c r="C460" s="231" t="s">
        <v>1800</v>
      </c>
      <c r="D460" s="3" t="s">
        <v>41</v>
      </c>
      <c r="E460" s="18" t="s">
        <v>42</v>
      </c>
      <c r="F460" s="7"/>
      <c r="G460" s="7"/>
      <c r="H460" s="7"/>
      <c r="I460" s="3" t="s">
        <v>1801</v>
      </c>
      <c r="J460" s="7"/>
      <c r="K460" s="7"/>
      <c r="L460" s="228" t="s">
        <v>339</v>
      </c>
      <c r="M460" s="3"/>
      <c r="N460" s="228" t="s">
        <v>1802</v>
      </c>
      <c r="O460" s="3" t="s">
        <v>1803</v>
      </c>
      <c r="P460" s="186" t="s">
        <v>47</v>
      </c>
      <c r="Q460" s="222" t="s">
        <v>1804</v>
      </c>
      <c r="R460" s="11"/>
      <c r="S460" s="11"/>
      <c r="T460" s="11"/>
    </row>
    <row r="461" spans="1:20" ht="36" customHeight="1" x14ac:dyDescent="0.2">
      <c r="A461" s="15">
        <v>458</v>
      </c>
      <c r="B461" s="15">
        <v>721</v>
      </c>
      <c r="C461" s="232" t="s">
        <v>1805</v>
      </c>
      <c r="D461" s="16" t="s">
        <v>1806</v>
      </c>
      <c r="E461" s="17" t="s">
        <v>28</v>
      </c>
      <c r="F461" s="15"/>
      <c r="G461" s="15"/>
      <c r="H461" s="15"/>
      <c r="I461" s="16" t="s">
        <v>617</v>
      </c>
      <c r="J461" s="15"/>
      <c r="K461" s="15"/>
      <c r="L461" s="233" t="s">
        <v>1407</v>
      </c>
      <c r="M461" s="16"/>
      <c r="N461" s="233" t="s">
        <v>619</v>
      </c>
      <c r="O461" s="16" t="s">
        <v>1807</v>
      </c>
      <c r="P461" s="219" t="s">
        <v>1808</v>
      </c>
      <c r="Q461" s="221" t="s">
        <v>1809</v>
      </c>
      <c r="R461" s="11"/>
      <c r="S461" s="11"/>
      <c r="T461" s="11"/>
    </row>
    <row r="462" spans="1:20" ht="36" customHeight="1" x14ac:dyDescent="0.2">
      <c r="A462" s="7">
        <v>459</v>
      </c>
      <c r="B462" s="7">
        <v>723</v>
      </c>
      <c r="C462" s="231" t="s">
        <v>1810</v>
      </c>
      <c r="D462" s="3" t="s">
        <v>283</v>
      </c>
      <c r="E462" s="14" t="s">
        <v>28</v>
      </c>
      <c r="F462" s="7"/>
      <c r="G462" s="7"/>
      <c r="H462" s="7"/>
      <c r="I462" s="3" t="s">
        <v>652</v>
      </c>
      <c r="J462" s="7"/>
      <c r="K462" s="7"/>
      <c r="L462" s="228" t="s">
        <v>779</v>
      </c>
      <c r="M462" s="3"/>
      <c r="N462" s="228" t="s">
        <v>654</v>
      </c>
      <c r="O462" s="3" t="s">
        <v>81</v>
      </c>
      <c r="P462" s="186" t="s">
        <v>81</v>
      </c>
      <c r="Q462" s="222" t="s">
        <v>1811</v>
      </c>
      <c r="R462" s="11"/>
      <c r="S462" s="11"/>
      <c r="T462" s="11"/>
    </row>
    <row r="463" spans="1:20" ht="36" customHeight="1" x14ac:dyDescent="0.2">
      <c r="A463" s="15">
        <v>460</v>
      </c>
      <c r="B463" s="15">
        <v>724</v>
      </c>
      <c r="C463" s="232" t="s">
        <v>1812</v>
      </c>
      <c r="D463" s="16" t="s">
        <v>1009</v>
      </c>
      <c r="E463" s="19" t="s">
        <v>20</v>
      </c>
      <c r="F463" s="15"/>
      <c r="G463" s="15"/>
      <c r="H463" s="15"/>
      <c r="I463" s="16" t="s">
        <v>652</v>
      </c>
      <c r="J463" s="15"/>
      <c r="K463" s="15"/>
      <c r="L463" s="233" t="s">
        <v>1186</v>
      </c>
      <c r="M463" s="16"/>
      <c r="N463" s="233" t="s">
        <v>654</v>
      </c>
      <c r="O463" s="16" t="s">
        <v>24</v>
      </c>
      <c r="P463" s="219" t="s">
        <v>47</v>
      </c>
      <c r="Q463" s="221" t="s">
        <v>1813</v>
      </c>
      <c r="R463" s="11"/>
      <c r="S463" s="11"/>
      <c r="T463" s="11"/>
    </row>
    <row r="464" spans="1:20" ht="36" customHeight="1" x14ac:dyDescent="0.2">
      <c r="A464" s="7">
        <v>461</v>
      </c>
      <c r="B464" s="7">
        <v>725</v>
      </c>
      <c r="C464" s="231" t="s">
        <v>1814</v>
      </c>
      <c r="D464" s="3" t="s">
        <v>127</v>
      </c>
      <c r="E464" s="18" t="s">
        <v>28</v>
      </c>
      <c r="F464" s="7"/>
      <c r="G464" s="7"/>
      <c r="H464" s="7"/>
      <c r="I464" s="3" t="s">
        <v>1815</v>
      </c>
      <c r="J464" s="7"/>
      <c r="K464" s="7"/>
      <c r="L464" s="228" t="s">
        <v>339</v>
      </c>
      <c r="M464" s="3"/>
      <c r="N464" s="228" t="s">
        <v>1816</v>
      </c>
      <c r="O464" s="3" t="s">
        <v>24</v>
      </c>
      <c r="P464" s="186" t="s">
        <v>153</v>
      </c>
      <c r="Q464" s="222" t="s">
        <v>1817</v>
      </c>
      <c r="R464" s="11"/>
      <c r="S464" s="11"/>
      <c r="T464" s="11"/>
    </row>
    <row r="465" spans="1:20" ht="36" customHeight="1" x14ac:dyDescent="0.2">
      <c r="A465" s="15">
        <v>462</v>
      </c>
      <c r="B465" s="15">
        <v>726</v>
      </c>
      <c r="C465" s="232" t="s">
        <v>1818</v>
      </c>
      <c r="D465" s="16" t="s">
        <v>1819</v>
      </c>
      <c r="E465" s="23" t="s">
        <v>42</v>
      </c>
      <c r="F465" s="15"/>
      <c r="G465" s="15"/>
      <c r="H465" s="15"/>
      <c r="I465" s="16" t="s">
        <v>1820</v>
      </c>
      <c r="J465" s="15"/>
      <c r="K465" s="15"/>
      <c r="L465" s="233" t="s">
        <v>339</v>
      </c>
      <c r="M465" s="16"/>
      <c r="N465" s="233" t="s">
        <v>1821</v>
      </c>
      <c r="O465" s="16" t="s">
        <v>341</v>
      </c>
      <c r="P465" s="219" t="s">
        <v>24</v>
      </c>
      <c r="Q465" s="221" t="s">
        <v>1822</v>
      </c>
      <c r="R465" s="11"/>
      <c r="S465" s="11"/>
      <c r="T465" s="11"/>
    </row>
    <row r="466" spans="1:20" ht="36" customHeight="1" x14ac:dyDescent="0.2">
      <c r="A466" s="7">
        <v>463</v>
      </c>
      <c r="B466" s="7">
        <v>729</v>
      </c>
      <c r="C466" s="231" t="s">
        <v>1823</v>
      </c>
      <c r="D466" s="3" t="s">
        <v>1824</v>
      </c>
      <c r="E466" s="18" t="s">
        <v>28</v>
      </c>
      <c r="F466" s="7"/>
      <c r="G466" s="7"/>
      <c r="H466" s="7"/>
      <c r="I466" s="3" t="s">
        <v>1076</v>
      </c>
      <c r="J466" s="7"/>
      <c r="K466" s="7"/>
      <c r="L466" s="228" t="s">
        <v>779</v>
      </c>
      <c r="M466" s="3"/>
      <c r="N466" s="228" t="s">
        <v>1077</v>
      </c>
      <c r="O466" s="3" t="s">
        <v>326</v>
      </c>
      <c r="P466" s="186" t="s">
        <v>24</v>
      </c>
      <c r="Q466" s="222" t="s">
        <v>1825</v>
      </c>
      <c r="R466" s="11"/>
      <c r="S466" s="11"/>
      <c r="T466" s="11"/>
    </row>
    <row r="467" spans="1:20" ht="36" customHeight="1" x14ac:dyDescent="0.2">
      <c r="A467" s="15">
        <v>464</v>
      </c>
      <c r="B467" s="15">
        <v>731</v>
      </c>
      <c r="C467" s="232" t="s">
        <v>1826</v>
      </c>
      <c r="D467" s="16" t="s">
        <v>1824</v>
      </c>
      <c r="E467" s="22" t="s">
        <v>28</v>
      </c>
      <c r="F467" s="15"/>
      <c r="G467" s="15"/>
      <c r="H467" s="15"/>
      <c r="I467" s="16" t="s">
        <v>1076</v>
      </c>
      <c r="J467" s="15"/>
      <c r="K467" s="15"/>
      <c r="L467" s="233" t="s">
        <v>460</v>
      </c>
      <c r="M467" s="16"/>
      <c r="N467" s="233" t="s">
        <v>1077</v>
      </c>
      <c r="O467" s="16" t="s">
        <v>326</v>
      </c>
      <c r="P467" s="219" t="s">
        <v>24</v>
      </c>
      <c r="Q467" s="221" t="s">
        <v>1827</v>
      </c>
      <c r="R467" s="11"/>
      <c r="S467" s="11"/>
      <c r="T467" s="11"/>
    </row>
    <row r="468" spans="1:20" ht="36" customHeight="1" x14ac:dyDescent="0.2">
      <c r="A468" s="7">
        <v>465</v>
      </c>
      <c r="B468" s="7">
        <v>733</v>
      </c>
      <c r="C468" s="231" t="s">
        <v>1828</v>
      </c>
      <c r="D468" s="3" t="s">
        <v>637</v>
      </c>
      <c r="E468" s="18" t="s">
        <v>20</v>
      </c>
      <c r="F468" s="7"/>
      <c r="G468" s="7"/>
      <c r="H468" s="7"/>
      <c r="I468" s="3" t="s">
        <v>883</v>
      </c>
      <c r="J468" s="7"/>
      <c r="K468" s="7"/>
      <c r="L468" s="228" t="s">
        <v>1829</v>
      </c>
      <c r="M468" s="3"/>
      <c r="N468" s="228" t="s">
        <v>1830</v>
      </c>
      <c r="O468" s="3" t="s">
        <v>81</v>
      </c>
      <c r="P468" s="186" t="s">
        <v>81</v>
      </c>
      <c r="Q468" s="222" t="s">
        <v>1831</v>
      </c>
      <c r="R468" s="11"/>
      <c r="S468" s="11"/>
      <c r="T468" s="11"/>
    </row>
    <row r="469" spans="1:20" ht="36" customHeight="1" x14ac:dyDescent="0.2">
      <c r="A469" s="15">
        <v>466</v>
      </c>
      <c r="B469" s="15">
        <v>735</v>
      </c>
      <c r="C469" s="232" t="s">
        <v>1832</v>
      </c>
      <c r="D469" s="16" t="s">
        <v>1472</v>
      </c>
      <c r="E469" s="19" t="s">
        <v>28</v>
      </c>
      <c r="F469" s="15"/>
      <c r="G469" s="15"/>
      <c r="H469" s="15"/>
      <c r="I469" s="16" t="s">
        <v>540</v>
      </c>
      <c r="J469" s="15"/>
      <c r="K469" s="15"/>
      <c r="L469" s="233" t="s">
        <v>30</v>
      </c>
      <c r="M469" s="16"/>
      <c r="N469" s="233" t="s">
        <v>542</v>
      </c>
      <c r="O469" s="16" t="s">
        <v>24</v>
      </c>
      <c r="P469" s="219" t="s">
        <v>24</v>
      </c>
      <c r="Q469" s="221" t="s">
        <v>1833</v>
      </c>
      <c r="R469" s="11"/>
      <c r="S469" s="11"/>
      <c r="T469" s="11"/>
    </row>
    <row r="470" spans="1:20" ht="36" customHeight="1" x14ac:dyDescent="0.2">
      <c r="A470" s="7">
        <v>467</v>
      </c>
      <c r="B470" s="7">
        <v>737</v>
      </c>
      <c r="C470" s="231" t="s">
        <v>1834</v>
      </c>
      <c r="D470" s="3" t="s">
        <v>1050</v>
      </c>
      <c r="E470" s="14" t="s">
        <v>28</v>
      </c>
      <c r="F470" s="7"/>
      <c r="G470" s="7"/>
      <c r="H470" s="7"/>
      <c r="I470" s="3" t="s">
        <v>617</v>
      </c>
      <c r="J470" s="7"/>
      <c r="K470" s="7"/>
      <c r="L470" s="228" t="s">
        <v>460</v>
      </c>
      <c r="M470" s="3"/>
      <c r="N470" s="228" t="s">
        <v>619</v>
      </c>
      <c r="O470" s="3" t="s">
        <v>648</v>
      </c>
      <c r="P470" s="186" t="s">
        <v>648</v>
      </c>
      <c r="Q470" s="222" t="s">
        <v>1835</v>
      </c>
      <c r="R470" s="11"/>
      <c r="S470" s="11"/>
      <c r="T470" s="11"/>
    </row>
    <row r="471" spans="1:20" ht="36" customHeight="1" x14ac:dyDescent="0.2">
      <c r="A471" s="15">
        <v>468</v>
      </c>
      <c r="B471" s="15">
        <v>739</v>
      </c>
      <c r="C471" s="232" t="s">
        <v>1836</v>
      </c>
      <c r="D471" s="16" t="s">
        <v>1837</v>
      </c>
      <c r="E471" s="19" t="s">
        <v>28</v>
      </c>
      <c r="F471" s="15"/>
      <c r="G471" s="15"/>
      <c r="H471" s="15"/>
      <c r="I471" s="16" t="s">
        <v>1838</v>
      </c>
      <c r="J471" s="15"/>
      <c r="K471" s="15"/>
      <c r="L471" s="233" t="s">
        <v>301</v>
      </c>
      <c r="M471" s="16"/>
      <c r="N471" s="233" t="s">
        <v>1839</v>
      </c>
      <c r="O471" s="16" t="s">
        <v>24</v>
      </c>
      <c r="P471" s="219" t="s">
        <v>24</v>
      </c>
      <c r="Q471" s="221" t="s">
        <v>1840</v>
      </c>
      <c r="R471" s="11"/>
      <c r="S471" s="11"/>
      <c r="T471" s="11"/>
    </row>
    <row r="472" spans="1:20" ht="36" customHeight="1" x14ac:dyDescent="0.2">
      <c r="A472" s="7">
        <v>469</v>
      </c>
      <c r="B472" s="7">
        <v>741</v>
      </c>
      <c r="C472" s="231" t="s">
        <v>1841</v>
      </c>
      <c r="D472" s="3" t="s">
        <v>309</v>
      </c>
      <c r="E472" s="18" t="s">
        <v>42</v>
      </c>
      <c r="F472" s="7"/>
      <c r="G472" s="7"/>
      <c r="H472" s="7"/>
      <c r="I472" s="3" t="s">
        <v>507</v>
      </c>
      <c r="J472" s="7"/>
      <c r="K472" s="7"/>
      <c r="L472" s="228" t="s">
        <v>779</v>
      </c>
      <c r="M472" s="3"/>
      <c r="N472" s="228" t="s">
        <v>508</v>
      </c>
      <c r="O472" s="3" t="s">
        <v>1175</v>
      </c>
      <c r="P472" s="186" t="s">
        <v>341</v>
      </c>
      <c r="Q472" s="222" t="s">
        <v>1842</v>
      </c>
      <c r="R472" s="11"/>
      <c r="S472" s="11"/>
      <c r="T472" s="11"/>
    </row>
    <row r="473" spans="1:20" ht="36" customHeight="1" x14ac:dyDescent="0.2">
      <c r="A473" s="15">
        <v>470</v>
      </c>
      <c r="B473" s="15">
        <v>743</v>
      </c>
      <c r="C473" s="232" t="s">
        <v>1843</v>
      </c>
      <c r="D473" s="16" t="s">
        <v>1844</v>
      </c>
      <c r="E473" s="19" t="s">
        <v>28</v>
      </c>
      <c r="F473" s="15"/>
      <c r="G473" s="15"/>
      <c r="H473" s="15"/>
      <c r="I473" s="16" t="s">
        <v>957</v>
      </c>
      <c r="J473" s="15"/>
      <c r="K473" s="15"/>
      <c r="L473" s="233" t="s">
        <v>638</v>
      </c>
      <c r="M473" s="16"/>
      <c r="N473" s="233" t="s">
        <v>959</v>
      </c>
      <c r="O473" s="16" t="s">
        <v>1845</v>
      </c>
      <c r="P473" s="219" t="s">
        <v>648</v>
      </c>
      <c r="Q473" s="221" t="s">
        <v>1846</v>
      </c>
      <c r="R473" s="11"/>
      <c r="S473" s="11"/>
      <c r="T473" s="11"/>
    </row>
    <row r="474" spans="1:20" ht="36" customHeight="1" x14ac:dyDescent="0.2">
      <c r="A474" s="7">
        <v>471</v>
      </c>
      <c r="B474" s="7">
        <v>744</v>
      </c>
      <c r="C474" s="231" t="s">
        <v>1847</v>
      </c>
      <c r="D474" s="3" t="s">
        <v>41</v>
      </c>
      <c r="E474" s="18" t="s">
        <v>20</v>
      </c>
      <c r="F474" s="7"/>
      <c r="G474" s="7"/>
      <c r="H474" s="7"/>
      <c r="I474" s="3" t="s">
        <v>1848</v>
      </c>
      <c r="J474" s="7"/>
      <c r="K474" s="7"/>
      <c r="L474" s="228"/>
      <c r="M474" s="3"/>
      <c r="N474" s="228" t="s">
        <v>1849</v>
      </c>
      <c r="O474" s="3" t="s">
        <v>24</v>
      </c>
      <c r="P474" s="186" t="s">
        <v>24</v>
      </c>
      <c r="Q474" s="222" t="s">
        <v>1850</v>
      </c>
      <c r="R474" s="11"/>
      <c r="S474" s="11"/>
      <c r="T474" s="11"/>
    </row>
    <row r="475" spans="1:20" ht="36" customHeight="1" x14ac:dyDescent="0.2">
      <c r="A475" s="15">
        <v>472</v>
      </c>
      <c r="B475" s="15">
        <v>746</v>
      </c>
      <c r="C475" s="232" t="s">
        <v>1851</v>
      </c>
      <c r="D475" s="16" t="s">
        <v>309</v>
      </c>
      <c r="E475" s="23" t="s">
        <v>20</v>
      </c>
      <c r="F475" s="15"/>
      <c r="G475" s="15"/>
      <c r="H475" s="15"/>
      <c r="I475" s="16" t="s">
        <v>1852</v>
      </c>
      <c r="J475" s="15"/>
      <c r="K475" s="15"/>
      <c r="L475" s="233" t="s">
        <v>1853</v>
      </c>
      <c r="M475" s="16"/>
      <c r="N475" s="233" t="s">
        <v>1854</v>
      </c>
      <c r="O475" s="16" t="s">
        <v>24</v>
      </c>
      <c r="P475" s="219" t="s">
        <v>47</v>
      </c>
      <c r="Q475" s="221" t="s">
        <v>1855</v>
      </c>
      <c r="R475" s="11"/>
      <c r="S475" s="11"/>
      <c r="T475" s="11"/>
    </row>
    <row r="476" spans="1:20" ht="36" customHeight="1" x14ac:dyDescent="0.2">
      <c r="A476" s="7">
        <v>473</v>
      </c>
      <c r="B476" s="7">
        <v>752</v>
      </c>
      <c r="C476" s="231" t="s">
        <v>1856</v>
      </c>
      <c r="D476" s="3" t="s">
        <v>1857</v>
      </c>
      <c r="E476" s="14" t="s">
        <v>28</v>
      </c>
      <c r="F476" s="7"/>
      <c r="G476" s="7"/>
      <c r="H476" s="7"/>
      <c r="I476" s="3" t="s">
        <v>617</v>
      </c>
      <c r="J476" s="7"/>
      <c r="K476" s="7"/>
      <c r="L476" s="228" t="s">
        <v>1858</v>
      </c>
      <c r="M476" s="3"/>
      <c r="N476" s="228" t="s">
        <v>619</v>
      </c>
      <c r="O476" s="3" t="s">
        <v>648</v>
      </c>
      <c r="P476" s="186" t="s">
        <v>648</v>
      </c>
      <c r="Q476" s="222" t="s">
        <v>1859</v>
      </c>
      <c r="R476" s="11"/>
      <c r="S476" s="11"/>
      <c r="T476" s="11"/>
    </row>
    <row r="477" spans="1:20" ht="36" customHeight="1" x14ac:dyDescent="0.2">
      <c r="A477" s="15">
        <v>474</v>
      </c>
      <c r="B477" s="15">
        <v>756</v>
      </c>
      <c r="C477" s="232" t="s">
        <v>1860</v>
      </c>
      <c r="D477" s="16" t="s">
        <v>234</v>
      </c>
      <c r="E477" s="19" t="s">
        <v>28</v>
      </c>
      <c r="F477" s="15"/>
      <c r="G477" s="15"/>
      <c r="H477" s="15"/>
      <c r="I477" s="16" t="s">
        <v>300</v>
      </c>
      <c r="J477" s="15"/>
      <c r="K477" s="15"/>
      <c r="L477" s="233" t="s">
        <v>339</v>
      </c>
      <c r="M477" s="16"/>
      <c r="N477" s="233" t="s">
        <v>1861</v>
      </c>
      <c r="O477" s="16" t="s">
        <v>1862</v>
      </c>
      <c r="P477" s="219" t="s">
        <v>24</v>
      </c>
      <c r="Q477" s="221" t="s">
        <v>1863</v>
      </c>
      <c r="R477" s="11"/>
      <c r="S477" s="11"/>
      <c r="T477" s="11"/>
    </row>
    <row r="478" spans="1:20" ht="36" customHeight="1" x14ac:dyDescent="0.2">
      <c r="A478" s="7">
        <v>475</v>
      </c>
      <c r="B478" s="7">
        <v>759</v>
      </c>
      <c r="C478" s="231" t="s">
        <v>1864</v>
      </c>
      <c r="D478" s="3" t="s">
        <v>1037</v>
      </c>
      <c r="E478" s="21" t="s">
        <v>42</v>
      </c>
      <c r="F478" s="7"/>
      <c r="G478" s="7"/>
      <c r="H478" s="7"/>
      <c r="I478" s="3" t="s">
        <v>957</v>
      </c>
      <c r="J478" s="7"/>
      <c r="K478" s="7"/>
      <c r="L478" s="228" t="s">
        <v>1865</v>
      </c>
      <c r="M478" s="3"/>
      <c r="N478" s="228" t="s">
        <v>959</v>
      </c>
      <c r="O478" s="3" t="s">
        <v>960</v>
      </c>
      <c r="P478" s="186" t="s">
        <v>153</v>
      </c>
      <c r="Q478" s="222" t="s">
        <v>1866</v>
      </c>
      <c r="R478" s="11"/>
      <c r="S478" s="11"/>
      <c r="T478" s="11"/>
    </row>
    <row r="479" spans="1:20" ht="36" customHeight="1" x14ac:dyDescent="0.2">
      <c r="A479" s="15">
        <v>476</v>
      </c>
      <c r="B479" s="15">
        <v>761</v>
      </c>
      <c r="C479" s="232" t="s">
        <v>1867</v>
      </c>
      <c r="D479" s="16" t="s">
        <v>1868</v>
      </c>
      <c r="E479" s="19" t="s">
        <v>42</v>
      </c>
      <c r="F479" s="15"/>
      <c r="G479" s="15"/>
      <c r="H479" s="15"/>
      <c r="I479" s="16" t="s">
        <v>1869</v>
      </c>
      <c r="J479" s="15"/>
      <c r="K479" s="15"/>
      <c r="L479" s="233" t="s">
        <v>339</v>
      </c>
      <c r="M479" s="16"/>
      <c r="N479" s="233" t="s">
        <v>1870</v>
      </c>
      <c r="O479" s="16" t="s">
        <v>341</v>
      </c>
      <c r="P479" s="219" t="s">
        <v>24</v>
      </c>
      <c r="Q479" s="221" t="s">
        <v>1871</v>
      </c>
      <c r="R479" s="11"/>
      <c r="S479" s="11"/>
      <c r="T479" s="11"/>
    </row>
    <row r="480" spans="1:20" ht="36" customHeight="1" x14ac:dyDescent="0.2">
      <c r="A480" s="7">
        <v>477</v>
      </c>
      <c r="B480" s="7">
        <v>763</v>
      </c>
      <c r="C480" s="231" t="s">
        <v>1872</v>
      </c>
      <c r="D480" s="3" t="s">
        <v>1873</v>
      </c>
      <c r="E480" s="21" t="s">
        <v>28</v>
      </c>
      <c r="F480" s="7"/>
      <c r="G480" s="7"/>
      <c r="H480" s="7"/>
      <c r="I480" s="3" t="s">
        <v>748</v>
      </c>
      <c r="J480" s="7"/>
      <c r="K480" s="7"/>
      <c r="L480" s="228" t="s">
        <v>1853</v>
      </c>
      <c r="M480" s="3"/>
      <c r="N480" s="228" t="s">
        <v>750</v>
      </c>
      <c r="O480" s="3" t="s">
        <v>24</v>
      </c>
      <c r="P480" s="186" t="s">
        <v>47</v>
      </c>
      <c r="Q480" s="222" t="s">
        <v>1874</v>
      </c>
      <c r="R480" s="11"/>
      <c r="S480" s="11"/>
      <c r="T480" s="11"/>
    </row>
    <row r="481" spans="1:20" ht="36" customHeight="1" x14ac:dyDescent="0.2">
      <c r="A481" s="15">
        <v>478</v>
      </c>
      <c r="B481" s="15">
        <v>766</v>
      </c>
      <c r="C481" s="232" t="s">
        <v>1875</v>
      </c>
      <c r="D481" s="16" t="s">
        <v>283</v>
      </c>
      <c r="E481" s="17" t="s">
        <v>20</v>
      </c>
      <c r="F481" s="15"/>
      <c r="G481" s="15"/>
      <c r="H481" s="15"/>
      <c r="I481" s="16" t="s">
        <v>1876</v>
      </c>
      <c r="J481" s="15"/>
      <c r="K481" s="15"/>
      <c r="L481" s="233" t="s">
        <v>589</v>
      </c>
      <c r="M481" s="16"/>
      <c r="N481" s="233" t="s">
        <v>1877</v>
      </c>
      <c r="O481" s="16" t="s">
        <v>363</v>
      </c>
      <c r="P481" s="219" t="s">
        <v>47</v>
      </c>
      <c r="Q481" s="221" t="s">
        <v>1878</v>
      </c>
      <c r="R481" s="11"/>
      <c r="S481" s="11"/>
      <c r="T481" s="11"/>
    </row>
    <row r="482" spans="1:20" ht="36" customHeight="1" x14ac:dyDescent="0.2">
      <c r="A482" s="7">
        <v>479</v>
      </c>
      <c r="B482" s="7">
        <v>767</v>
      </c>
      <c r="C482" s="231" t="s">
        <v>1879</v>
      </c>
      <c r="D482" s="3" t="s">
        <v>1880</v>
      </c>
      <c r="E482" s="18" t="s">
        <v>28</v>
      </c>
      <c r="F482" s="7"/>
      <c r="G482" s="7"/>
      <c r="H482" s="7"/>
      <c r="I482" s="3" t="s">
        <v>748</v>
      </c>
      <c r="J482" s="7"/>
      <c r="K482" s="7"/>
      <c r="L482" s="228" t="s">
        <v>263</v>
      </c>
      <c r="M482" s="3"/>
      <c r="N482" s="228" t="s">
        <v>750</v>
      </c>
      <c r="O482" s="3" t="s">
        <v>24</v>
      </c>
      <c r="P482" s="186" t="s">
        <v>24</v>
      </c>
      <c r="Q482" s="222" t="s">
        <v>1881</v>
      </c>
      <c r="R482" s="11"/>
      <c r="S482" s="11"/>
      <c r="T482" s="11"/>
    </row>
    <row r="483" spans="1:20" ht="36" customHeight="1" x14ac:dyDescent="0.2">
      <c r="A483" s="15">
        <v>480</v>
      </c>
      <c r="B483" s="15">
        <v>769</v>
      </c>
      <c r="C483" s="232" t="s">
        <v>1882</v>
      </c>
      <c r="D483" s="16" t="s">
        <v>318</v>
      </c>
      <c r="E483" s="19" t="s">
        <v>28</v>
      </c>
      <c r="F483" s="15"/>
      <c r="G483" s="15"/>
      <c r="H483" s="15"/>
      <c r="I483" s="16" t="s">
        <v>1076</v>
      </c>
      <c r="J483" s="15"/>
      <c r="K483" s="15"/>
      <c r="L483" s="233" t="s">
        <v>460</v>
      </c>
      <c r="M483" s="16"/>
      <c r="N483" s="233" t="s">
        <v>1077</v>
      </c>
      <c r="O483" s="16" t="s">
        <v>326</v>
      </c>
      <c r="P483" s="219" t="s">
        <v>24</v>
      </c>
      <c r="Q483" s="221" t="s">
        <v>1883</v>
      </c>
      <c r="R483" s="11"/>
      <c r="S483" s="11"/>
      <c r="T483" s="11"/>
    </row>
    <row r="484" spans="1:20" ht="36" customHeight="1" x14ac:dyDescent="0.2">
      <c r="A484" s="7">
        <v>481</v>
      </c>
      <c r="B484" s="7">
        <v>771</v>
      </c>
      <c r="C484" s="231" t="s">
        <v>1884</v>
      </c>
      <c r="D484" s="3" t="s">
        <v>897</v>
      </c>
      <c r="E484" s="21" t="s">
        <v>20</v>
      </c>
      <c r="F484" s="7"/>
      <c r="G484" s="7"/>
      <c r="H484" s="7"/>
      <c r="I484" s="3" t="s">
        <v>1885</v>
      </c>
      <c r="J484" s="7"/>
      <c r="K484" s="7"/>
      <c r="L484" s="228" t="s">
        <v>1159</v>
      </c>
      <c r="M484" s="3"/>
      <c r="N484" s="228" t="s">
        <v>1886</v>
      </c>
      <c r="O484" s="3" t="s">
        <v>259</v>
      </c>
      <c r="P484" s="186" t="s">
        <v>47</v>
      </c>
      <c r="Q484" s="222" t="s">
        <v>1887</v>
      </c>
      <c r="R484" s="11"/>
      <c r="S484" s="11"/>
      <c r="T484" s="11"/>
    </row>
    <row r="485" spans="1:20" ht="36" customHeight="1" x14ac:dyDescent="0.2">
      <c r="A485" s="15">
        <v>482</v>
      </c>
      <c r="B485" s="15">
        <v>773</v>
      </c>
      <c r="C485" s="232" t="s">
        <v>1888</v>
      </c>
      <c r="D485" s="16" t="s">
        <v>1106</v>
      </c>
      <c r="E485" s="19" t="s">
        <v>42</v>
      </c>
      <c r="F485" s="15"/>
      <c r="G485" s="15"/>
      <c r="H485" s="15"/>
      <c r="I485" s="16" t="s">
        <v>617</v>
      </c>
      <c r="J485" s="15"/>
      <c r="K485" s="15"/>
      <c r="L485" s="233" t="s">
        <v>779</v>
      </c>
      <c r="M485" s="16"/>
      <c r="N485" s="233" t="s">
        <v>619</v>
      </c>
      <c r="O485" s="16" t="s">
        <v>363</v>
      </c>
      <c r="P485" s="219" t="s">
        <v>363</v>
      </c>
      <c r="Q485" s="221" t="s">
        <v>1889</v>
      </c>
      <c r="R485" s="11"/>
      <c r="S485" s="11"/>
      <c r="T485" s="11"/>
    </row>
    <row r="486" spans="1:20" ht="36" customHeight="1" x14ac:dyDescent="0.2">
      <c r="A486" s="7">
        <v>483</v>
      </c>
      <c r="B486" s="7">
        <v>777</v>
      </c>
      <c r="C486" s="231" t="s">
        <v>1890</v>
      </c>
      <c r="D486" s="3" t="s">
        <v>611</v>
      </c>
      <c r="E486" s="18" t="s">
        <v>28</v>
      </c>
      <c r="F486" s="7"/>
      <c r="G486" s="7"/>
      <c r="H486" s="7"/>
      <c r="I486" s="3" t="s">
        <v>748</v>
      </c>
      <c r="J486" s="7"/>
      <c r="K486" s="7"/>
      <c r="L486" s="228" t="s">
        <v>1159</v>
      </c>
      <c r="M486" s="3"/>
      <c r="N486" s="228" t="s">
        <v>750</v>
      </c>
      <c r="O486" s="3" t="s">
        <v>24</v>
      </c>
      <c r="P486" s="186" t="s">
        <v>47</v>
      </c>
      <c r="Q486" s="222" t="s">
        <v>1891</v>
      </c>
      <c r="R486" s="11"/>
      <c r="S486" s="11"/>
      <c r="T486" s="11"/>
    </row>
    <row r="487" spans="1:20" ht="36" customHeight="1" x14ac:dyDescent="0.2">
      <c r="A487" s="15">
        <v>484</v>
      </c>
      <c r="B487" s="15">
        <v>778</v>
      </c>
      <c r="C487" s="232" t="s">
        <v>1892</v>
      </c>
      <c r="D487" s="16" t="s">
        <v>1893</v>
      </c>
      <c r="E487" s="17" t="s">
        <v>42</v>
      </c>
      <c r="F487" s="15"/>
      <c r="G487" s="15"/>
      <c r="H487" s="15"/>
      <c r="I487" s="16" t="s">
        <v>512</v>
      </c>
      <c r="J487" s="15"/>
      <c r="K487" s="15"/>
      <c r="L487" s="233" t="s">
        <v>1107</v>
      </c>
      <c r="M487" s="16"/>
      <c r="N487" s="233" t="s">
        <v>513</v>
      </c>
      <c r="O487" s="16" t="s">
        <v>1894</v>
      </c>
      <c r="P487" s="219" t="s">
        <v>341</v>
      </c>
      <c r="Q487" s="221" t="s">
        <v>1895</v>
      </c>
      <c r="R487" s="11"/>
      <c r="S487" s="11"/>
      <c r="T487" s="11"/>
    </row>
    <row r="488" spans="1:20" ht="36" customHeight="1" x14ac:dyDescent="0.2">
      <c r="A488" s="7">
        <v>485</v>
      </c>
      <c r="B488" s="7">
        <v>785</v>
      </c>
      <c r="C488" s="231" t="s">
        <v>1896</v>
      </c>
      <c r="D488" s="3" t="s">
        <v>1198</v>
      </c>
      <c r="E488" s="20" t="s">
        <v>28</v>
      </c>
      <c r="F488" s="7"/>
      <c r="G488" s="7"/>
      <c r="H488" s="7"/>
      <c r="I488" s="3" t="s">
        <v>617</v>
      </c>
      <c r="J488" s="7"/>
      <c r="K488" s="7"/>
      <c r="L488" s="228" t="s">
        <v>454</v>
      </c>
      <c r="M488" s="3"/>
      <c r="N488" s="228" t="s">
        <v>619</v>
      </c>
      <c r="O488" s="3" t="s">
        <v>648</v>
      </c>
      <c r="P488" s="186" t="s">
        <v>648</v>
      </c>
      <c r="Q488" s="222" t="s">
        <v>1897</v>
      </c>
      <c r="R488" s="11"/>
      <c r="S488" s="11"/>
      <c r="T488" s="11"/>
    </row>
    <row r="489" spans="1:20" ht="36" customHeight="1" x14ac:dyDescent="0.2">
      <c r="A489" s="15">
        <v>486</v>
      </c>
      <c r="B489" s="15">
        <v>787</v>
      </c>
      <c r="C489" s="232" t="s">
        <v>1898</v>
      </c>
      <c r="D489" s="16" t="s">
        <v>1899</v>
      </c>
      <c r="E489" s="19" t="s">
        <v>28</v>
      </c>
      <c r="F489" s="15"/>
      <c r="G489" s="15"/>
      <c r="H489" s="15"/>
      <c r="I489" s="16" t="s">
        <v>507</v>
      </c>
      <c r="J489" s="15"/>
      <c r="K489" s="15"/>
      <c r="L489" s="233" t="s">
        <v>162</v>
      </c>
      <c r="M489" s="16"/>
      <c r="N489" s="233" t="s">
        <v>508</v>
      </c>
      <c r="O489" s="16" t="s">
        <v>648</v>
      </c>
      <c r="P489" s="219" t="s">
        <v>648</v>
      </c>
      <c r="Q489" s="221" t="s">
        <v>1900</v>
      </c>
      <c r="R489" s="11"/>
      <c r="S489" s="11"/>
      <c r="T489" s="11"/>
    </row>
    <row r="490" spans="1:20" ht="36" customHeight="1" x14ac:dyDescent="0.2">
      <c r="A490" s="7">
        <v>487</v>
      </c>
      <c r="B490" s="7">
        <v>788</v>
      </c>
      <c r="C490" s="231" t="s">
        <v>1901</v>
      </c>
      <c r="D490" s="3" t="s">
        <v>62</v>
      </c>
      <c r="E490" s="18" t="s">
        <v>28</v>
      </c>
      <c r="F490" s="7"/>
      <c r="G490" s="7"/>
      <c r="H490" s="7"/>
      <c r="I490" s="3" t="s">
        <v>1902</v>
      </c>
      <c r="J490" s="7"/>
      <c r="K490" s="7"/>
      <c r="L490" s="228" t="s">
        <v>339</v>
      </c>
      <c r="M490" s="3"/>
      <c r="N490" s="228" t="s">
        <v>1903</v>
      </c>
      <c r="O490" s="3" t="s">
        <v>1904</v>
      </c>
      <c r="P490" s="186" t="s">
        <v>47</v>
      </c>
      <c r="Q490" s="222" t="s">
        <v>1905</v>
      </c>
      <c r="R490" s="11"/>
      <c r="S490" s="11"/>
      <c r="T490" s="11"/>
    </row>
    <row r="491" spans="1:20" ht="36" customHeight="1" x14ac:dyDescent="0.2">
      <c r="A491" s="15">
        <v>488</v>
      </c>
      <c r="B491" s="15">
        <v>790</v>
      </c>
      <c r="C491" s="232" t="s">
        <v>1906</v>
      </c>
      <c r="D491" s="16" t="s">
        <v>354</v>
      </c>
      <c r="E491" s="19" t="s">
        <v>28</v>
      </c>
      <c r="F491" s="15"/>
      <c r="G491" s="15"/>
      <c r="H491" s="15"/>
      <c r="I491" s="16" t="s">
        <v>1907</v>
      </c>
      <c r="J491" s="15"/>
      <c r="K491" s="15"/>
      <c r="L491" s="233" t="s">
        <v>339</v>
      </c>
      <c r="M491" s="16"/>
      <c r="N491" s="233" t="s">
        <v>1908</v>
      </c>
      <c r="O491" s="16" t="s">
        <v>24</v>
      </c>
      <c r="P491" s="219" t="s">
        <v>47</v>
      </c>
      <c r="Q491" s="221" t="s">
        <v>1909</v>
      </c>
      <c r="R491" s="11"/>
      <c r="S491" s="11"/>
      <c r="T491" s="11"/>
    </row>
    <row r="492" spans="1:20" ht="36" customHeight="1" x14ac:dyDescent="0.2">
      <c r="A492" s="7">
        <v>489</v>
      </c>
      <c r="B492" s="7">
        <v>791</v>
      </c>
      <c r="C492" s="231" t="s">
        <v>1910</v>
      </c>
      <c r="D492" s="3" t="s">
        <v>1911</v>
      </c>
      <c r="E492" s="20" t="s">
        <v>28</v>
      </c>
      <c r="F492" s="7"/>
      <c r="G492" s="7"/>
      <c r="H492" s="7"/>
      <c r="I492" s="3" t="s">
        <v>1076</v>
      </c>
      <c r="J492" s="7"/>
      <c r="K492" s="7"/>
      <c r="L492" s="228" t="s">
        <v>1912</v>
      </c>
      <c r="M492" s="3"/>
      <c r="N492" s="228" t="s">
        <v>1077</v>
      </c>
      <c r="O492" s="3" t="s">
        <v>326</v>
      </c>
      <c r="P492" s="186" t="s">
        <v>24</v>
      </c>
      <c r="Q492" s="222" t="s">
        <v>1913</v>
      </c>
      <c r="R492" s="11"/>
      <c r="S492" s="11"/>
      <c r="T492" s="11"/>
    </row>
    <row r="493" spans="1:20" ht="36" customHeight="1" x14ac:dyDescent="0.2">
      <c r="A493" s="15">
        <v>490</v>
      </c>
      <c r="B493" s="15">
        <v>792</v>
      </c>
      <c r="C493" s="232" t="s">
        <v>1914</v>
      </c>
      <c r="D493" s="16" t="s">
        <v>1915</v>
      </c>
      <c r="E493" s="22" t="s">
        <v>28</v>
      </c>
      <c r="F493" s="15"/>
      <c r="G493" s="15"/>
      <c r="H493" s="15"/>
      <c r="I493" s="16" t="s">
        <v>512</v>
      </c>
      <c r="J493" s="15"/>
      <c r="K493" s="15"/>
      <c r="L493" s="233" t="s">
        <v>779</v>
      </c>
      <c r="M493" s="16"/>
      <c r="N493" s="233" t="s">
        <v>513</v>
      </c>
      <c r="O493" s="16" t="s">
        <v>65</v>
      </c>
      <c r="P493" s="219" t="s">
        <v>47</v>
      </c>
      <c r="Q493" s="221" t="s">
        <v>1916</v>
      </c>
      <c r="R493" s="11"/>
      <c r="S493" s="11"/>
      <c r="T493" s="11"/>
    </row>
    <row r="494" spans="1:20" ht="36" customHeight="1" x14ac:dyDescent="0.2">
      <c r="A494" s="7">
        <v>491</v>
      </c>
      <c r="B494" s="7">
        <v>796</v>
      </c>
      <c r="C494" s="231" t="s">
        <v>1917</v>
      </c>
      <c r="D494" s="3" t="s">
        <v>897</v>
      </c>
      <c r="E494" s="18" t="s">
        <v>20</v>
      </c>
      <c r="F494" s="7"/>
      <c r="G494" s="7"/>
      <c r="H494" s="7"/>
      <c r="I494" s="3" t="s">
        <v>704</v>
      </c>
      <c r="J494" s="7"/>
      <c r="K494" s="7"/>
      <c r="L494" s="228" t="s">
        <v>339</v>
      </c>
      <c r="M494" s="3"/>
      <c r="N494" s="228" t="s">
        <v>705</v>
      </c>
      <c r="O494" s="3" t="s">
        <v>24</v>
      </c>
      <c r="P494" s="186" t="s">
        <v>24</v>
      </c>
      <c r="Q494" s="222" t="s">
        <v>1918</v>
      </c>
      <c r="R494" s="11"/>
      <c r="S494" s="11"/>
      <c r="T494" s="11"/>
    </row>
    <row r="495" spans="1:20" ht="36" customHeight="1" x14ac:dyDescent="0.2">
      <c r="A495" s="15">
        <v>492</v>
      </c>
      <c r="B495" s="15">
        <v>797</v>
      </c>
      <c r="C495" s="232" t="s">
        <v>1919</v>
      </c>
      <c r="D495" s="16" t="s">
        <v>1232</v>
      </c>
      <c r="E495" s="22" t="s">
        <v>28</v>
      </c>
      <c r="F495" s="15"/>
      <c r="G495" s="15"/>
      <c r="H495" s="15"/>
      <c r="I495" s="16" t="s">
        <v>1920</v>
      </c>
      <c r="J495" s="15"/>
      <c r="K495" s="15"/>
      <c r="L495" s="233" t="s">
        <v>339</v>
      </c>
      <c r="M495" s="16"/>
      <c r="N495" s="233" t="s">
        <v>1921</v>
      </c>
      <c r="O495" s="16" t="s">
        <v>1922</v>
      </c>
      <c r="P495" s="219" t="s">
        <v>24</v>
      </c>
      <c r="Q495" s="221" t="s">
        <v>1923</v>
      </c>
      <c r="R495" s="11"/>
      <c r="S495" s="11"/>
      <c r="T495" s="11"/>
    </row>
    <row r="496" spans="1:20" ht="36" customHeight="1" x14ac:dyDescent="0.2">
      <c r="A496" s="7">
        <v>493</v>
      </c>
      <c r="B496" s="7">
        <v>799</v>
      </c>
      <c r="C496" s="231" t="s">
        <v>1924</v>
      </c>
      <c r="D496" s="3" t="s">
        <v>309</v>
      </c>
      <c r="E496" s="18" t="s">
        <v>28</v>
      </c>
      <c r="F496" s="7"/>
      <c r="G496" s="7"/>
      <c r="H496" s="7"/>
      <c r="I496" s="3" t="s">
        <v>1925</v>
      </c>
      <c r="J496" s="7"/>
      <c r="K496" s="7"/>
      <c r="L496" s="228" t="s">
        <v>339</v>
      </c>
      <c r="M496" s="3"/>
      <c r="N496" s="228" t="s">
        <v>1926</v>
      </c>
      <c r="O496" s="3" t="s">
        <v>1927</v>
      </c>
      <c r="P496" s="186" t="s">
        <v>1928</v>
      </c>
      <c r="Q496" s="222" t="s">
        <v>1929</v>
      </c>
      <c r="R496" s="11"/>
      <c r="S496" s="11"/>
      <c r="T496" s="11"/>
    </row>
    <row r="497" spans="1:20" ht="36" customHeight="1" x14ac:dyDescent="0.2">
      <c r="A497" s="15">
        <v>494</v>
      </c>
      <c r="B497" s="15">
        <v>802</v>
      </c>
      <c r="C497" s="232" t="s">
        <v>1930</v>
      </c>
      <c r="D497" s="16" t="s">
        <v>1232</v>
      </c>
      <c r="E497" s="19" t="s">
        <v>28</v>
      </c>
      <c r="F497" s="15"/>
      <c r="G497" s="15"/>
      <c r="H497" s="15"/>
      <c r="I497" s="16" t="s">
        <v>617</v>
      </c>
      <c r="J497" s="15"/>
      <c r="K497" s="15"/>
      <c r="L497" s="233" t="s">
        <v>367</v>
      </c>
      <c r="M497" s="16"/>
      <c r="N497" s="233" t="s">
        <v>619</v>
      </c>
      <c r="O497" s="16" t="s">
        <v>648</v>
      </c>
      <c r="P497" s="219" t="s">
        <v>648</v>
      </c>
      <c r="Q497" s="221" t="s">
        <v>1931</v>
      </c>
      <c r="R497" s="11"/>
      <c r="S497" s="11"/>
      <c r="T497" s="11"/>
    </row>
    <row r="498" spans="1:20" ht="36" customHeight="1" x14ac:dyDescent="0.2">
      <c r="A498" s="7">
        <v>495</v>
      </c>
      <c r="B498" s="7">
        <v>804</v>
      </c>
      <c r="C498" s="231" t="s">
        <v>1932</v>
      </c>
      <c r="D498" s="3" t="s">
        <v>897</v>
      </c>
      <c r="E498" s="14" t="s">
        <v>20</v>
      </c>
      <c r="F498" s="7"/>
      <c r="G498" s="7"/>
      <c r="H498" s="7"/>
      <c r="I498" s="3" t="s">
        <v>1933</v>
      </c>
      <c r="J498" s="7"/>
      <c r="K498" s="7"/>
      <c r="L498" s="228" t="s">
        <v>339</v>
      </c>
      <c r="M498" s="3"/>
      <c r="N498" s="228" t="s">
        <v>1934</v>
      </c>
      <c r="O498" s="3" t="s">
        <v>1935</v>
      </c>
      <c r="P498" s="186" t="s">
        <v>1935</v>
      </c>
      <c r="Q498" s="222" t="s">
        <v>1936</v>
      </c>
      <c r="R498" s="11"/>
      <c r="S498" s="11"/>
      <c r="T498" s="11"/>
    </row>
    <row r="499" spans="1:20" ht="36" customHeight="1" x14ac:dyDescent="0.2">
      <c r="A499" s="15">
        <v>496</v>
      </c>
      <c r="B499" s="15">
        <v>815</v>
      </c>
      <c r="C499" s="232" t="s">
        <v>1937</v>
      </c>
      <c r="D499" s="16" t="s">
        <v>1198</v>
      </c>
      <c r="E499" s="23" t="s">
        <v>42</v>
      </c>
      <c r="F499" s="15"/>
      <c r="G499" s="15"/>
      <c r="H499" s="15"/>
      <c r="I499" s="16" t="s">
        <v>617</v>
      </c>
      <c r="J499" s="15"/>
      <c r="K499" s="15"/>
      <c r="L499" s="233" t="s">
        <v>1938</v>
      </c>
      <c r="M499" s="16"/>
      <c r="N499" s="233" t="s">
        <v>619</v>
      </c>
      <c r="O499" s="16" t="s">
        <v>648</v>
      </c>
      <c r="P499" s="219" t="s">
        <v>648</v>
      </c>
      <c r="Q499" s="221" t="s">
        <v>1939</v>
      </c>
      <c r="R499" s="11"/>
      <c r="S499" s="11"/>
      <c r="T499" s="11"/>
    </row>
    <row r="500" spans="1:20" ht="36" customHeight="1" x14ac:dyDescent="0.2">
      <c r="A500" s="7">
        <v>497</v>
      </c>
      <c r="B500" s="7">
        <v>817</v>
      </c>
      <c r="C500" s="231" t="s">
        <v>1940</v>
      </c>
      <c r="D500" s="3" t="s">
        <v>669</v>
      </c>
      <c r="E500" s="18" t="s">
        <v>28</v>
      </c>
      <c r="F500" s="7"/>
      <c r="G500" s="7"/>
      <c r="H500" s="7"/>
      <c r="I500" s="3" t="s">
        <v>1941</v>
      </c>
      <c r="J500" s="7"/>
      <c r="K500" s="7"/>
      <c r="L500" s="228" t="s">
        <v>339</v>
      </c>
      <c r="M500" s="3"/>
      <c r="N500" s="228" t="s">
        <v>1942</v>
      </c>
      <c r="O500" s="3" t="s">
        <v>24</v>
      </c>
      <c r="P500" s="186" t="s">
        <v>24</v>
      </c>
      <c r="Q500" s="222" t="s">
        <v>1943</v>
      </c>
      <c r="R500" s="11"/>
      <c r="S500" s="11"/>
      <c r="T500" s="11"/>
    </row>
    <row r="501" spans="1:20" ht="36" customHeight="1" x14ac:dyDescent="0.2">
      <c r="A501" s="15">
        <v>498</v>
      </c>
      <c r="B501" s="15">
        <v>820</v>
      </c>
      <c r="C501" s="232" t="s">
        <v>1944</v>
      </c>
      <c r="D501" s="16" t="s">
        <v>1945</v>
      </c>
      <c r="E501" s="17" t="s">
        <v>28</v>
      </c>
      <c r="F501" s="15"/>
      <c r="G501" s="15"/>
      <c r="H501" s="15"/>
      <c r="I501" s="16" t="s">
        <v>925</v>
      </c>
      <c r="J501" s="15"/>
      <c r="K501" s="15"/>
      <c r="L501" s="233" t="s">
        <v>460</v>
      </c>
      <c r="M501" s="16"/>
      <c r="N501" s="233" t="s">
        <v>927</v>
      </c>
      <c r="O501" s="16" t="s">
        <v>912</v>
      </c>
      <c r="P501" s="219" t="s">
        <v>913</v>
      </c>
      <c r="Q501" s="221" t="s">
        <v>1946</v>
      </c>
      <c r="R501" s="11"/>
      <c r="S501" s="11"/>
      <c r="T501" s="11"/>
    </row>
    <row r="502" spans="1:20" ht="36" customHeight="1" x14ac:dyDescent="0.2">
      <c r="A502" s="7">
        <v>499</v>
      </c>
      <c r="B502" s="7">
        <v>824</v>
      </c>
      <c r="C502" s="231" t="s">
        <v>1947</v>
      </c>
      <c r="D502" s="3" t="s">
        <v>98</v>
      </c>
      <c r="E502" s="21" t="s">
        <v>20</v>
      </c>
      <c r="F502" s="7"/>
      <c r="G502" s="7"/>
      <c r="H502" s="7"/>
      <c r="I502" s="3" t="s">
        <v>748</v>
      </c>
      <c r="J502" s="7"/>
      <c r="K502" s="7"/>
      <c r="L502" s="228" t="s">
        <v>1186</v>
      </c>
      <c r="M502" s="3"/>
      <c r="N502" s="228" t="s">
        <v>750</v>
      </c>
      <c r="O502" s="3" t="s">
        <v>24</v>
      </c>
      <c r="P502" s="186" t="s">
        <v>24</v>
      </c>
      <c r="Q502" s="222" t="s">
        <v>1948</v>
      </c>
      <c r="R502" s="11"/>
      <c r="S502" s="11"/>
      <c r="T502" s="11"/>
    </row>
    <row r="503" spans="1:20" ht="36" customHeight="1" x14ac:dyDescent="0.2">
      <c r="A503" s="15">
        <v>500</v>
      </c>
      <c r="B503" s="15">
        <v>825</v>
      </c>
      <c r="C503" s="232" t="s">
        <v>1949</v>
      </c>
      <c r="D503" s="16" t="s">
        <v>41</v>
      </c>
      <c r="E503" s="17" t="s">
        <v>28</v>
      </c>
      <c r="F503" s="15"/>
      <c r="G503" s="15"/>
      <c r="H503" s="15"/>
      <c r="I503" s="16" t="s">
        <v>512</v>
      </c>
      <c r="J503" s="15"/>
      <c r="K503" s="15"/>
      <c r="L503" s="233" t="s">
        <v>589</v>
      </c>
      <c r="M503" s="16"/>
      <c r="N503" s="233" t="s">
        <v>513</v>
      </c>
      <c r="O503" s="16" t="s">
        <v>24</v>
      </c>
      <c r="P503" s="219" t="s">
        <v>47</v>
      </c>
      <c r="Q503" s="221" t="s">
        <v>1950</v>
      </c>
      <c r="R503" s="11"/>
      <c r="S503" s="11"/>
      <c r="T503" s="11"/>
    </row>
    <row r="504" spans="1:20" ht="36" customHeight="1" x14ac:dyDescent="0.2">
      <c r="A504" s="7">
        <v>501</v>
      </c>
      <c r="B504" s="7">
        <v>827</v>
      </c>
      <c r="C504" s="231" t="s">
        <v>1951</v>
      </c>
      <c r="D504" s="3" t="s">
        <v>1952</v>
      </c>
      <c r="E504" s="18" t="s">
        <v>42</v>
      </c>
      <c r="F504" s="7"/>
      <c r="G504" s="7"/>
      <c r="H504" s="7"/>
      <c r="I504" s="3" t="s">
        <v>617</v>
      </c>
      <c r="J504" s="7"/>
      <c r="K504" s="7"/>
      <c r="L504" s="228" t="s">
        <v>1953</v>
      </c>
      <c r="M504" s="3"/>
      <c r="N504" s="228" t="s">
        <v>619</v>
      </c>
      <c r="O504" s="3" t="s">
        <v>81</v>
      </c>
      <c r="P504" s="186" t="s">
        <v>81</v>
      </c>
      <c r="Q504" s="222" t="s">
        <v>1954</v>
      </c>
    </row>
    <row r="505" spans="1:20" ht="36" customHeight="1" x14ac:dyDescent="0.2">
      <c r="A505" s="15">
        <v>502</v>
      </c>
      <c r="B505" s="15">
        <v>832</v>
      </c>
      <c r="C505" s="232" t="s">
        <v>1955</v>
      </c>
      <c r="D505" s="16" t="s">
        <v>1956</v>
      </c>
      <c r="E505" s="19" t="s">
        <v>20</v>
      </c>
      <c r="F505" s="15"/>
      <c r="G505" s="15"/>
      <c r="H505" s="15"/>
      <c r="I505" s="16" t="s">
        <v>1957</v>
      </c>
      <c r="J505" s="15"/>
      <c r="K505" s="15"/>
      <c r="L505" s="233"/>
      <c r="M505" s="16"/>
      <c r="N505" s="233" t="s">
        <v>1958</v>
      </c>
      <c r="O505" s="16" t="s">
        <v>24</v>
      </c>
      <c r="P505" s="219" t="s">
        <v>24</v>
      </c>
      <c r="Q505" s="221" t="s">
        <v>1959</v>
      </c>
    </row>
    <row r="506" spans="1:20" ht="36" customHeight="1" x14ac:dyDescent="0.2">
      <c r="A506" s="7">
        <v>503</v>
      </c>
      <c r="B506" s="7">
        <v>839</v>
      </c>
      <c r="C506" s="231" t="s">
        <v>1960</v>
      </c>
      <c r="D506" s="3" t="s">
        <v>1961</v>
      </c>
      <c r="E506" s="18" t="s">
        <v>42</v>
      </c>
      <c r="F506" s="7"/>
      <c r="G506" s="7"/>
      <c r="H506" s="7"/>
      <c r="I506" s="3" t="s">
        <v>617</v>
      </c>
      <c r="J506" s="7"/>
      <c r="K506" s="7"/>
      <c r="L506" s="228" t="s">
        <v>188</v>
      </c>
      <c r="M506" s="3"/>
      <c r="N506" s="228" t="s">
        <v>619</v>
      </c>
      <c r="O506" s="3" t="s">
        <v>648</v>
      </c>
      <c r="P506" s="186" t="s">
        <v>648</v>
      </c>
      <c r="Q506" s="222" t="s">
        <v>1962</v>
      </c>
    </row>
    <row r="507" spans="1:20" ht="36" customHeight="1" x14ac:dyDescent="0.2">
      <c r="A507" s="15">
        <v>504</v>
      </c>
      <c r="B507" s="15">
        <v>840</v>
      </c>
      <c r="C507" s="232" t="s">
        <v>1963</v>
      </c>
      <c r="D507" s="16" t="s">
        <v>283</v>
      </c>
      <c r="E507" s="19" t="s">
        <v>28</v>
      </c>
      <c r="F507" s="15"/>
      <c r="G507" s="15"/>
      <c r="H507" s="15"/>
      <c r="I507" s="16" t="s">
        <v>1964</v>
      </c>
      <c r="J507" s="15"/>
      <c r="K507" s="15"/>
      <c r="L507" s="233" t="s">
        <v>339</v>
      </c>
      <c r="M507" s="16"/>
      <c r="N507" s="233" t="s">
        <v>1965</v>
      </c>
      <c r="O507" s="16" t="s">
        <v>363</v>
      </c>
      <c r="P507" s="219" t="s">
        <v>47</v>
      </c>
      <c r="Q507" s="221" t="s">
        <v>1966</v>
      </c>
    </row>
    <row r="508" spans="1:20" ht="36" customHeight="1" x14ac:dyDescent="0.2">
      <c r="A508" s="7">
        <v>505</v>
      </c>
      <c r="B508" s="7">
        <v>841</v>
      </c>
      <c r="C508" s="231" t="s">
        <v>1967</v>
      </c>
      <c r="D508" s="3" t="s">
        <v>1743</v>
      </c>
      <c r="E508" s="18" t="s">
        <v>28</v>
      </c>
      <c r="F508" s="7"/>
      <c r="G508" s="7"/>
      <c r="H508" s="7"/>
      <c r="I508" s="3" t="s">
        <v>617</v>
      </c>
      <c r="J508" s="7"/>
      <c r="K508" s="7"/>
      <c r="L508" s="228" t="s">
        <v>460</v>
      </c>
      <c r="M508" s="3"/>
      <c r="N508" s="228" t="s">
        <v>619</v>
      </c>
      <c r="O508" s="3" t="s">
        <v>648</v>
      </c>
      <c r="P508" s="186" t="s">
        <v>649</v>
      </c>
      <c r="Q508" s="222" t="s">
        <v>1968</v>
      </c>
    </row>
    <row r="509" spans="1:20" ht="36" customHeight="1" x14ac:dyDescent="0.2">
      <c r="A509" s="15">
        <v>506</v>
      </c>
      <c r="B509" s="15">
        <v>843</v>
      </c>
      <c r="C509" s="232" t="s">
        <v>1969</v>
      </c>
      <c r="D509" s="16" t="s">
        <v>376</v>
      </c>
      <c r="E509" s="19" t="s">
        <v>42</v>
      </c>
      <c r="F509" s="15"/>
      <c r="G509" s="15"/>
      <c r="H509" s="15"/>
      <c r="I509" s="16" t="s">
        <v>229</v>
      </c>
      <c r="J509" s="15"/>
      <c r="K509" s="15"/>
      <c r="L509" s="233" t="s">
        <v>1970</v>
      </c>
      <c r="M509" s="16"/>
      <c r="N509" s="233" t="s">
        <v>230</v>
      </c>
      <c r="O509" s="16" t="s">
        <v>341</v>
      </c>
      <c r="P509" s="219" t="s">
        <v>24</v>
      </c>
      <c r="Q509" s="221" t="s">
        <v>1971</v>
      </c>
    </row>
    <row r="510" spans="1:20" ht="36" customHeight="1" x14ac:dyDescent="0.2">
      <c r="A510" s="7">
        <v>507</v>
      </c>
      <c r="B510" s="7">
        <v>844</v>
      </c>
      <c r="C510" s="231" t="s">
        <v>1972</v>
      </c>
      <c r="D510" s="3" t="s">
        <v>611</v>
      </c>
      <c r="E510" s="18" t="s">
        <v>20</v>
      </c>
      <c r="F510" s="7"/>
      <c r="G510" s="7"/>
      <c r="H510" s="7"/>
      <c r="I510" s="3" t="s">
        <v>689</v>
      </c>
      <c r="J510" s="7"/>
      <c r="K510" s="7"/>
      <c r="L510" s="228" t="s">
        <v>350</v>
      </c>
      <c r="M510" s="3"/>
      <c r="N510" s="228" t="s">
        <v>690</v>
      </c>
      <c r="O510" s="3" t="s">
        <v>24</v>
      </c>
      <c r="P510" s="186" t="s">
        <v>1096</v>
      </c>
      <c r="Q510" s="222" t="s">
        <v>1973</v>
      </c>
    </row>
    <row r="511" spans="1:20" ht="36" customHeight="1" x14ac:dyDescent="0.2">
      <c r="A511" s="15">
        <v>508</v>
      </c>
      <c r="B511" s="15">
        <v>846</v>
      </c>
      <c r="C511" s="232" t="s">
        <v>1974</v>
      </c>
      <c r="D511" s="16" t="s">
        <v>1975</v>
      </c>
      <c r="E511" s="23" t="s">
        <v>28</v>
      </c>
      <c r="F511" s="15"/>
      <c r="G511" s="15"/>
      <c r="H511" s="15"/>
      <c r="I511" s="16" t="s">
        <v>1976</v>
      </c>
      <c r="J511" s="15"/>
      <c r="K511" s="15"/>
      <c r="L511" s="233" t="s">
        <v>1772</v>
      </c>
      <c r="M511" s="16"/>
      <c r="N511" s="233" t="s">
        <v>1977</v>
      </c>
      <c r="O511" s="16" t="s">
        <v>24</v>
      </c>
      <c r="P511" s="219" t="s">
        <v>24</v>
      </c>
      <c r="Q511" s="221" t="s">
        <v>1978</v>
      </c>
    </row>
    <row r="512" spans="1:20" ht="36" customHeight="1" x14ac:dyDescent="0.2">
      <c r="A512" s="7">
        <v>509</v>
      </c>
      <c r="B512" s="7">
        <v>849</v>
      </c>
      <c r="C512" s="231" t="s">
        <v>1979</v>
      </c>
      <c r="D512" s="3" t="s">
        <v>84</v>
      </c>
      <c r="E512" s="20" t="s">
        <v>28</v>
      </c>
      <c r="F512" s="7"/>
      <c r="G512" s="7"/>
      <c r="H512" s="7"/>
      <c r="I512" s="3" t="s">
        <v>689</v>
      </c>
      <c r="J512" s="7"/>
      <c r="K512" s="7"/>
      <c r="L512" s="228" t="s">
        <v>460</v>
      </c>
      <c r="M512" s="3"/>
      <c r="N512" s="228" t="s">
        <v>690</v>
      </c>
      <c r="O512" s="3" t="s">
        <v>24</v>
      </c>
      <c r="P512" s="186" t="s">
        <v>1096</v>
      </c>
      <c r="Q512" s="222" t="s">
        <v>1980</v>
      </c>
    </row>
    <row r="513" spans="1:17" ht="36" customHeight="1" x14ac:dyDescent="0.2">
      <c r="A513" s="15">
        <v>510</v>
      </c>
      <c r="B513" s="15">
        <v>852</v>
      </c>
      <c r="C513" s="232" t="s">
        <v>1981</v>
      </c>
      <c r="D513" s="16" t="s">
        <v>41</v>
      </c>
      <c r="E513" s="19" t="s">
        <v>28</v>
      </c>
      <c r="F513" s="15"/>
      <c r="G513" s="15"/>
      <c r="H513" s="15"/>
      <c r="I513" s="16" t="s">
        <v>512</v>
      </c>
      <c r="J513" s="15"/>
      <c r="K513" s="15"/>
      <c r="L513" s="233" t="s">
        <v>183</v>
      </c>
      <c r="M513" s="16"/>
      <c r="N513" s="233" t="s">
        <v>513</v>
      </c>
      <c r="O513" s="16" t="s">
        <v>65</v>
      </c>
      <c r="P513" s="219" t="s">
        <v>47</v>
      </c>
      <c r="Q513" s="221" t="s">
        <v>1982</v>
      </c>
    </row>
    <row r="514" spans="1:17" ht="36" customHeight="1" x14ac:dyDescent="0.2">
      <c r="A514" s="7">
        <v>511</v>
      </c>
      <c r="B514" s="7">
        <v>853</v>
      </c>
      <c r="C514" s="231" t="s">
        <v>1983</v>
      </c>
      <c r="D514" s="3" t="s">
        <v>466</v>
      </c>
      <c r="E514" s="14" t="s">
        <v>28</v>
      </c>
      <c r="F514" s="7"/>
      <c r="G514" s="7"/>
      <c r="H514" s="7"/>
      <c r="I514" s="3" t="s">
        <v>1984</v>
      </c>
      <c r="J514" s="7"/>
      <c r="K514" s="7"/>
      <c r="L514" s="228" t="s">
        <v>1853</v>
      </c>
      <c r="M514" s="3"/>
      <c r="N514" s="228" t="s">
        <v>1985</v>
      </c>
      <c r="O514" s="3" t="s">
        <v>24</v>
      </c>
      <c r="P514" s="186" t="s">
        <v>24</v>
      </c>
      <c r="Q514" s="222" t="s">
        <v>1986</v>
      </c>
    </row>
    <row r="515" spans="1:17" ht="36" customHeight="1" x14ac:dyDescent="0.2">
      <c r="A515" s="15">
        <v>512</v>
      </c>
      <c r="B515" s="15">
        <v>855</v>
      </c>
      <c r="C515" s="232" t="s">
        <v>1987</v>
      </c>
      <c r="D515" s="16" t="s">
        <v>1824</v>
      </c>
      <c r="E515" s="22" t="s">
        <v>28</v>
      </c>
      <c r="F515" s="15"/>
      <c r="G515" s="15"/>
      <c r="H515" s="15"/>
      <c r="I515" s="16" t="s">
        <v>1076</v>
      </c>
      <c r="J515" s="15"/>
      <c r="K515" s="15"/>
      <c r="L515" s="233" t="s">
        <v>1988</v>
      </c>
      <c r="M515" s="16"/>
      <c r="N515" s="233" t="s">
        <v>1077</v>
      </c>
      <c r="O515" s="16" t="s">
        <v>326</v>
      </c>
      <c r="P515" s="219" t="s">
        <v>24</v>
      </c>
      <c r="Q515" s="221" t="s">
        <v>1989</v>
      </c>
    </row>
    <row r="516" spans="1:17" ht="36" customHeight="1" x14ac:dyDescent="0.2">
      <c r="A516" s="7">
        <v>513</v>
      </c>
      <c r="B516" s="7">
        <v>860</v>
      </c>
      <c r="C516" s="231" t="s">
        <v>1990</v>
      </c>
      <c r="D516" s="3" t="s">
        <v>318</v>
      </c>
      <c r="E516" s="18" t="s">
        <v>20</v>
      </c>
      <c r="F516" s="7"/>
      <c r="G516" s="7"/>
      <c r="H516" s="7"/>
      <c r="I516" s="3" t="s">
        <v>1991</v>
      </c>
      <c r="J516" s="7"/>
      <c r="K516" s="7"/>
      <c r="L516" s="228" t="s">
        <v>339</v>
      </c>
      <c r="M516" s="3"/>
      <c r="N516" s="228" t="s">
        <v>1992</v>
      </c>
      <c r="O516" s="3" t="s">
        <v>24</v>
      </c>
      <c r="P516" s="186" t="s">
        <v>24</v>
      </c>
      <c r="Q516" s="222" t="s">
        <v>1993</v>
      </c>
    </row>
    <row r="517" spans="1:17" ht="36" customHeight="1" x14ac:dyDescent="0.2">
      <c r="A517" s="15">
        <v>514</v>
      </c>
      <c r="B517" s="15">
        <v>863</v>
      </c>
      <c r="C517" s="232" t="s">
        <v>1994</v>
      </c>
      <c r="D517" s="16" t="s">
        <v>1995</v>
      </c>
      <c r="E517" s="17" t="s">
        <v>28</v>
      </c>
      <c r="F517" s="15"/>
      <c r="G517" s="15"/>
      <c r="H517" s="15"/>
      <c r="I517" s="16" t="s">
        <v>569</v>
      </c>
      <c r="J517" s="15"/>
      <c r="K517" s="15"/>
      <c r="L517" s="233" t="s">
        <v>1996</v>
      </c>
      <c r="M517" s="16"/>
      <c r="N517" s="233" t="s">
        <v>571</v>
      </c>
      <c r="O517" s="16" t="s">
        <v>24</v>
      </c>
      <c r="P517" s="219" t="s">
        <v>24</v>
      </c>
      <c r="Q517" s="221" t="s">
        <v>1997</v>
      </c>
    </row>
    <row r="518" spans="1:17" ht="36" customHeight="1" x14ac:dyDescent="0.2">
      <c r="A518" s="7">
        <v>515</v>
      </c>
      <c r="B518" s="7">
        <v>865</v>
      </c>
      <c r="C518" s="231" t="s">
        <v>1998</v>
      </c>
      <c r="D518" s="3" t="s">
        <v>500</v>
      </c>
      <c r="E518" s="21" t="s">
        <v>28</v>
      </c>
      <c r="F518" s="7"/>
      <c r="G518" s="7"/>
      <c r="H518" s="7"/>
      <c r="I518" s="3" t="s">
        <v>569</v>
      </c>
      <c r="J518" s="7"/>
      <c r="K518" s="7"/>
      <c r="L518" s="228" t="s">
        <v>589</v>
      </c>
      <c r="M518" s="3"/>
      <c r="N518" s="228" t="s">
        <v>571</v>
      </c>
      <c r="O518" s="3" t="s">
        <v>24</v>
      </c>
      <c r="P518" s="186" t="s">
        <v>503</v>
      </c>
      <c r="Q518" s="222" t="s">
        <v>1999</v>
      </c>
    </row>
    <row r="519" spans="1:17" ht="36" customHeight="1" x14ac:dyDescent="0.2">
      <c r="A519" s="15">
        <v>516</v>
      </c>
      <c r="B519" s="15">
        <v>867</v>
      </c>
      <c r="C519" s="232" t="s">
        <v>2000</v>
      </c>
      <c r="D519" s="16" t="s">
        <v>283</v>
      </c>
      <c r="E519" s="22" t="s">
        <v>20</v>
      </c>
      <c r="F519" s="15"/>
      <c r="G519" s="15"/>
      <c r="H519" s="15"/>
      <c r="I519" s="16" t="s">
        <v>652</v>
      </c>
      <c r="J519" s="15"/>
      <c r="K519" s="15"/>
      <c r="L519" s="233" t="s">
        <v>1970</v>
      </c>
      <c r="M519" s="16"/>
      <c r="N519" s="233" t="s">
        <v>654</v>
      </c>
      <c r="O519" s="16" t="s">
        <v>81</v>
      </c>
      <c r="P519" s="219" t="s">
        <v>81</v>
      </c>
      <c r="Q519" s="221" t="s">
        <v>2001</v>
      </c>
    </row>
    <row r="520" spans="1:17" ht="36" customHeight="1" x14ac:dyDescent="0.2">
      <c r="A520" s="7">
        <v>517</v>
      </c>
      <c r="B520" s="7">
        <v>868</v>
      </c>
      <c r="C520" s="231" t="s">
        <v>2002</v>
      </c>
      <c r="D520" s="3" t="s">
        <v>666</v>
      </c>
      <c r="E520" s="14" t="s">
        <v>20</v>
      </c>
      <c r="F520" s="7"/>
      <c r="G520" s="7"/>
      <c r="H520" s="7"/>
      <c r="I520" s="3" t="s">
        <v>2003</v>
      </c>
      <c r="J520" s="7"/>
      <c r="K520" s="7"/>
      <c r="L520" s="228" t="s">
        <v>339</v>
      </c>
      <c r="M520" s="3"/>
      <c r="N520" s="228" t="s">
        <v>2004</v>
      </c>
      <c r="O520" s="3" t="s">
        <v>47</v>
      </c>
      <c r="P520" s="186" t="s">
        <v>47</v>
      </c>
      <c r="Q520" s="222" t="s">
        <v>2005</v>
      </c>
    </row>
    <row r="521" spans="1:17" ht="36" customHeight="1" x14ac:dyDescent="0.2">
      <c r="A521" s="15">
        <v>518</v>
      </c>
      <c r="B521" s="15">
        <v>871</v>
      </c>
      <c r="C521" s="232" t="s">
        <v>2006</v>
      </c>
      <c r="D521" s="16" t="s">
        <v>1531</v>
      </c>
      <c r="E521" s="19" t="s">
        <v>42</v>
      </c>
      <c r="F521" s="15"/>
      <c r="G521" s="15"/>
      <c r="H521" s="15"/>
      <c r="I521" s="16" t="s">
        <v>2007</v>
      </c>
      <c r="J521" s="15"/>
      <c r="K521" s="15"/>
      <c r="L521" s="233" t="s">
        <v>339</v>
      </c>
      <c r="M521" s="16"/>
      <c r="N521" s="233" t="s">
        <v>2008</v>
      </c>
      <c r="O521" s="16" t="s">
        <v>326</v>
      </c>
      <c r="P521" s="219" t="s">
        <v>24</v>
      </c>
      <c r="Q521" s="221" t="s">
        <v>2009</v>
      </c>
    </row>
    <row r="522" spans="1:17" ht="36" customHeight="1" x14ac:dyDescent="0.2">
      <c r="A522" s="7">
        <v>519</v>
      </c>
      <c r="B522" s="7">
        <v>874</v>
      </c>
      <c r="C522" s="231" t="s">
        <v>2010</v>
      </c>
      <c r="D522" s="3" t="s">
        <v>19</v>
      </c>
      <c r="E522" s="20" t="s">
        <v>28</v>
      </c>
      <c r="F522" s="7"/>
      <c r="G522" s="7"/>
      <c r="H522" s="7"/>
      <c r="I522" s="3" t="s">
        <v>2011</v>
      </c>
      <c r="J522" s="7"/>
      <c r="K522" s="7"/>
      <c r="L522" s="228" t="s">
        <v>188</v>
      </c>
      <c r="M522" s="3"/>
      <c r="N522" s="228" t="s">
        <v>2012</v>
      </c>
      <c r="O522" s="3" t="s">
        <v>24</v>
      </c>
      <c r="P522" s="186" t="s">
        <v>24</v>
      </c>
      <c r="Q522" s="222" t="s">
        <v>2013</v>
      </c>
    </row>
    <row r="523" spans="1:17" ht="36" customHeight="1" x14ac:dyDescent="0.2">
      <c r="A523" s="15">
        <v>520</v>
      </c>
      <c r="B523" s="15">
        <v>875</v>
      </c>
      <c r="C523" s="232" t="s">
        <v>2014</v>
      </c>
      <c r="D523" s="16" t="s">
        <v>41</v>
      </c>
      <c r="E523" s="23" t="s">
        <v>28</v>
      </c>
      <c r="F523" s="15"/>
      <c r="G523" s="15"/>
      <c r="H523" s="15"/>
      <c r="I523" s="16" t="s">
        <v>512</v>
      </c>
      <c r="J523" s="15"/>
      <c r="K523" s="15"/>
      <c r="L523" s="233" t="s">
        <v>2015</v>
      </c>
      <c r="M523" s="16"/>
      <c r="N523" s="233" t="s">
        <v>513</v>
      </c>
      <c r="O523" s="16" t="s">
        <v>65</v>
      </c>
      <c r="P523" s="219" t="s">
        <v>47</v>
      </c>
      <c r="Q523" s="221" t="s">
        <v>2016</v>
      </c>
    </row>
    <row r="524" spans="1:17" ht="36" customHeight="1" x14ac:dyDescent="0.2">
      <c r="A524" s="7">
        <v>521</v>
      </c>
      <c r="B524" s="7">
        <v>876</v>
      </c>
      <c r="C524" s="231" t="s">
        <v>2017</v>
      </c>
      <c r="D524" s="3" t="s">
        <v>679</v>
      </c>
      <c r="E524" s="18" t="s">
        <v>20</v>
      </c>
      <c r="F524" s="7"/>
      <c r="G524" s="7"/>
      <c r="H524" s="7"/>
      <c r="I524" s="3" t="s">
        <v>689</v>
      </c>
      <c r="J524" s="7"/>
      <c r="K524" s="7"/>
      <c r="L524" s="228" t="s">
        <v>383</v>
      </c>
      <c r="M524" s="3"/>
      <c r="N524" s="228" t="s">
        <v>690</v>
      </c>
      <c r="O524" s="3" t="s">
        <v>24</v>
      </c>
      <c r="P524" s="186" t="s">
        <v>47</v>
      </c>
      <c r="Q524" s="222" t="s">
        <v>2018</v>
      </c>
    </row>
    <row r="525" spans="1:17" ht="36" customHeight="1" x14ac:dyDescent="0.2">
      <c r="A525" s="15">
        <v>522</v>
      </c>
      <c r="B525" s="15">
        <v>878</v>
      </c>
      <c r="C525" s="232" t="s">
        <v>2019</v>
      </c>
      <c r="D525" s="16" t="s">
        <v>295</v>
      </c>
      <c r="E525" s="19" t="s">
        <v>42</v>
      </c>
      <c r="F525" s="15"/>
      <c r="G525" s="15"/>
      <c r="H525" s="15"/>
      <c r="I525" s="16" t="s">
        <v>2020</v>
      </c>
      <c r="J525" s="15"/>
      <c r="K525" s="15"/>
      <c r="L525" s="233" t="s">
        <v>339</v>
      </c>
      <c r="M525" s="16"/>
      <c r="N525" s="233" t="s">
        <v>2021</v>
      </c>
      <c r="O525" s="16" t="s">
        <v>2022</v>
      </c>
      <c r="P525" s="219" t="s">
        <v>47</v>
      </c>
      <c r="Q525" s="221" t="s">
        <v>2023</v>
      </c>
    </row>
    <row r="526" spans="1:17" ht="36" customHeight="1" x14ac:dyDescent="0.2">
      <c r="A526" s="7">
        <v>523</v>
      </c>
      <c r="B526" s="7">
        <v>881</v>
      </c>
      <c r="C526" s="231" t="s">
        <v>2024</v>
      </c>
      <c r="D526" s="3" t="s">
        <v>2025</v>
      </c>
      <c r="E526" s="21" t="s">
        <v>28</v>
      </c>
      <c r="F526" s="7"/>
      <c r="G526" s="7"/>
      <c r="H526" s="7"/>
      <c r="I526" s="3" t="s">
        <v>689</v>
      </c>
      <c r="J526" s="7"/>
      <c r="K526" s="7"/>
      <c r="L526" s="228" t="s">
        <v>339</v>
      </c>
      <c r="M526" s="3"/>
      <c r="N526" s="228" t="s">
        <v>690</v>
      </c>
      <c r="O526" s="3" t="s">
        <v>326</v>
      </c>
      <c r="P526" s="186" t="s">
        <v>47</v>
      </c>
      <c r="Q526" s="222" t="s">
        <v>2026</v>
      </c>
    </row>
    <row r="527" spans="1:17" ht="36" customHeight="1" x14ac:dyDescent="0.2">
      <c r="A527" s="15">
        <v>524</v>
      </c>
      <c r="B527" s="15">
        <v>885</v>
      </c>
      <c r="C527" s="232" t="s">
        <v>2027</v>
      </c>
      <c r="D527" s="16" t="s">
        <v>283</v>
      </c>
      <c r="E527" s="23" t="s">
        <v>28</v>
      </c>
      <c r="F527" s="15"/>
      <c r="G527" s="15"/>
      <c r="H527" s="15"/>
      <c r="I527" s="16" t="s">
        <v>652</v>
      </c>
      <c r="J527" s="15"/>
      <c r="K527" s="15"/>
      <c r="L527" s="233" t="s">
        <v>460</v>
      </c>
      <c r="M527" s="16"/>
      <c r="N527" s="233" t="s">
        <v>654</v>
      </c>
      <c r="O527" s="16" t="s">
        <v>81</v>
      </c>
      <c r="P527" s="219" t="s">
        <v>81</v>
      </c>
      <c r="Q527" s="221" t="s">
        <v>2028</v>
      </c>
    </row>
    <row r="528" spans="1:17" ht="36" customHeight="1" x14ac:dyDescent="0.2">
      <c r="A528" s="7">
        <v>525</v>
      </c>
      <c r="B528" s="7">
        <v>886</v>
      </c>
      <c r="C528" s="231" t="s">
        <v>2029</v>
      </c>
      <c r="D528" s="3" t="s">
        <v>1378</v>
      </c>
      <c r="E528" s="18" t="s">
        <v>28</v>
      </c>
      <c r="F528" s="7"/>
      <c r="G528" s="7"/>
      <c r="H528" s="7"/>
      <c r="I528" s="3" t="s">
        <v>617</v>
      </c>
      <c r="J528" s="7"/>
      <c r="K528" s="7"/>
      <c r="L528" s="228" t="s">
        <v>454</v>
      </c>
      <c r="M528" s="3"/>
      <c r="N528" s="228" t="s">
        <v>619</v>
      </c>
      <c r="O528" s="3" t="s">
        <v>648</v>
      </c>
      <c r="P528" s="186" t="s">
        <v>648</v>
      </c>
      <c r="Q528" s="222" t="s">
        <v>2030</v>
      </c>
    </row>
    <row r="529" spans="1:17" ht="36" customHeight="1" x14ac:dyDescent="0.2">
      <c r="A529" s="15">
        <v>526</v>
      </c>
      <c r="B529" s="15">
        <v>888</v>
      </c>
      <c r="C529" s="232" t="s">
        <v>2031</v>
      </c>
      <c r="D529" s="16" t="s">
        <v>2032</v>
      </c>
      <c r="E529" s="17" t="s">
        <v>20</v>
      </c>
      <c r="F529" s="15"/>
      <c r="G529" s="15"/>
      <c r="H529" s="15"/>
      <c r="I529" s="16" t="s">
        <v>2033</v>
      </c>
      <c r="J529" s="15"/>
      <c r="K529" s="15"/>
      <c r="L529" s="233"/>
      <c r="M529" s="16"/>
      <c r="N529" s="233" t="s">
        <v>2034</v>
      </c>
      <c r="O529" s="16" t="s">
        <v>24</v>
      </c>
      <c r="P529" s="219" t="s">
        <v>24</v>
      </c>
      <c r="Q529" s="221" t="s">
        <v>2035</v>
      </c>
    </row>
    <row r="530" spans="1:17" ht="36" customHeight="1" x14ac:dyDescent="0.2">
      <c r="A530" s="7">
        <v>527</v>
      </c>
      <c r="B530" s="7">
        <v>889</v>
      </c>
      <c r="C530" s="231" t="s">
        <v>2036</v>
      </c>
      <c r="D530" s="3" t="s">
        <v>500</v>
      </c>
      <c r="E530" s="18" t="s">
        <v>28</v>
      </c>
      <c r="F530" s="7"/>
      <c r="G530" s="7"/>
      <c r="H530" s="7"/>
      <c r="I530" s="3" t="s">
        <v>569</v>
      </c>
      <c r="J530" s="7"/>
      <c r="K530" s="7"/>
      <c r="L530" s="228" t="s">
        <v>460</v>
      </c>
      <c r="M530" s="3"/>
      <c r="N530" s="228" t="s">
        <v>571</v>
      </c>
      <c r="O530" s="3" t="s">
        <v>24</v>
      </c>
      <c r="P530" s="186" t="s">
        <v>24</v>
      </c>
      <c r="Q530" s="222" t="s">
        <v>2037</v>
      </c>
    </row>
    <row r="531" spans="1:17" ht="36" customHeight="1" x14ac:dyDescent="0.2">
      <c r="A531" s="15">
        <v>528</v>
      </c>
      <c r="B531" s="15">
        <v>895</v>
      </c>
      <c r="C531" s="232" t="s">
        <v>2038</v>
      </c>
      <c r="D531" s="16" t="s">
        <v>1291</v>
      </c>
      <c r="E531" s="22" t="s">
        <v>42</v>
      </c>
      <c r="F531" s="15"/>
      <c r="G531" s="15"/>
      <c r="H531" s="15"/>
      <c r="I531" s="16" t="s">
        <v>957</v>
      </c>
      <c r="J531" s="15"/>
      <c r="K531" s="15"/>
      <c r="L531" s="233" t="s">
        <v>2039</v>
      </c>
      <c r="M531" s="16"/>
      <c r="N531" s="233" t="s">
        <v>959</v>
      </c>
      <c r="O531" s="16" t="s">
        <v>960</v>
      </c>
      <c r="P531" s="219" t="s">
        <v>153</v>
      </c>
      <c r="Q531" s="221" t="s">
        <v>2040</v>
      </c>
    </row>
    <row r="532" spans="1:17" ht="36" customHeight="1" x14ac:dyDescent="0.2">
      <c r="A532" s="7">
        <v>529</v>
      </c>
      <c r="B532" s="7">
        <v>896</v>
      </c>
      <c r="C532" s="231" t="s">
        <v>2041</v>
      </c>
      <c r="D532" s="3" t="s">
        <v>166</v>
      </c>
      <c r="E532" s="18" t="s">
        <v>20</v>
      </c>
      <c r="F532" s="7"/>
      <c r="G532" s="7"/>
      <c r="H532" s="7"/>
      <c r="I532" s="3" t="s">
        <v>2042</v>
      </c>
      <c r="J532" s="7"/>
      <c r="K532" s="7"/>
      <c r="L532" s="228" t="s">
        <v>339</v>
      </c>
      <c r="M532" s="3"/>
      <c r="N532" s="228" t="s">
        <v>2043</v>
      </c>
      <c r="O532" s="3" t="s">
        <v>24</v>
      </c>
      <c r="P532" s="186" t="s">
        <v>47</v>
      </c>
      <c r="Q532" s="222" t="s">
        <v>2044</v>
      </c>
    </row>
    <row r="533" spans="1:17" ht="36" customHeight="1" x14ac:dyDescent="0.2">
      <c r="A533" s="15">
        <v>530</v>
      </c>
      <c r="B533" s="15">
        <v>901</v>
      </c>
      <c r="C533" s="232" t="s">
        <v>2045</v>
      </c>
      <c r="D533" s="16" t="s">
        <v>466</v>
      </c>
      <c r="E533" s="23" t="s">
        <v>28</v>
      </c>
      <c r="F533" s="15"/>
      <c r="G533" s="15"/>
      <c r="H533" s="15"/>
      <c r="I533" s="16" t="s">
        <v>540</v>
      </c>
      <c r="J533" s="15"/>
      <c r="K533" s="15"/>
      <c r="L533" s="233" t="s">
        <v>263</v>
      </c>
      <c r="M533" s="16"/>
      <c r="N533" s="233" t="s">
        <v>542</v>
      </c>
      <c r="O533" s="16" t="s">
        <v>24</v>
      </c>
      <c r="P533" s="219" t="s">
        <v>24</v>
      </c>
      <c r="Q533" s="221" t="s">
        <v>2046</v>
      </c>
    </row>
    <row r="534" spans="1:17" ht="36" customHeight="1" x14ac:dyDescent="0.2">
      <c r="A534" s="7">
        <v>531</v>
      </c>
      <c r="B534" s="7">
        <v>904</v>
      </c>
      <c r="C534" s="231" t="s">
        <v>2047</v>
      </c>
      <c r="D534" s="3" t="s">
        <v>916</v>
      </c>
      <c r="E534" s="18" t="s">
        <v>28</v>
      </c>
      <c r="F534" s="7"/>
      <c r="G534" s="7"/>
      <c r="H534" s="7"/>
      <c r="I534" s="3" t="s">
        <v>917</v>
      </c>
      <c r="J534" s="7"/>
      <c r="K534" s="7"/>
      <c r="L534" s="228" t="s">
        <v>183</v>
      </c>
      <c r="M534" s="3"/>
      <c r="N534" s="228" t="s">
        <v>919</v>
      </c>
      <c r="O534" s="3" t="s">
        <v>24</v>
      </c>
      <c r="P534" s="186" t="s">
        <v>1096</v>
      </c>
      <c r="Q534" s="222" t="s">
        <v>2048</v>
      </c>
    </row>
    <row r="535" spans="1:17" ht="36" customHeight="1" x14ac:dyDescent="0.2">
      <c r="A535" s="15">
        <v>532</v>
      </c>
      <c r="B535" s="15">
        <v>905</v>
      </c>
      <c r="C535" s="232" t="s">
        <v>2049</v>
      </c>
      <c r="D535" s="16" t="s">
        <v>2050</v>
      </c>
      <c r="E535" s="23" t="s">
        <v>20</v>
      </c>
      <c r="F535" s="15"/>
      <c r="G535" s="15"/>
      <c r="H535" s="15"/>
      <c r="I535" s="16" t="s">
        <v>2051</v>
      </c>
      <c r="J535" s="15"/>
      <c r="K535" s="15"/>
      <c r="L535" s="233"/>
      <c r="M535" s="16"/>
      <c r="N535" s="233" t="s">
        <v>2052</v>
      </c>
      <c r="O535" s="16" t="s">
        <v>24</v>
      </c>
      <c r="P535" s="219" t="s">
        <v>24</v>
      </c>
      <c r="Q535" s="221" t="s">
        <v>2053</v>
      </c>
    </row>
    <row r="536" spans="1:17" ht="36" customHeight="1" x14ac:dyDescent="0.2">
      <c r="A536" s="7">
        <v>533</v>
      </c>
      <c r="B536" s="7">
        <v>907</v>
      </c>
      <c r="C536" s="231" t="s">
        <v>2054</v>
      </c>
      <c r="D536" s="3" t="s">
        <v>466</v>
      </c>
      <c r="E536" s="18" t="s">
        <v>28</v>
      </c>
      <c r="F536" s="7"/>
      <c r="G536" s="7"/>
      <c r="H536" s="7"/>
      <c r="I536" s="3" t="s">
        <v>540</v>
      </c>
      <c r="J536" s="7"/>
      <c r="K536" s="7"/>
      <c r="L536" s="228" t="s">
        <v>618</v>
      </c>
      <c r="M536" s="3"/>
      <c r="N536" s="228" t="s">
        <v>542</v>
      </c>
      <c r="O536" s="3" t="s">
        <v>24</v>
      </c>
      <c r="P536" s="186" t="s">
        <v>24</v>
      </c>
      <c r="Q536" s="222" t="s">
        <v>2055</v>
      </c>
    </row>
    <row r="537" spans="1:17" ht="36" customHeight="1" x14ac:dyDescent="0.2">
      <c r="A537" s="15">
        <v>534</v>
      </c>
      <c r="B537" s="15">
        <v>909</v>
      </c>
      <c r="C537" s="232" t="s">
        <v>2056</v>
      </c>
      <c r="D537" s="16" t="s">
        <v>1106</v>
      </c>
      <c r="E537" s="17" t="s">
        <v>28</v>
      </c>
      <c r="F537" s="15"/>
      <c r="G537" s="15"/>
      <c r="H537" s="15"/>
      <c r="I537" s="16" t="s">
        <v>617</v>
      </c>
      <c r="J537" s="15"/>
      <c r="K537" s="15"/>
      <c r="L537" s="233" t="s">
        <v>460</v>
      </c>
      <c r="M537" s="16"/>
      <c r="N537" s="233" t="s">
        <v>619</v>
      </c>
      <c r="O537" s="16" t="s">
        <v>81</v>
      </c>
      <c r="P537" s="219" t="s">
        <v>81</v>
      </c>
      <c r="Q537" s="221" t="s">
        <v>2057</v>
      </c>
    </row>
    <row r="538" spans="1:17" ht="36" customHeight="1" x14ac:dyDescent="0.2">
      <c r="A538" s="7">
        <v>535</v>
      </c>
      <c r="B538" s="7">
        <v>912</v>
      </c>
      <c r="C538" s="231" t="s">
        <v>2058</v>
      </c>
      <c r="D538" s="3" t="s">
        <v>1075</v>
      </c>
      <c r="E538" s="14" t="s">
        <v>28</v>
      </c>
      <c r="F538" s="7"/>
      <c r="G538" s="7"/>
      <c r="H538" s="7"/>
      <c r="I538" s="3" t="s">
        <v>1076</v>
      </c>
      <c r="J538" s="7"/>
      <c r="K538" s="7"/>
      <c r="L538" s="228" t="s">
        <v>618</v>
      </c>
      <c r="M538" s="3"/>
      <c r="N538" s="228" t="s">
        <v>1077</v>
      </c>
      <c r="O538" s="3" t="s">
        <v>326</v>
      </c>
      <c r="P538" s="186" t="s">
        <v>24</v>
      </c>
      <c r="Q538" s="222" t="s">
        <v>2059</v>
      </c>
    </row>
    <row r="539" spans="1:17" ht="36" customHeight="1" x14ac:dyDescent="0.2">
      <c r="A539" s="15">
        <v>536</v>
      </c>
      <c r="B539" s="15">
        <v>918</v>
      </c>
      <c r="C539" s="232" t="s">
        <v>2060</v>
      </c>
      <c r="D539" s="16" t="s">
        <v>309</v>
      </c>
      <c r="E539" s="19" t="s">
        <v>28</v>
      </c>
      <c r="F539" s="15"/>
      <c r="G539" s="15"/>
      <c r="H539" s="15"/>
      <c r="I539" s="16" t="s">
        <v>507</v>
      </c>
      <c r="J539" s="15"/>
      <c r="K539" s="15"/>
      <c r="L539" s="233" t="s">
        <v>460</v>
      </c>
      <c r="M539" s="16"/>
      <c r="N539" s="233" t="s">
        <v>508</v>
      </c>
      <c r="O539" s="16" t="s">
        <v>24</v>
      </c>
      <c r="P539" s="219" t="s">
        <v>24</v>
      </c>
      <c r="Q539" s="221" t="s">
        <v>2061</v>
      </c>
    </row>
    <row r="540" spans="1:17" ht="36" customHeight="1" x14ac:dyDescent="0.2">
      <c r="A540" s="7">
        <v>537</v>
      </c>
      <c r="B540" s="7">
        <v>921</v>
      </c>
      <c r="C540" s="231" t="s">
        <v>2062</v>
      </c>
      <c r="D540" s="3" t="s">
        <v>1381</v>
      </c>
      <c r="E540" s="18" t="s">
        <v>28</v>
      </c>
      <c r="F540" s="7"/>
      <c r="G540" s="7"/>
      <c r="H540" s="7"/>
      <c r="I540" s="3" t="s">
        <v>540</v>
      </c>
      <c r="J540" s="7"/>
      <c r="K540" s="7"/>
      <c r="L540" s="228" t="s">
        <v>372</v>
      </c>
      <c r="M540" s="3"/>
      <c r="N540" s="228" t="s">
        <v>542</v>
      </c>
      <c r="O540" s="3" t="s">
        <v>24</v>
      </c>
      <c r="P540" s="186" t="s">
        <v>47</v>
      </c>
      <c r="Q540" s="222" t="s">
        <v>2063</v>
      </c>
    </row>
    <row r="541" spans="1:17" ht="36" customHeight="1" x14ac:dyDescent="0.2">
      <c r="A541" s="15">
        <v>538</v>
      </c>
      <c r="B541" s="15">
        <v>930</v>
      </c>
      <c r="C541" s="232" t="s">
        <v>2064</v>
      </c>
      <c r="D541" s="16" t="s">
        <v>1559</v>
      </c>
      <c r="E541" s="23" t="s">
        <v>28</v>
      </c>
      <c r="F541" s="15"/>
      <c r="G541" s="15"/>
      <c r="H541" s="15"/>
      <c r="I541" s="16" t="s">
        <v>2065</v>
      </c>
      <c r="J541" s="15"/>
      <c r="K541" s="15"/>
      <c r="L541" s="233" t="s">
        <v>339</v>
      </c>
      <c r="M541" s="16"/>
      <c r="N541" s="233" t="s">
        <v>2066</v>
      </c>
      <c r="O541" s="16" t="s">
        <v>24</v>
      </c>
      <c r="P541" s="219" t="s">
        <v>24</v>
      </c>
      <c r="Q541" s="221" t="s">
        <v>2067</v>
      </c>
    </row>
    <row r="542" spans="1:17" ht="36" customHeight="1" x14ac:dyDescent="0.2">
      <c r="A542" s="7">
        <v>539</v>
      </c>
      <c r="B542" s="7">
        <v>931</v>
      </c>
      <c r="C542" s="231" t="s">
        <v>2068</v>
      </c>
      <c r="D542" s="3" t="s">
        <v>309</v>
      </c>
      <c r="E542" s="14" t="s">
        <v>28</v>
      </c>
      <c r="F542" s="7"/>
      <c r="G542" s="7"/>
      <c r="H542" s="7"/>
      <c r="I542" s="3" t="s">
        <v>507</v>
      </c>
      <c r="J542" s="7"/>
      <c r="K542" s="7"/>
      <c r="L542" s="228" t="s">
        <v>188</v>
      </c>
      <c r="M542" s="3"/>
      <c r="N542" s="228" t="s">
        <v>508</v>
      </c>
      <c r="O542" s="3" t="s">
        <v>341</v>
      </c>
      <c r="P542" s="186" t="s">
        <v>24</v>
      </c>
      <c r="Q542" s="222" t="s">
        <v>2069</v>
      </c>
    </row>
    <row r="543" spans="1:17" ht="36" customHeight="1" x14ac:dyDescent="0.2">
      <c r="A543" s="15">
        <v>540</v>
      </c>
      <c r="B543" s="15">
        <v>933</v>
      </c>
      <c r="C543" s="232" t="s">
        <v>2070</v>
      </c>
      <c r="D543" s="16" t="s">
        <v>1298</v>
      </c>
      <c r="E543" s="19" t="s">
        <v>20</v>
      </c>
      <c r="F543" s="15"/>
      <c r="G543" s="15"/>
      <c r="H543" s="15"/>
      <c r="I543" s="16" t="s">
        <v>2071</v>
      </c>
      <c r="J543" s="15"/>
      <c r="K543" s="15"/>
      <c r="L543" s="233" t="s">
        <v>188</v>
      </c>
      <c r="M543" s="16"/>
      <c r="N543" s="233" t="s">
        <v>2072</v>
      </c>
      <c r="O543" s="16" t="s">
        <v>24</v>
      </c>
      <c r="P543" s="219" t="s">
        <v>24</v>
      </c>
      <c r="Q543" s="221" t="s">
        <v>2073</v>
      </c>
    </row>
    <row r="544" spans="1:17" ht="36" customHeight="1" x14ac:dyDescent="0.2">
      <c r="A544" s="7">
        <v>541</v>
      </c>
      <c r="B544" s="7">
        <v>934</v>
      </c>
      <c r="C544" s="231" t="s">
        <v>2074</v>
      </c>
      <c r="D544" s="3" t="s">
        <v>2075</v>
      </c>
      <c r="E544" s="18" t="s">
        <v>28</v>
      </c>
      <c r="F544" s="7"/>
      <c r="G544" s="7"/>
      <c r="H544" s="7"/>
      <c r="I544" s="3" t="s">
        <v>617</v>
      </c>
      <c r="J544" s="7"/>
      <c r="K544" s="7"/>
      <c r="L544" s="228" t="s">
        <v>1031</v>
      </c>
      <c r="M544" s="3"/>
      <c r="N544" s="228" t="s">
        <v>619</v>
      </c>
      <c r="O544" s="3" t="s">
        <v>81</v>
      </c>
      <c r="P544" s="186" t="s">
        <v>81</v>
      </c>
      <c r="Q544" s="222" t="s">
        <v>2076</v>
      </c>
    </row>
    <row r="545" spans="1:17" ht="36" customHeight="1" x14ac:dyDescent="0.2">
      <c r="A545" s="15">
        <v>542</v>
      </c>
      <c r="B545" s="15">
        <v>938</v>
      </c>
      <c r="C545" s="232" t="s">
        <v>2077</v>
      </c>
      <c r="D545" s="16" t="s">
        <v>518</v>
      </c>
      <c r="E545" s="19" t="s">
        <v>20</v>
      </c>
      <c r="F545" s="15"/>
      <c r="G545" s="15"/>
      <c r="H545" s="15"/>
      <c r="I545" s="16" t="s">
        <v>569</v>
      </c>
      <c r="J545" s="15"/>
      <c r="K545" s="15"/>
      <c r="L545" s="233" t="s">
        <v>589</v>
      </c>
      <c r="M545" s="16"/>
      <c r="N545" s="233" t="s">
        <v>571</v>
      </c>
      <c r="O545" s="16" t="s">
        <v>24</v>
      </c>
      <c r="P545" s="219" t="s">
        <v>503</v>
      </c>
      <c r="Q545" s="221" t="s">
        <v>2078</v>
      </c>
    </row>
    <row r="546" spans="1:17" ht="36" customHeight="1" x14ac:dyDescent="0.2">
      <c r="A546" s="7">
        <v>543</v>
      </c>
      <c r="B546" s="7">
        <v>941</v>
      </c>
      <c r="C546" s="231" t="s">
        <v>2079</v>
      </c>
      <c r="D546" s="3" t="s">
        <v>166</v>
      </c>
      <c r="E546" s="14" t="s">
        <v>20</v>
      </c>
      <c r="F546" s="7"/>
      <c r="G546" s="7"/>
      <c r="H546" s="7"/>
      <c r="I546" s="3" t="s">
        <v>652</v>
      </c>
      <c r="J546" s="7"/>
      <c r="K546" s="7"/>
      <c r="L546" s="228"/>
      <c r="M546" s="3"/>
      <c r="N546" s="228" t="s">
        <v>654</v>
      </c>
      <c r="O546" s="3" t="s">
        <v>24</v>
      </c>
      <c r="P546" s="186" t="s">
        <v>1100</v>
      </c>
      <c r="Q546" s="222" t="s">
        <v>2080</v>
      </c>
    </row>
    <row r="547" spans="1:17" ht="36" customHeight="1" x14ac:dyDescent="0.2">
      <c r="A547" s="15">
        <v>544</v>
      </c>
      <c r="B547" s="15">
        <v>945</v>
      </c>
      <c r="C547" s="232" t="s">
        <v>2081</v>
      </c>
      <c r="D547" s="16" t="s">
        <v>1075</v>
      </c>
      <c r="E547" s="23" t="s">
        <v>28</v>
      </c>
      <c r="F547" s="15"/>
      <c r="G547" s="15"/>
      <c r="H547" s="15"/>
      <c r="I547" s="16" t="s">
        <v>2082</v>
      </c>
      <c r="J547" s="15"/>
      <c r="K547" s="15"/>
      <c r="L547" s="233" t="s">
        <v>339</v>
      </c>
      <c r="M547" s="16"/>
      <c r="N547" s="233" t="s">
        <v>2083</v>
      </c>
      <c r="O547" s="16" t="s">
        <v>326</v>
      </c>
      <c r="P547" s="219" t="s">
        <v>47</v>
      </c>
      <c r="Q547" s="221" t="s">
        <v>2084</v>
      </c>
    </row>
    <row r="548" spans="1:17" ht="36" customHeight="1" x14ac:dyDescent="0.2">
      <c r="A548" s="7">
        <v>545</v>
      </c>
      <c r="B548" s="7">
        <v>946</v>
      </c>
      <c r="C548" s="231" t="s">
        <v>2085</v>
      </c>
      <c r="D548" s="3" t="s">
        <v>2086</v>
      </c>
      <c r="E548" s="18" t="s">
        <v>28</v>
      </c>
      <c r="F548" s="7"/>
      <c r="G548" s="7"/>
      <c r="H548" s="7"/>
      <c r="I548" s="3" t="s">
        <v>540</v>
      </c>
      <c r="J548" s="7"/>
      <c r="K548" s="7"/>
      <c r="L548" s="228"/>
      <c r="M548" s="3"/>
      <c r="N548" s="228" t="s">
        <v>542</v>
      </c>
      <c r="O548" s="3" t="s">
        <v>24</v>
      </c>
      <c r="P548" s="186" t="s">
        <v>24</v>
      </c>
      <c r="Q548" s="222" t="s">
        <v>2087</v>
      </c>
    </row>
    <row r="549" spans="1:17" ht="36" customHeight="1" x14ac:dyDescent="0.2">
      <c r="A549" s="15">
        <v>546</v>
      </c>
      <c r="B549" s="15">
        <v>947</v>
      </c>
      <c r="C549" s="232" t="s">
        <v>2088</v>
      </c>
      <c r="D549" s="16" t="s">
        <v>1050</v>
      </c>
      <c r="E549" s="19" t="s">
        <v>28</v>
      </c>
      <c r="F549" s="15"/>
      <c r="G549" s="15"/>
      <c r="H549" s="15"/>
      <c r="I549" s="16" t="s">
        <v>617</v>
      </c>
      <c r="J549" s="15"/>
      <c r="K549" s="15"/>
      <c r="L549" s="233" t="s">
        <v>497</v>
      </c>
      <c r="M549" s="16"/>
      <c r="N549" s="233" t="s">
        <v>619</v>
      </c>
      <c r="O549" s="16" t="s">
        <v>648</v>
      </c>
      <c r="P549" s="219" t="s">
        <v>648</v>
      </c>
      <c r="Q549" s="221" t="s">
        <v>2089</v>
      </c>
    </row>
    <row r="550" spans="1:17" ht="36" customHeight="1" x14ac:dyDescent="0.2">
      <c r="A550" s="7">
        <v>547</v>
      </c>
      <c r="B550" s="7">
        <v>953</v>
      </c>
      <c r="C550" s="231" t="s">
        <v>2090</v>
      </c>
      <c r="D550" s="3" t="s">
        <v>897</v>
      </c>
      <c r="E550" s="21" t="s">
        <v>20</v>
      </c>
      <c r="F550" s="7"/>
      <c r="G550" s="7"/>
      <c r="H550" s="7"/>
      <c r="I550" s="3" t="s">
        <v>704</v>
      </c>
      <c r="J550" s="7"/>
      <c r="K550" s="7"/>
      <c r="L550" s="228" t="s">
        <v>749</v>
      </c>
      <c r="M550" s="3"/>
      <c r="N550" s="228" t="s">
        <v>705</v>
      </c>
      <c r="O550" s="3" t="s">
        <v>24</v>
      </c>
      <c r="P550" s="186" t="s">
        <v>24</v>
      </c>
      <c r="Q550" s="222" t="s">
        <v>2091</v>
      </c>
    </row>
    <row r="551" spans="1:17" ht="36" customHeight="1" x14ac:dyDescent="0.2">
      <c r="A551" s="15">
        <v>548</v>
      </c>
      <c r="B551" s="15">
        <v>955</v>
      </c>
      <c r="C551" s="232" t="s">
        <v>2092</v>
      </c>
      <c r="D551" s="16" t="s">
        <v>318</v>
      </c>
      <c r="E551" s="19" t="s">
        <v>28</v>
      </c>
      <c r="F551" s="15"/>
      <c r="G551" s="15"/>
      <c r="H551" s="15"/>
      <c r="I551" s="16" t="s">
        <v>2093</v>
      </c>
      <c r="J551" s="15"/>
      <c r="K551" s="15"/>
      <c r="L551" s="233" t="s">
        <v>339</v>
      </c>
      <c r="M551" s="16"/>
      <c r="N551" s="233" t="s">
        <v>2094</v>
      </c>
      <c r="O551" s="16" t="s">
        <v>363</v>
      </c>
      <c r="P551" s="219" t="s">
        <v>2095</v>
      </c>
      <c r="Q551" s="221" t="s">
        <v>2096</v>
      </c>
    </row>
    <row r="552" spans="1:17" ht="36" customHeight="1" x14ac:dyDescent="0.2">
      <c r="A552" s="7">
        <v>549</v>
      </c>
      <c r="B552" s="7">
        <v>960</v>
      </c>
      <c r="C552" s="231" t="s">
        <v>2097</v>
      </c>
      <c r="D552" s="3" t="s">
        <v>309</v>
      </c>
      <c r="E552" s="14" t="s">
        <v>42</v>
      </c>
      <c r="F552" s="7"/>
      <c r="G552" s="7"/>
      <c r="H552" s="7"/>
      <c r="I552" s="3" t="s">
        <v>2098</v>
      </c>
      <c r="J552" s="7"/>
      <c r="K552" s="7"/>
      <c r="L552" s="228" t="s">
        <v>339</v>
      </c>
      <c r="M552" s="3"/>
      <c r="N552" s="228" t="s">
        <v>2099</v>
      </c>
      <c r="O552" s="3" t="s">
        <v>2100</v>
      </c>
      <c r="P552" s="186" t="s">
        <v>24</v>
      </c>
      <c r="Q552" s="222" t="s">
        <v>2101</v>
      </c>
    </row>
    <row r="553" spans="1:17" ht="36" customHeight="1" x14ac:dyDescent="0.2">
      <c r="A553" s="15">
        <v>550</v>
      </c>
      <c r="B553" s="15">
        <v>961</v>
      </c>
      <c r="C553" s="232" t="s">
        <v>2102</v>
      </c>
      <c r="D553" s="16" t="s">
        <v>166</v>
      </c>
      <c r="E553" s="19" t="s">
        <v>20</v>
      </c>
      <c r="F553" s="15"/>
      <c r="G553" s="15"/>
      <c r="H553" s="15"/>
      <c r="I553" s="16" t="s">
        <v>2103</v>
      </c>
      <c r="J553" s="15"/>
      <c r="K553" s="15"/>
      <c r="L553" s="233" t="s">
        <v>339</v>
      </c>
      <c r="M553" s="16"/>
      <c r="N553" s="233" t="s">
        <v>2104</v>
      </c>
      <c r="O553" s="16" t="s">
        <v>24</v>
      </c>
      <c r="P553" s="219" t="s">
        <v>24</v>
      </c>
      <c r="Q553" s="221" t="s">
        <v>2105</v>
      </c>
    </row>
    <row r="554" spans="1:17" ht="36" customHeight="1" x14ac:dyDescent="0.2">
      <c r="A554" s="7">
        <v>551</v>
      </c>
      <c r="B554" s="7">
        <v>962</v>
      </c>
      <c r="C554" s="231" t="s">
        <v>2106</v>
      </c>
      <c r="D554" s="3" t="s">
        <v>1837</v>
      </c>
      <c r="E554" s="21" t="s">
        <v>28</v>
      </c>
      <c r="F554" s="7"/>
      <c r="G554" s="7"/>
      <c r="H554" s="7"/>
      <c r="I554" s="3" t="s">
        <v>540</v>
      </c>
      <c r="J554" s="7"/>
      <c r="K554" s="7"/>
      <c r="L554" s="228" t="s">
        <v>183</v>
      </c>
      <c r="M554" s="3"/>
      <c r="N554" s="228" t="s">
        <v>542</v>
      </c>
      <c r="O554" s="3" t="s">
        <v>24</v>
      </c>
      <c r="P554" s="186" t="s">
        <v>24</v>
      </c>
      <c r="Q554" s="222" t="s">
        <v>2107</v>
      </c>
    </row>
    <row r="555" spans="1:17" ht="36" customHeight="1" x14ac:dyDescent="0.2">
      <c r="A555" s="15">
        <v>552</v>
      </c>
      <c r="B555" s="15">
        <v>968</v>
      </c>
      <c r="C555" s="232" t="s">
        <v>2108</v>
      </c>
      <c r="D555" s="16" t="s">
        <v>500</v>
      </c>
      <c r="E555" s="23" t="s">
        <v>42</v>
      </c>
      <c r="F555" s="15"/>
      <c r="G555" s="15"/>
      <c r="H555" s="15"/>
      <c r="I555" s="16" t="s">
        <v>2109</v>
      </c>
      <c r="J555" s="15"/>
      <c r="K555" s="15"/>
      <c r="L555" s="233" t="s">
        <v>339</v>
      </c>
      <c r="M555" s="16"/>
      <c r="N555" s="233" t="s">
        <v>2110</v>
      </c>
      <c r="O555" s="16" t="s">
        <v>24</v>
      </c>
      <c r="P555" s="219" t="s">
        <v>503</v>
      </c>
      <c r="Q555" s="221" t="s">
        <v>2111</v>
      </c>
    </row>
    <row r="556" spans="1:17" ht="36" customHeight="1" x14ac:dyDescent="0.2">
      <c r="A556" s="7">
        <v>553</v>
      </c>
      <c r="B556" s="7">
        <v>973</v>
      </c>
      <c r="C556" s="231" t="s">
        <v>2112</v>
      </c>
      <c r="D556" s="3" t="s">
        <v>2113</v>
      </c>
      <c r="E556" s="18" t="s">
        <v>28</v>
      </c>
      <c r="F556" s="7"/>
      <c r="G556" s="7"/>
      <c r="H556" s="7"/>
      <c r="I556" s="3" t="s">
        <v>2114</v>
      </c>
      <c r="J556" s="7"/>
      <c r="K556" s="7"/>
      <c r="L556" s="228" t="s">
        <v>2115</v>
      </c>
      <c r="M556" s="3"/>
      <c r="N556" s="228" t="s">
        <v>2116</v>
      </c>
      <c r="O556" s="3" t="s">
        <v>960</v>
      </c>
      <c r="P556" s="186" t="s">
        <v>153</v>
      </c>
      <c r="Q556" s="222" t="s">
        <v>2117</v>
      </c>
    </row>
    <row r="557" spans="1:17" ht="36" customHeight="1" x14ac:dyDescent="0.2">
      <c r="A557" s="15">
        <v>554</v>
      </c>
      <c r="B557" s="15">
        <v>974</v>
      </c>
      <c r="C557" s="232" t="s">
        <v>2118</v>
      </c>
      <c r="D557" s="16" t="s">
        <v>1559</v>
      </c>
      <c r="E557" s="19" t="s">
        <v>28</v>
      </c>
      <c r="F557" s="15"/>
      <c r="G557" s="15"/>
      <c r="H557" s="15"/>
      <c r="I557" s="16" t="s">
        <v>2119</v>
      </c>
      <c r="J557" s="15"/>
      <c r="K557" s="15"/>
      <c r="L557" s="233" t="s">
        <v>339</v>
      </c>
      <c r="M557" s="16"/>
      <c r="N557" s="233" t="s">
        <v>2120</v>
      </c>
      <c r="O557" s="16" t="s">
        <v>24</v>
      </c>
      <c r="P557" s="219" t="s">
        <v>153</v>
      </c>
      <c r="Q557" s="221" t="s">
        <v>2121</v>
      </c>
    </row>
    <row r="558" spans="1:17" ht="36" customHeight="1" x14ac:dyDescent="0.2">
      <c r="A558" s="7">
        <v>555</v>
      </c>
      <c r="B558" s="7">
        <v>977</v>
      </c>
      <c r="C558" s="231" t="s">
        <v>2122</v>
      </c>
      <c r="D558" s="3" t="s">
        <v>84</v>
      </c>
      <c r="E558" s="14" t="s">
        <v>20</v>
      </c>
      <c r="F558" s="7"/>
      <c r="G558" s="7"/>
      <c r="H558" s="7"/>
      <c r="I558" s="3" t="s">
        <v>689</v>
      </c>
      <c r="J558" s="7"/>
      <c r="K558" s="7"/>
      <c r="L558" s="228" t="s">
        <v>2123</v>
      </c>
      <c r="M558" s="3"/>
      <c r="N558" s="228" t="s">
        <v>690</v>
      </c>
      <c r="O558" s="3" t="s">
        <v>326</v>
      </c>
      <c r="P558" s="186" t="s">
        <v>24</v>
      </c>
      <c r="Q558" s="222" t="s">
        <v>2124</v>
      </c>
    </row>
    <row r="559" spans="1:17" ht="36" customHeight="1" x14ac:dyDescent="0.2">
      <c r="A559" s="15">
        <v>556</v>
      </c>
      <c r="B559" s="15">
        <v>979</v>
      </c>
      <c r="C559" s="232" t="s">
        <v>2125</v>
      </c>
      <c r="D559" s="16" t="s">
        <v>500</v>
      </c>
      <c r="E559" s="22" t="s">
        <v>28</v>
      </c>
      <c r="F559" s="15"/>
      <c r="G559" s="15"/>
      <c r="H559" s="15"/>
      <c r="I559" s="16" t="s">
        <v>2126</v>
      </c>
      <c r="J559" s="15"/>
      <c r="K559" s="15"/>
      <c r="L559" s="233" t="s">
        <v>339</v>
      </c>
      <c r="M559" s="16"/>
      <c r="N559" s="233" t="s">
        <v>2127</v>
      </c>
      <c r="O559" s="16" t="s">
        <v>24</v>
      </c>
      <c r="P559" s="219" t="s">
        <v>503</v>
      </c>
      <c r="Q559" s="221" t="s">
        <v>2128</v>
      </c>
    </row>
    <row r="560" spans="1:17" ht="36" customHeight="1" x14ac:dyDescent="0.2">
      <c r="A560" s="7">
        <v>557</v>
      </c>
      <c r="B560" s="7">
        <v>980</v>
      </c>
      <c r="C560" s="231" t="s">
        <v>2129</v>
      </c>
      <c r="D560" s="3" t="s">
        <v>221</v>
      </c>
      <c r="E560" s="18" t="s">
        <v>42</v>
      </c>
      <c r="F560" s="7"/>
      <c r="G560" s="7"/>
      <c r="H560" s="7"/>
      <c r="I560" s="3" t="s">
        <v>300</v>
      </c>
      <c r="J560" s="7"/>
      <c r="K560" s="7"/>
      <c r="L560" s="228"/>
      <c r="M560" s="3"/>
      <c r="N560" s="228" t="s">
        <v>302</v>
      </c>
      <c r="O560" s="3" t="s">
        <v>81</v>
      </c>
      <c r="P560" s="186" t="s">
        <v>2130</v>
      </c>
      <c r="Q560" s="222" t="s">
        <v>2131</v>
      </c>
    </row>
    <row r="561" spans="1:17" ht="36" customHeight="1" x14ac:dyDescent="0.2">
      <c r="A561" s="15">
        <v>558</v>
      </c>
      <c r="B561" s="15">
        <v>981</v>
      </c>
      <c r="C561" s="232" t="s">
        <v>2132</v>
      </c>
      <c r="D561" s="16" t="s">
        <v>2133</v>
      </c>
      <c r="E561" s="22" t="s">
        <v>28</v>
      </c>
      <c r="F561" s="15"/>
      <c r="G561" s="15"/>
      <c r="H561" s="15"/>
      <c r="I561" s="16" t="s">
        <v>512</v>
      </c>
      <c r="J561" s="15"/>
      <c r="K561" s="15"/>
      <c r="L561" s="233" t="s">
        <v>1666</v>
      </c>
      <c r="M561" s="16"/>
      <c r="N561" s="233" t="s">
        <v>513</v>
      </c>
      <c r="O561" s="16" t="s">
        <v>2134</v>
      </c>
      <c r="P561" s="219" t="s">
        <v>24</v>
      </c>
      <c r="Q561" s="221" t="s">
        <v>2135</v>
      </c>
    </row>
    <row r="562" spans="1:17" ht="36" customHeight="1" x14ac:dyDescent="0.2">
      <c r="A562" s="7">
        <v>559</v>
      </c>
      <c r="B562" s="7">
        <v>983</v>
      </c>
      <c r="C562" s="231" t="s">
        <v>2136</v>
      </c>
      <c r="D562" s="3" t="s">
        <v>309</v>
      </c>
      <c r="E562" s="14" t="s">
        <v>28</v>
      </c>
      <c r="F562" s="7"/>
      <c r="G562" s="7"/>
      <c r="H562" s="7"/>
      <c r="I562" s="3" t="s">
        <v>507</v>
      </c>
      <c r="J562" s="7"/>
      <c r="K562" s="7"/>
      <c r="L562" s="228" t="s">
        <v>454</v>
      </c>
      <c r="M562" s="3"/>
      <c r="N562" s="228" t="s">
        <v>508</v>
      </c>
      <c r="O562" s="3" t="s">
        <v>24</v>
      </c>
      <c r="P562" s="186" t="s">
        <v>24</v>
      </c>
      <c r="Q562" s="222" t="s">
        <v>2137</v>
      </c>
    </row>
    <row r="563" spans="1:17" ht="36" customHeight="1" x14ac:dyDescent="0.2">
      <c r="A563" s="15">
        <v>560</v>
      </c>
      <c r="B563" s="15">
        <v>986</v>
      </c>
      <c r="C563" s="232" t="s">
        <v>2138</v>
      </c>
      <c r="D563" s="16" t="s">
        <v>323</v>
      </c>
      <c r="E563" s="23" t="s">
        <v>28</v>
      </c>
      <c r="F563" s="15"/>
      <c r="G563" s="15"/>
      <c r="H563" s="15"/>
      <c r="I563" s="16" t="s">
        <v>652</v>
      </c>
      <c r="J563" s="15"/>
      <c r="K563" s="15"/>
      <c r="L563" s="233" t="s">
        <v>2139</v>
      </c>
      <c r="M563" s="16"/>
      <c r="N563" s="233" t="s">
        <v>654</v>
      </c>
      <c r="O563" s="16" t="s">
        <v>24</v>
      </c>
      <c r="P563" s="219" t="s">
        <v>47</v>
      </c>
      <c r="Q563" s="221" t="s">
        <v>2140</v>
      </c>
    </row>
    <row r="564" spans="1:17" ht="36" customHeight="1" x14ac:dyDescent="0.2">
      <c r="A564" s="7">
        <v>561</v>
      </c>
      <c r="B564" s="7">
        <v>987</v>
      </c>
      <c r="C564" s="231" t="s">
        <v>2141</v>
      </c>
      <c r="D564" s="3" t="s">
        <v>2142</v>
      </c>
      <c r="E564" s="18" t="s">
        <v>42</v>
      </c>
      <c r="F564" s="7"/>
      <c r="G564" s="7"/>
      <c r="H564" s="7"/>
      <c r="I564" s="3" t="s">
        <v>569</v>
      </c>
      <c r="J564" s="7"/>
      <c r="K564" s="7"/>
      <c r="L564" s="228" t="s">
        <v>372</v>
      </c>
      <c r="M564" s="3"/>
      <c r="N564" s="228" t="s">
        <v>571</v>
      </c>
      <c r="O564" s="3" t="s">
        <v>326</v>
      </c>
      <c r="P564" s="186" t="s">
        <v>24</v>
      </c>
      <c r="Q564" s="222" t="s">
        <v>2143</v>
      </c>
    </row>
    <row r="565" spans="1:17" ht="36" customHeight="1" x14ac:dyDescent="0.2">
      <c r="A565" s="15">
        <v>562</v>
      </c>
      <c r="B565" s="15">
        <v>988</v>
      </c>
      <c r="C565" s="232" t="s">
        <v>2144</v>
      </c>
      <c r="D565" s="16" t="s">
        <v>500</v>
      </c>
      <c r="E565" s="19" t="s">
        <v>28</v>
      </c>
      <c r="F565" s="15"/>
      <c r="G565" s="15"/>
      <c r="H565" s="15"/>
      <c r="I565" s="16" t="s">
        <v>2145</v>
      </c>
      <c r="J565" s="15"/>
      <c r="K565" s="15"/>
      <c r="L565" s="233" t="s">
        <v>339</v>
      </c>
      <c r="M565" s="16"/>
      <c r="N565" s="233" t="s">
        <v>2146</v>
      </c>
      <c r="O565" s="16" t="s">
        <v>1935</v>
      </c>
      <c r="P565" s="219" t="s">
        <v>24</v>
      </c>
      <c r="Q565" s="221" t="s">
        <v>2147</v>
      </c>
    </row>
    <row r="566" spans="1:17" ht="36" customHeight="1" x14ac:dyDescent="0.2">
      <c r="A566" s="7">
        <v>563</v>
      </c>
      <c r="B566" s="7">
        <v>990</v>
      </c>
      <c r="C566" s="231" t="s">
        <v>2148</v>
      </c>
      <c r="D566" s="3" t="s">
        <v>1050</v>
      </c>
      <c r="E566" s="14" t="s">
        <v>28</v>
      </c>
      <c r="F566" s="7"/>
      <c r="G566" s="7"/>
      <c r="H566" s="7"/>
      <c r="I566" s="3" t="s">
        <v>1736</v>
      </c>
      <c r="J566" s="7"/>
      <c r="K566" s="7"/>
      <c r="L566" s="228" t="s">
        <v>339</v>
      </c>
      <c r="M566" s="3"/>
      <c r="N566" s="228" t="s">
        <v>2149</v>
      </c>
      <c r="O566" s="3" t="s">
        <v>1738</v>
      </c>
      <c r="P566" s="186" t="s">
        <v>47</v>
      </c>
      <c r="Q566" s="222" t="s">
        <v>2150</v>
      </c>
    </row>
    <row r="567" spans="1:17" ht="36" customHeight="1" x14ac:dyDescent="0.2">
      <c r="A567" s="15">
        <v>564</v>
      </c>
      <c r="B567" s="15">
        <v>992</v>
      </c>
      <c r="C567" s="232" t="s">
        <v>2151</v>
      </c>
      <c r="D567" s="16" t="s">
        <v>916</v>
      </c>
      <c r="E567" s="19" t="s">
        <v>42</v>
      </c>
      <c r="F567" s="15"/>
      <c r="G567" s="15"/>
      <c r="H567" s="15"/>
      <c r="I567" s="16" t="s">
        <v>917</v>
      </c>
      <c r="J567" s="15"/>
      <c r="K567" s="15"/>
      <c r="L567" s="233" t="s">
        <v>339</v>
      </c>
      <c r="M567" s="16"/>
      <c r="N567" s="233" t="s">
        <v>919</v>
      </c>
      <c r="O567" s="16" t="s">
        <v>24</v>
      </c>
      <c r="P567" s="219" t="s">
        <v>1096</v>
      </c>
      <c r="Q567" s="221" t="s">
        <v>2152</v>
      </c>
    </row>
    <row r="568" spans="1:17" ht="36" customHeight="1" x14ac:dyDescent="0.2">
      <c r="A568" s="7">
        <v>565</v>
      </c>
      <c r="B568" s="7">
        <v>994</v>
      </c>
      <c r="C568" s="231" t="s">
        <v>2153</v>
      </c>
      <c r="D568" s="3" t="s">
        <v>1106</v>
      </c>
      <c r="E568" s="21" t="s">
        <v>28</v>
      </c>
      <c r="F568" s="7"/>
      <c r="G568" s="7"/>
      <c r="H568" s="7"/>
      <c r="I568" s="3" t="s">
        <v>2154</v>
      </c>
      <c r="J568" s="7"/>
      <c r="K568" s="7"/>
      <c r="L568" s="228" t="s">
        <v>116</v>
      </c>
      <c r="M568" s="3"/>
      <c r="N568" s="228" t="s">
        <v>2155</v>
      </c>
      <c r="O568" s="3" t="s">
        <v>81</v>
      </c>
      <c r="P568" s="186" t="s">
        <v>81</v>
      </c>
      <c r="Q568" s="222" t="s">
        <v>2156</v>
      </c>
    </row>
    <row r="569" spans="1:17" ht="36" customHeight="1" x14ac:dyDescent="0.2">
      <c r="A569" s="15">
        <v>566</v>
      </c>
      <c r="B569" s="15">
        <v>996</v>
      </c>
      <c r="C569" s="232" t="s">
        <v>2157</v>
      </c>
      <c r="D569" s="16" t="s">
        <v>234</v>
      </c>
      <c r="E569" s="23" t="s">
        <v>42</v>
      </c>
      <c r="F569" s="15"/>
      <c r="G569" s="15"/>
      <c r="H569" s="15"/>
      <c r="I569" s="16" t="s">
        <v>300</v>
      </c>
      <c r="J569" s="15"/>
      <c r="K569" s="15"/>
      <c r="L569" s="233" t="s">
        <v>460</v>
      </c>
      <c r="M569" s="16"/>
      <c r="N569" s="233" t="s">
        <v>302</v>
      </c>
      <c r="O569" s="16" t="s">
        <v>303</v>
      </c>
      <c r="P569" s="219" t="s">
        <v>304</v>
      </c>
      <c r="Q569" s="221" t="s">
        <v>2158</v>
      </c>
    </row>
    <row r="570" spans="1:17" ht="36" customHeight="1" x14ac:dyDescent="0.2">
      <c r="A570" s="7">
        <v>567</v>
      </c>
      <c r="B570" s="7">
        <v>1004</v>
      </c>
      <c r="C570" s="231" t="s">
        <v>2159</v>
      </c>
      <c r="D570" s="3" t="s">
        <v>916</v>
      </c>
      <c r="E570" s="14" t="s">
        <v>28</v>
      </c>
      <c r="F570" s="7"/>
      <c r="G570" s="7"/>
      <c r="H570" s="7"/>
      <c r="I570" s="3" t="s">
        <v>917</v>
      </c>
      <c r="J570" s="7"/>
      <c r="K570" s="7"/>
      <c r="L570" s="228" t="s">
        <v>58</v>
      </c>
      <c r="M570" s="3"/>
      <c r="N570" s="228" t="s">
        <v>919</v>
      </c>
      <c r="O570" s="3" t="s">
        <v>24</v>
      </c>
      <c r="P570" s="186" t="s">
        <v>1096</v>
      </c>
      <c r="Q570" s="222" t="s">
        <v>2160</v>
      </c>
    </row>
    <row r="571" spans="1:17" ht="36" customHeight="1" x14ac:dyDescent="0.2">
      <c r="A571" s="15">
        <v>568</v>
      </c>
      <c r="B571" s="15">
        <v>1008</v>
      </c>
      <c r="C571" s="232" t="s">
        <v>2161</v>
      </c>
      <c r="D571" s="16" t="s">
        <v>562</v>
      </c>
      <c r="E571" s="19" t="s">
        <v>28</v>
      </c>
      <c r="F571" s="15"/>
      <c r="G571" s="15"/>
      <c r="H571" s="15"/>
      <c r="I571" s="16" t="s">
        <v>2162</v>
      </c>
      <c r="J571" s="15"/>
      <c r="K571" s="15"/>
      <c r="L571" s="233" t="s">
        <v>339</v>
      </c>
      <c r="M571" s="16"/>
      <c r="N571" s="233" t="s">
        <v>2163</v>
      </c>
      <c r="O571" s="16" t="s">
        <v>24</v>
      </c>
      <c r="P571" s="219" t="s">
        <v>24</v>
      </c>
      <c r="Q571" s="221" t="s">
        <v>2164</v>
      </c>
    </row>
    <row r="572" spans="1:17" ht="36" customHeight="1" x14ac:dyDescent="0.2">
      <c r="A572" s="7">
        <v>569</v>
      </c>
      <c r="B572" s="7">
        <v>1011</v>
      </c>
      <c r="C572" s="231" t="s">
        <v>2165</v>
      </c>
      <c r="D572" s="3" t="s">
        <v>41</v>
      </c>
      <c r="E572" s="14" t="s">
        <v>28</v>
      </c>
      <c r="F572" s="7"/>
      <c r="G572" s="7"/>
      <c r="H572" s="7"/>
      <c r="I572" s="3" t="s">
        <v>512</v>
      </c>
      <c r="J572" s="7"/>
      <c r="K572" s="7"/>
      <c r="L572" s="228" t="s">
        <v>168</v>
      </c>
      <c r="M572" s="3"/>
      <c r="N572" s="228" t="s">
        <v>513</v>
      </c>
      <c r="O572" s="3" t="s">
        <v>65</v>
      </c>
      <c r="P572" s="186" t="s">
        <v>47</v>
      </c>
      <c r="Q572" s="222" t="s">
        <v>2166</v>
      </c>
    </row>
    <row r="573" spans="1:17" ht="36" customHeight="1" x14ac:dyDescent="0.2">
      <c r="A573" s="15">
        <v>570</v>
      </c>
      <c r="B573" s="15">
        <v>1013</v>
      </c>
      <c r="C573" s="232" t="s">
        <v>2167</v>
      </c>
      <c r="D573" s="16" t="s">
        <v>166</v>
      </c>
      <c r="E573" s="17" t="s">
        <v>20</v>
      </c>
      <c r="F573" s="15"/>
      <c r="G573" s="15"/>
      <c r="H573" s="15"/>
      <c r="I573" s="16" t="s">
        <v>2168</v>
      </c>
      <c r="J573" s="15"/>
      <c r="K573" s="15"/>
      <c r="L573" s="233" t="s">
        <v>339</v>
      </c>
      <c r="M573" s="16"/>
      <c r="N573" s="233" t="s">
        <v>2169</v>
      </c>
      <c r="O573" s="16" t="s">
        <v>24</v>
      </c>
      <c r="P573" s="219" t="s">
        <v>47</v>
      </c>
      <c r="Q573" s="221" t="s">
        <v>2170</v>
      </c>
    </row>
    <row r="574" spans="1:17" ht="36" customHeight="1" x14ac:dyDescent="0.2">
      <c r="A574" s="7">
        <v>571</v>
      </c>
      <c r="B574" s="7">
        <v>1019</v>
      </c>
      <c r="C574" s="231" t="s">
        <v>2171</v>
      </c>
      <c r="D574" s="3" t="s">
        <v>1454</v>
      </c>
      <c r="E574" s="14" t="s">
        <v>28</v>
      </c>
      <c r="F574" s="7"/>
      <c r="G574" s="7"/>
      <c r="H574" s="7"/>
      <c r="I574" s="3" t="s">
        <v>1473</v>
      </c>
      <c r="J574" s="7"/>
      <c r="K574" s="7"/>
      <c r="L574" s="228" t="s">
        <v>339</v>
      </c>
      <c r="M574" s="3"/>
      <c r="N574" s="228" t="s">
        <v>2172</v>
      </c>
      <c r="O574" s="3" t="s">
        <v>24</v>
      </c>
      <c r="P574" s="186" t="s">
        <v>24</v>
      </c>
      <c r="Q574" s="222" t="s">
        <v>2173</v>
      </c>
    </row>
    <row r="575" spans="1:17" ht="36" customHeight="1" x14ac:dyDescent="0.2">
      <c r="A575" s="15">
        <v>572</v>
      </c>
      <c r="B575" s="15">
        <v>1021</v>
      </c>
      <c r="C575" s="232" t="s">
        <v>2174</v>
      </c>
      <c r="D575" s="16" t="s">
        <v>133</v>
      </c>
      <c r="E575" s="19" t="s">
        <v>20</v>
      </c>
      <c r="F575" s="15"/>
      <c r="G575" s="15"/>
      <c r="H575" s="15"/>
      <c r="I575" s="16" t="s">
        <v>2175</v>
      </c>
      <c r="J575" s="15"/>
      <c r="K575" s="15"/>
      <c r="L575" s="233" t="s">
        <v>339</v>
      </c>
      <c r="M575" s="16"/>
      <c r="N575" s="233" t="s">
        <v>2176</v>
      </c>
      <c r="O575" s="16" t="s">
        <v>24</v>
      </c>
      <c r="P575" s="219" t="s">
        <v>24</v>
      </c>
      <c r="Q575" s="221" t="s">
        <v>2177</v>
      </c>
    </row>
    <row r="576" spans="1:17" ht="36" customHeight="1" x14ac:dyDescent="0.2">
      <c r="A576" s="7">
        <v>573</v>
      </c>
      <c r="B576" s="7">
        <v>1025</v>
      </c>
      <c r="C576" s="231" t="s">
        <v>2178</v>
      </c>
      <c r="D576" s="3" t="s">
        <v>2179</v>
      </c>
      <c r="E576" s="21" t="s">
        <v>20</v>
      </c>
      <c r="F576" s="7"/>
      <c r="G576" s="7"/>
      <c r="H576" s="7"/>
      <c r="I576" s="3" t="s">
        <v>2180</v>
      </c>
      <c r="J576" s="7"/>
      <c r="K576" s="7"/>
      <c r="L576" s="228"/>
      <c r="M576" s="3"/>
      <c r="N576" s="228" t="s">
        <v>2181</v>
      </c>
      <c r="O576" s="3" t="s">
        <v>24</v>
      </c>
      <c r="P576" s="186" t="s">
        <v>24</v>
      </c>
      <c r="Q576" s="222" t="s">
        <v>2182</v>
      </c>
    </row>
    <row r="577" spans="1:17" ht="36" customHeight="1" x14ac:dyDescent="0.2">
      <c r="A577" s="15">
        <v>574</v>
      </c>
      <c r="B577" s="15">
        <v>1027</v>
      </c>
      <c r="C577" s="232" t="s">
        <v>2183</v>
      </c>
      <c r="D577" s="16" t="s">
        <v>309</v>
      </c>
      <c r="E577" s="23" t="s">
        <v>28</v>
      </c>
      <c r="F577" s="15"/>
      <c r="G577" s="15"/>
      <c r="H577" s="15"/>
      <c r="I577" s="16" t="s">
        <v>2184</v>
      </c>
      <c r="J577" s="15"/>
      <c r="K577" s="15"/>
      <c r="L577" s="233" t="s">
        <v>339</v>
      </c>
      <c r="M577" s="16"/>
      <c r="N577" s="233" t="s">
        <v>2185</v>
      </c>
      <c r="O577" s="16" t="s">
        <v>341</v>
      </c>
      <c r="P577" s="219" t="s">
        <v>341</v>
      </c>
      <c r="Q577" s="221" t="s">
        <v>2186</v>
      </c>
    </row>
    <row r="578" spans="1:17" ht="36" customHeight="1" x14ac:dyDescent="0.2">
      <c r="A578" s="7">
        <v>575</v>
      </c>
      <c r="B578" s="7">
        <v>1028</v>
      </c>
      <c r="C578" s="231" t="s">
        <v>2187</v>
      </c>
      <c r="D578" s="3" t="s">
        <v>500</v>
      </c>
      <c r="E578" s="18" t="s">
        <v>42</v>
      </c>
      <c r="F578" s="7"/>
      <c r="G578" s="7"/>
      <c r="H578" s="7"/>
      <c r="I578" s="3" t="s">
        <v>2188</v>
      </c>
      <c r="J578" s="7"/>
      <c r="K578" s="7"/>
      <c r="L578" s="228" t="s">
        <v>339</v>
      </c>
      <c r="M578" s="3"/>
      <c r="N578" s="228" t="s">
        <v>2189</v>
      </c>
      <c r="O578" s="3" t="s">
        <v>24</v>
      </c>
      <c r="P578" s="186" t="s">
        <v>24</v>
      </c>
      <c r="Q578" s="222" t="s">
        <v>2190</v>
      </c>
    </row>
    <row r="579" spans="1:17" ht="36" customHeight="1" x14ac:dyDescent="0.2">
      <c r="A579" s="15">
        <v>576</v>
      </c>
      <c r="B579" s="15">
        <v>1029</v>
      </c>
      <c r="C579" s="232" t="s">
        <v>2191</v>
      </c>
      <c r="D579" s="16" t="s">
        <v>318</v>
      </c>
      <c r="E579" s="22" t="s">
        <v>28</v>
      </c>
      <c r="F579" s="15"/>
      <c r="G579" s="15"/>
      <c r="H579" s="15"/>
      <c r="I579" s="16" t="s">
        <v>2192</v>
      </c>
      <c r="J579" s="15"/>
      <c r="K579" s="15"/>
      <c r="L579" s="233" t="s">
        <v>339</v>
      </c>
      <c r="M579" s="16"/>
      <c r="N579" s="233" t="s">
        <v>2193</v>
      </c>
      <c r="O579" s="16" t="s">
        <v>326</v>
      </c>
      <c r="P579" s="219" t="s">
        <v>47</v>
      </c>
      <c r="Q579" s="221" t="s">
        <v>2194</v>
      </c>
    </row>
    <row r="580" spans="1:17" ht="36" customHeight="1" x14ac:dyDescent="0.2">
      <c r="A580" s="7">
        <v>577</v>
      </c>
      <c r="B580" s="7">
        <v>1032</v>
      </c>
      <c r="C580" s="231" t="s">
        <v>2195</v>
      </c>
      <c r="D580" s="3" t="s">
        <v>2196</v>
      </c>
      <c r="E580" s="21" t="s">
        <v>42</v>
      </c>
      <c r="F580" s="7"/>
      <c r="G580" s="7"/>
      <c r="H580" s="7"/>
      <c r="I580" s="3" t="s">
        <v>2197</v>
      </c>
      <c r="J580" s="7"/>
      <c r="K580" s="7"/>
      <c r="L580" s="228"/>
      <c r="M580" s="3"/>
      <c r="N580" s="228" t="s">
        <v>2198</v>
      </c>
      <c r="O580" s="3" t="s">
        <v>24</v>
      </c>
      <c r="P580" s="186" t="s">
        <v>24</v>
      </c>
      <c r="Q580" s="222" t="s">
        <v>2199</v>
      </c>
    </row>
    <row r="581" spans="1:17" ht="36" customHeight="1" x14ac:dyDescent="0.2">
      <c r="A581" s="15">
        <v>578</v>
      </c>
      <c r="B581" s="15">
        <v>1041</v>
      </c>
      <c r="C581" s="232" t="s">
        <v>2200</v>
      </c>
      <c r="D581" s="16" t="s">
        <v>376</v>
      </c>
      <c r="E581" s="23" t="s">
        <v>28</v>
      </c>
      <c r="F581" s="15"/>
      <c r="G581" s="15"/>
      <c r="H581" s="15"/>
      <c r="I581" s="16" t="s">
        <v>229</v>
      </c>
      <c r="J581" s="15"/>
      <c r="K581" s="15"/>
      <c r="L581" s="233" t="s">
        <v>460</v>
      </c>
      <c r="M581" s="16"/>
      <c r="N581" s="233" t="s">
        <v>230</v>
      </c>
      <c r="O581" s="16" t="s">
        <v>24</v>
      </c>
      <c r="P581" s="219" t="s">
        <v>47</v>
      </c>
      <c r="Q581" s="221" t="s">
        <v>2201</v>
      </c>
    </row>
    <row r="582" spans="1:17" ht="36" customHeight="1" x14ac:dyDescent="0.2">
      <c r="A582" s="7">
        <v>579</v>
      </c>
      <c r="B582" s="7">
        <v>1043</v>
      </c>
      <c r="C582" s="231" t="s">
        <v>2202</v>
      </c>
      <c r="D582" s="3" t="s">
        <v>309</v>
      </c>
      <c r="E582" s="18" t="s">
        <v>28</v>
      </c>
      <c r="F582" s="7"/>
      <c r="G582" s="7"/>
      <c r="H582" s="7"/>
      <c r="I582" s="3" t="s">
        <v>2203</v>
      </c>
      <c r="J582" s="7"/>
      <c r="K582" s="7"/>
      <c r="L582" s="228" t="s">
        <v>339</v>
      </c>
      <c r="M582" s="3"/>
      <c r="N582" s="228" t="s">
        <v>2204</v>
      </c>
      <c r="O582" s="3" t="s">
        <v>2205</v>
      </c>
      <c r="P582" s="186" t="s">
        <v>24</v>
      </c>
      <c r="Q582" s="222" t="s">
        <v>2206</v>
      </c>
    </row>
    <row r="583" spans="1:17" ht="36" customHeight="1" x14ac:dyDescent="0.2">
      <c r="A583" s="15">
        <v>580</v>
      </c>
      <c r="B583" s="15">
        <v>1046</v>
      </c>
      <c r="C583" s="232" t="s">
        <v>2207</v>
      </c>
      <c r="D583" s="16" t="s">
        <v>941</v>
      </c>
      <c r="E583" s="19" t="s">
        <v>20</v>
      </c>
      <c r="F583" s="15"/>
      <c r="G583" s="15"/>
      <c r="H583" s="15"/>
      <c r="I583" s="16" t="s">
        <v>957</v>
      </c>
      <c r="J583" s="15"/>
      <c r="K583" s="15"/>
      <c r="L583" s="233" t="s">
        <v>1853</v>
      </c>
      <c r="M583" s="16"/>
      <c r="N583" s="233" t="s">
        <v>959</v>
      </c>
      <c r="O583" s="16" t="s">
        <v>326</v>
      </c>
      <c r="P583" s="219" t="s">
        <v>24</v>
      </c>
      <c r="Q583" s="221" t="s">
        <v>2208</v>
      </c>
    </row>
    <row r="584" spans="1:17" ht="36" customHeight="1" x14ac:dyDescent="0.2">
      <c r="A584" s="7">
        <v>581</v>
      </c>
      <c r="B584" s="7">
        <v>1047</v>
      </c>
      <c r="C584" s="231" t="s">
        <v>2209</v>
      </c>
      <c r="D584" s="3" t="s">
        <v>133</v>
      </c>
      <c r="E584" s="14" t="s">
        <v>20</v>
      </c>
      <c r="F584" s="7"/>
      <c r="G584" s="7"/>
      <c r="H584" s="7"/>
      <c r="I584" s="3" t="s">
        <v>540</v>
      </c>
      <c r="J584" s="7"/>
      <c r="K584" s="7"/>
      <c r="L584" s="228" t="s">
        <v>1276</v>
      </c>
      <c r="M584" s="3"/>
      <c r="N584" s="228" t="s">
        <v>542</v>
      </c>
      <c r="O584" s="3" t="s">
        <v>24</v>
      </c>
      <c r="P584" s="186" t="s">
        <v>24</v>
      </c>
      <c r="Q584" s="222" t="s">
        <v>2210</v>
      </c>
    </row>
    <row r="585" spans="1:17" ht="36" customHeight="1" x14ac:dyDescent="0.2">
      <c r="A585" s="15">
        <v>582</v>
      </c>
      <c r="B585" s="15">
        <v>1050</v>
      </c>
      <c r="C585" s="232" t="s">
        <v>2211</v>
      </c>
      <c r="D585" s="16" t="s">
        <v>796</v>
      </c>
      <c r="E585" s="19" t="s">
        <v>20</v>
      </c>
      <c r="F585" s="15"/>
      <c r="G585" s="15"/>
      <c r="H585" s="15"/>
      <c r="I585" s="16" t="s">
        <v>2212</v>
      </c>
      <c r="J585" s="15"/>
      <c r="K585" s="15"/>
      <c r="L585" s="233" t="s">
        <v>339</v>
      </c>
      <c r="M585" s="16"/>
      <c r="N585" s="233" t="s">
        <v>2213</v>
      </c>
      <c r="O585" s="16" t="s">
        <v>24</v>
      </c>
      <c r="P585" s="219" t="s">
        <v>24</v>
      </c>
      <c r="Q585" s="221" t="s">
        <v>2214</v>
      </c>
    </row>
    <row r="586" spans="1:17" ht="36" customHeight="1" x14ac:dyDescent="0.2">
      <c r="A586" s="7">
        <v>583</v>
      </c>
      <c r="B586" s="7">
        <v>1070</v>
      </c>
      <c r="C586" s="231" t="s">
        <v>2215</v>
      </c>
      <c r="D586" s="3" t="s">
        <v>796</v>
      </c>
      <c r="E586" s="14" t="s">
        <v>28</v>
      </c>
      <c r="F586" s="7"/>
      <c r="G586" s="7"/>
      <c r="H586" s="7"/>
      <c r="I586" s="3" t="s">
        <v>2216</v>
      </c>
      <c r="J586" s="7"/>
      <c r="K586" s="7"/>
      <c r="L586" s="228" t="s">
        <v>339</v>
      </c>
      <c r="M586" s="3"/>
      <c r="N586" s="228" t="s">
        <v>2217</v>
      </c>
      <c r="O586" s="3" t="s">
        <v>24</v>
      </c>
      <c r="P586" s="186" t="s">
        <v>24</v>
      </c>
      <c r="Q586" s="222" t="s">
        <v>2218</v>
      </c>
    </row>
    <row r="587" spans="1:17" ht="36" customHeight="1" x14ac:dyDescent="0.2">
      <c r="A587" s="15">
        <v>584</v>
      </c>
      <c r="B587" s="15">
        <v>1071</v>
      </c>
      <c r="C587" s="232" t="s">
        <v>2219</v>
      </c>
      <c r="D587" s="16" t="s">
        <v>56</v>
      </c>
      <c r="E587" s="19" t="s">
        <v>20</v>
      </c>
      <c r="F587" s="15"/>
      <c r="G587" s="15"/>
      <c r="H587" s="15"/>
      <c r="I587" s="16" t="s">
        <v>748</v>
      </c>
      <c r="J587" s="15"/>
      <c r="K587" s="15"/>
      <c r="L587" s="233" t="s">
        <v>183</v>
      </c>
      <c r="M587" s="16"/>
      <c r="N587" s="233" t="s">
        <v>750</v>
      </c>
      <c r="O587" s="16" t="s">
        <v>24</v>
      </c>
      <c r="P587" s="219" t="s">
        <v>24</v>
      </c>
      <c r="Q587" s="221" t="s">
        <v>2220</v>
      </c>
    </row>
    <row r="588" spans="1:17" ht="36" customHeight="1" x14ac:dyDescent="0.2">
      <c r="A588" s="7">
        <v>585</v>
      </c>
      <c r="B588" s="7">
        <v>1087</v>
      </c>
      <c r="C588" s="231" t="s">
        <v>2221</v>
      </c>
      <c r="D588" s="3" t="s">
        <v>114</v>
      </c>
      <c r="E588" s="21" t="s">
        <v>28</v>
      </c>
      <c r="F588" s="7"/>
      <c r="G588" s="7"/>
      <c r="H588" s="7"/>
      <c r="I588" s="3" t="s">
        <v>300</v>
      </c>
      <c r="J588" s="7"/>
      <c r="K588" s="7"/>
      <c r="L588" s="228" t="s">
        <v>460</v>
      </c>
      <c r="M588" s="3"/>
      <c r="N588" s="228" t="s">
        <v>302</v>
      </c>
      <c r="O588" s="3" t="s">
        <v>303</v>
      </c>
      <c r="P588" s="186" t="s">
        <v>304</v>
      </c>
      <c r="Q588" s="222" t="s">
        <v>2222</v>
      </c>
    </row>
    <row r="589" spans="1:17" ht="36" customHeight="1" x14ac:dyDescent="0.2">
      <c r="A589" s="15">
        <v>586</v>
      </c>
      <c r="B589" s="15">
        <v>1091</v>
      </c>
      <c r="C589" s="232" t="s">
        <v>2223</v>
      </c>
      <c r="D589" s="16" t="s">
        <v>1106</v>
      </c>
      <c r="E589" s="23" t="s">
        <v>28</v>
      </c>
      <c r="F589" s="15"/>
      <c r="G589" s="15"/>
      <c r="H589" s="15"/>
      <c r="I589" s="16" t="s">
        <v>617</v>
      </c>
      <c r="J589" s="15"/>
      <c r="K589" s="15"/>
      <c r="L589" s="233" t="s">
        <v>58</v>
      </c>
      <c r="M589" s="16"/>
      <c r="N589" s="233" t="s">
        <v>619</v>
      </c>
      <c r="O589" s="16" t="s">
        <v>81</v>
      </c>
      <c r="P589" s="219" t="s">
        <v>2130</v>
      </c>
      <c r="Q589" s="221" t="s">
        <v>2224</v>
      </c>
    </row>
    <row r="590" spans="1:17" ht="36" customHeight="1" x14ac:dyDescent="0.2">
      <c r="A590" s="7">
        <v>587</v>
      </c>
      <c r="B590" s="7">
        <v>1094</v>
      </c>
      <c r="C590" s="231" t="s">
        <v>2225</v>
      </c>
      <c r="D590" s="3" t="s">
        <v>1009</v>
      </c>
      <c r="E590" s="14" t="s">
        <v>28</v>
      </c>
      <c r="F590" s="7"/>
      <c r="G590" s="7"/>
      <c r="H590" s="7"/>
      <c r="I590" s="3" t="s">
        <v>652</v>
      </c>
      <c r="J590" s="7"/>
      <c r="K590" s="7"/>
      <c r="L590" s="228" t="s">
        <v>2226</v>
      </c>
      <c r="M590" s="3"/>
      <c r="N590" s="228" t="s">
        <v>654</v>
      </c>
      <c r="O590" s="3" t="s">
        <v>24</v>
      </c>
      <c r="P590" s="186" t="s">
        <v>47</v>
      </c>
      <c r="Q590" s="222" t="s">
        <v>2227</v>
      </c>
    </row>
    <row r="591" spans="1:17" ht="36" customHeight="1" x14ac:dyDescent="0.2">
      <c r="A591" s="15">
        <v>588</v>
      </c>
      <c r="B591" s="15">
        <v>1101</v>
      </c>
      <c r="C591" s="232" t="s">
        <v>2228</v>
      </c>
      <c r="D591" s="16" t="s">
        <v>1736</v>
      </c>
      <c r="E591" s="19" t="s">
        <v>28</v>
      </c>
      <c r="F591" s="15"/>
      <c r="G591" s="15"/>
      <c r="H591" s="15"/>
      <c r="I591" s="16" t="s">
        <v>1736</v>
      </c>
      <c r="J591" s="15"/>
      <c r="K591" s="15"/>
      <c r="L591" s="233" t="s">
        <v>1159</v>
      </c>
      <c r="M591" s="16"/>
      <c r="N591" s="233" t="s">
        <v>2229</v>
      </c>
      <c r="O591" s="16" t="s">
        <v>24</v>
      </c>
      <c r="P591" s="219" t="s">
        <v>24</v>
      </c>
      <c r="Q591" s="221" t="s">
        <v>2230</v>
      </c>
    </row>
    <row r="592" spans="1:17" ht="36" customHeight="1" x14ac:dyDescent="0.2">
      <c r="A592" s="7">
        <v>589</v>
      </c>
      <c r="B592" s="7">
        <v>1110</v>
      </c>
      <c r="C592" s="231" t="s">
        <v>2231</v>
      </c>
      <c r="D592" s="3" t="s">
        <v>500</v>
      </c>
      <c r="E592" s="18" t="s">
        <v>28</v>
      </c>
      <c r="F592" s="7"/>
      <c r="G592" s="7"/>
      <c r="H592" s="7"/>
      <c r="I592" s="3" t="s">
        <v>2232</v>
      </c>
      <c r="J592" s="7"/>
      <c r="K592" s="7"/>
      <c r="L592" s="228" t="s">
        <v>339</v>
      </c>
      <c r="M592" s="3"/>
      <c r="N592" s="228" t="s">
        <v>2233</v>
      </c>
      <c r="O592" s="3" t="s">
        <v>24</v>
      </c>
      <c r="P592" s="186" t="s">
        <v>24</v>
      </c>
      <c r="Q592" s="222" t="s">
        <v>2234</v>
      </c>
    </row>
    <row r="593" spans="1:17" ht="36" customHeight="1" x14ac:dyDescent="0.2">
      <c r="A593" s="15">
        <v>590</v>
      </c>
      <c r="B593" s="15">
        <v>1136</v>
      </c>
      <c r="C593" s="232" t="s">
        <v>2235</v>
      </c>
      <c r="D593" s="16" t="s">
        <v>904</v>
      </c>
      <c r="E593" s="19" t="s">
        <v>28</v>
      </c>
      <c r="F593" s="15"/>
      <c r="G593" s="15"/>
      <c r="H593" s="15"/>
      <c r="I593" s="16" t="s">
        <v>617</v>
      </c>
      <c r="J593" s="15"/>
      <c r="K593" s="15"/>
      <c r="L593" s="233" t="s">
        <v>779</v>
      </c>
      <c r="M593" s="16"/>
      <c r="N593" s="233" t="s">
        <v>619</v>
      </c>
      <c r="O593" s="16" t="s">
        <v>648</v>
      </c>
      <c r="P593" s="219" t="s">
        <v>648</v>
      </c>
      <c r="Q593" s="221" t="s">
        <v>2236</v>
      </c>
    </row>
    <row r="594" spans="1:17" ht="36" customHeight="1" x14ac:dyDescent="0.2">
      <c r="A594" s="7">
        <v>591</v>
      </c>
      <c r="B594" s="7">
        <v>1143</v>
      </c>
      <c r="C594" s="231" t="s">
        <v>2237</v>
      </c>
      <c r="D594" s="3" t="s">
        <v>50</v>
      </c>
      <c r="E594" s="20" t="s">
        <v>28</v>
      </c>
      <c r="F594" s="7"/>
      <c r="G594" s="7"/>
      <c r="H594" s="7"/>
      <c r="I594" s="3" t="s">
        <v>2238</v>
      </c>
      <c r="J594" s="7"/>
      <c r="K594" s="7"/>
      <c r="L594" s="228" t="s">
        <v>2239</v>
      </c>
      <c r="M594" s="3"/>
      <c r="N594" s="228" t="s">
        <v>2240</v>
      </c>
      <c r="O594" s="3" t="s">
        <v>24</v>
      </c>
      <c r="P594" s="186" t="s">
        <v>24</v>
      </c>
      <c r="Q594" s="222" t="s">
        <v>2241</v>
      </c>
    </row>
    <row r="595" spans="1:17" ht="36" customHeight="1" x14ac:dyDescent="0.2">
      <c r="A595" s="15">
        <v>592</v>
      </c>
      <c r="B595" s="15">
        <v>1146</v>
      </c>
      <c r="C595" s="232" t="s">
        <v>2242</v>
      </c>
      <c r="D595" s="16" t="s">
        <v>2243</v>
      </c>
      <c r="E595" s="19" t="s">
        <v>28</v>
      </c>
      <c r="F595" s="15"/>
      <c r="G595" s="15"/>
      <c r="H595" s="15"/>
      <c r="I595" s="16" t="s">
        <v>512</v>
      </c>
      <c r="J595" s="15"/>
      <c r="K595" s="15"/>
      <c r="L595" s="233" t="s">
        <v>188</v>
      </c>
      <c r="M595" s="16"/>
      <c r="N595" s="233" t="s">
        <v>513</v>
      </c>
      <c r="O595" s="16" t="s">
        <v>65</v>
      </c>
      <c r="P595" s="219" t="s">
        <v>47</v>
      </c>
      <c r="Q595" s="221" t="s">
        <v>2244</v>
      </c>
    </row>
    <row r="596" spans="1:17" ht="36" customHeight="1" x14ac:dyDescent="0.2">
      <c r="A596" s="7">
        <v>593</v>
      </c>
      <c r="B596" s="7">
        <v>1148</v>
      </c>
      <c r="C596" s="231" t="s">
        <v>2245</v>
      </c>
      <c r="D596" s="3" t="s">
        <v>796</v>
      </c>
      <c r="E596" s="14" t="s">
        <v>20</v>
      </c>
      <c r="F596" s="7"/>
      <c r="G596" s="7"/>
      <c r="H596" s="7"/>
      <c r="I596" s="3" t="s">
        <v>2246</v>
      </c>
      <c r="J596" s="7"/>
      <c r="K596" s="7"/>
      <c r="L596" s="228" t="s">
        <v>339</v>
      </c>
      <c r="M596" s="3"/>
      <c r="N596" s="228" t="s">
        <v>2247</v>
      </c>
      <c r="O596" s="3" t="s">
        <v>326</v>
      </c>
      <c r="P596" s="186" t="s">
        <v>24</v>
      </c>
      <c r="Q596" s="222" t="s">
        <v>2248</v>
      </c>
    </row>
    <row r="597" spans="1:17" ht="36" customHeight="1" x14ac:dyDescent="0.2">
      <c r="A597" s="15">
        <v>594</v>
      </c>
      <c r="B597" s="15">
        <v>1152</v>
      </c>
      <c r="C597" s="232" t="s">
        <v>2249</v>
      </c>
      <c r="D597" s="16" t="s">
        <v>1467</v>
      </c>
      <c r="E597" s="19" t="s">
        <v>28</v>
      </c>
      <c r="F597" s="15"/>
      <c r="G597" s="15"/>
      <c r="H597" s="15"/>
      <c r="I597" s="16" t="s">
        <v>2250</v>
      </c>
      <c r="J597" s="15"/>
      <c r="K597" s="15"/>
      <c r="L597" s="233" t="s">
        <v>339</v>
      </c>
      <c r="M597" s="16"/>
      <c r="N597" s="233" t="s">
        <v>2251</v>
      </c>
      <c r="O597" s="16" t="s">
        <v>2252</v>
      </c>
      <c r="P597" s="219" t="s">
        <v>24</v>
      </c>
      <c r="Q597" s="221" t="s">
        <v>2253</v>
      </c>
    </row>
    <row r="598" spans="1:17" ht="36" customHeight="1" x14ac:dyDescent="0.2">
      <c r="A598" s="7">
        <v>595</v>
      </c>
      <c r="B598" s="7">
        <v>1161</v>
      </c>
      <c r="C598" s="231" t="s">
        <v>2254</v>
      </c>
      <c r="D598" s="3" t="s">
        <v>534</v>
      </c>
      <c r="E598" s="14" t="s">
        <v>28</v>
      </c>
      <c r="F598" s="7"/>
      <c r="G598" s="7"/>
      <c r="H598" s="7"/>
      <c r="I598" s="3" t="s">
        <v>2255</v>
      </c>
      <c r="J598" s="7"/>
      <c r="K598" s="7"/>
      <c r="L598" s="228" t="s">
        <v>339</v>
      </c>
      <c r="M598" s="3"/>
      <c r="N598" s="228" t="s">
        <v>2256</v>
      </c>
      <c r="O598" s="3" t="s">
        <v>24</v>
      </c>
      <c r="P598" s="186" t="s">
        <v>24</v>
      </c>
      <c r="Q598" s="222" t="s">
        <v>2257</v>
      </c>
    </row>
    <row r="599" spans="1:17" ht="36" customHeight="1" x14ac:dyDescent="0.2">
      <c r="A599" s="15">
        <v>596</v>
      </c>
      <c r="B599" s="15">
        <v>1162</v>
      </c>
      <c r="C599" s="232" t="s">
        <v>2258</v>
      </c>
      <c r="D599" s="16" t="s">
        <v>1106</v>
      </c>
      <c r="E599" s="17" t="s">
        <v>28</v>
      </c>
      <c r="F599" s="15"/>
      <c r="G599" s="15"/>
      <c r="H599" s="15"/>
      <c r="I599" s="16" t="s">
        <v>2259</v>
      </c>
      <c r="J599" s="15"/>
      <c r="K599" s="15"/>
      <c r="L599" s="233" t="s">
        <v>339</v>
      </c>
      <c r="M599" s="16"/>
      <c r="N599" s="233" t="s">
        <v>2260</v>
      </c>
      <c r="O599" s="16" t="s">
        <v>341</v>
      </c>
      <c r="P599" s="219" t="s">
        <v>341</v>
      </c>
      <c r="Q599" s="221" t="s">
        <v>2261</v>
      </c>
    </row>
    <row r="600" spans="1:17" ht="36" customHeight="1" x14ac:dyDescent="0.2">
      <c r="A600" s="7">
        <v>597</v>
      </c>
      <c r="B600" s="7">
        <v>1166</v>
      </c>
      <c r="C600" s="231" t="s">
        <v>2262</v>
      </c>
      <c r="D600" s="3" t="s">
        <v>2263</v>
      </c>
      <c r="E600" s="21" t="s">
        <v>28</v>
      </c>
      <c r="F600" s="7"/>
      <c r="G600" s="7"/>
      <c r="H600" s="7"/>
      <c r="I600" s="3" t="s">
        <v>2264</v>
      </c>
      <c r="J600" s="7"/>
      <c r="K600" s="7"/>
      <c r="L600" s="228" t="s">
        <v>339</v>
      </c>
      <c r="M600" s="3"/>
      <c r="N600" s="228" t="s">
        <v>2265</v>
      </c>
      <c r="O600" s="3" t="s">
        <v>912</v>
      </c>
      <c r="P600" s="186" t="s">
        <v>2266</v>
      </c>
      <c r="Q600" s="222" t="s">
        <v>2267</v>
      </c>
    </row>
    <row r="601" spans="1:17" ht="36" customHeight="1" x14ac:dyDescent="0.2">
      <c r="A601" s="15">
        <v>598</v>
      </c>
      <c r="B601" s="15">
        <v>1168</v>
      </c>
      <c r="C601" s="232" t="s">
        <v>2268</v>
      </c>
      <c r="D601" s="16" t="s">
        <v>1050</v>
      </c>
      <c r="E601" s="17" t="s">
        <v>42</v>
      </c>
      <c r="F601" s="15"/>
      <c r="G601" s="15"/>
      <c r="H601" s="15"/>
      <c r="I601" s="16" t="s">
        <v>617</v>
      </c>
      <c r="J601" s="15"/>
      <c r="K601" s="15"/>
      <c r="L601" s="233" t="s">
        <v>460</v>
      </c>
      <c r="M601" s="16"/>
      <c r="N601" s="233" t="s">
        <v>619</v>
      </c>
      <c r="O601" s="16" t="s">
        <v>648</v>
      </c>
      <c r="P601" s="219" t="s">
        <v>648</v>
      </c>
      <c r="Q601" s="221" t="s">
        <v>2269</v>
      </c>
    </row>
    <row r="602" spans="1:17" ht="36" customHeight="1" x14ac:dyDescent="0.2">
      <c r="A602" s="7">
        <v>599</v>
      </c>
      <c r="B602" s="7">
        <v>1171</v>
      </c>
      <c r="C602" s="231" t="s">
        <v>2270</v>
      </c>
      <c r="D602" s="3" t="s">
        <v>669</v>
      </c>
      <c r="E602" s="18" t="s">
        <v>28</v>
      </c>
      <c r="F602" s="7"/>
      <c r="G602" s="7"/>
      <c r="H602" s="7"/>
      <c r="I602" s="3" t="s">
        <v>459</v>
      </c>
      <c r="J602" s="7"/>
      <c r="K602" s="7"/>
      <c r="L602" s="228" t="s">
        <v>779</v>
      </c>
      <c r="M602" s="3"/>
      <c r="N602" s="228" t="s">
        <v>461</v>
      </c>
      <c r="O602" s="3" t="s">
        <v>24</v>
      </c>
      <c r="P602" s="186" t="s">
        <v>47</v>
      </c>
      <c r="Q602" s="222" t="s">
        <v>2271</v>
      </c>
    </row>
    <row r="603" spans="1:17" ht="36" customHeight="1" x14ac:dyDescent="0.2">
      <c r="A603" s="15">
        <v>600</v>
      </c>
      <c r="B603" s="15">
        <v>1174</v>
      </c>
      <c r="C603" s="232" t="s">
        <v>2272</v>
      </c>
      <c r="D603" s="16" t="s">
        <v>796</v>
      </c>
      <c r="E603" s="22" t="s">
        <v>28</v>
      </c>
      <c r="F603" s="15"/>
      <c r="G603" s="15"/>
      <c r="H603" s="15"/>
      <c r="I603" s="16" t="s">
        <v>2273</v>
      </c>
      <c r="J603" s="15"/>
      <c r="K603" s="15"/>
      <c r="L603" s="233" t="s">
        <v>339</v>
      </c>
      <c r="M603" s="16"/>
      <c r="N603" s="233" t="s">
        <v>2274</v>
      </c>
      <c r="O603" s="16" t="s">
        <v>24</v>
      </c>
      <c r="P603" s="219" t="s">
        <v>24</v>
      </c>
      <c r="Q603" s="221" t="s">
        <v>2275</v>
      </c>
    </row>
    <row r="604" spans="1:17" ht="36" customHeight="1" x14ac:dyDescent="0.2">
      <c r="A604" s="7">
        <v>601</v>
      </c>
      <c r="B604" s="7">
        <v>1192</v>
      </c>
      <c r="C604" s="231" t="s">
        <v>2276</v>
      </c>
      <c r="D604" s="3" t="s">
        <v>1232</v>
      </c>
      <c r="E604" s="14" t="s">
        <v>42</v>
      </c>
      <c r="F604" s="7"/>
      <c r="G604" s="7"/>
      <c r="H604" s="7"/>
      <c r="I604" s="3" t="s">
        <v>617</v>
      </c>
      <c r="J604" s="7"/>
      <c r="K604" s="7"/>
      <c r="L604" s="228" t="s">
        <v>339</v>
      </c>
      <c r="M604" s="3"/>
      <c r="N604" s="228" t="s">
        <v>619</v>
      </c>
      <c r="O604" s="3" t="s">
        <v>648</v>
      </c>
      <c r="P604" s="186" t="s">
        <v>648</v>
      </c>
      <c r="Q604" s="222" t="s">
        <v>2277</v>
      </c>
    </row>
    <row r="605" spans="1:17" ht="36" customHeight="1" x14ac:dyDescent="0.2">
      <c r="A605" s="15">
        <v>602</v>
      </c>
      <c r="B605" s="15">
        <v>1193</v>
      </c>
      <c r="C605" s="232" t="s">
        <v>2278</v>
      </c>
      <c r="D605" s="16" t="s">
        <v>796</v>
      </c>
      <c r="E605" s="19" t="s">
        <v>28</v>
      </c>
      <c r="F605" s="15"/>
      <c r="G605" s="15"/>
      <c r="H605" s="15"/>
      <c r="I605" s="16" t="s">
        <v>2279</v>
      </c>
      <c r="J605" s="15"/>
      <c r="K605" s="15"/>
      <c r="L605" s="233" t="s">
        <v>339</v>
      </c>
      <c r="M605" s="16"/>
      <c r="N605" s="233" t="s">
        <v>2280</v>
      </c>
      <c r="O605" s="16" t="s">
        <v>24</v>
      </c>
      <c r="P605" s="219" t="s">
        <v>24</v>
      </c>
      <c r="Q605" s="221" t="s">
        <v>2281</v>
      </c>
    </row>
    <row r="606" spans="1:17" ht="36" customHeight="1" x14ac:dyDescent="0.2">
      <c r="A606" s="7">
        <v>603</v>
      </c>
      <c r="B606" s="7">
        <v>1197</v>
      </c>
      <c r="C606" s="231" t="s">
        <v>2282</v>
      </c>
      <c r="D606" s="3" t="s">
        <v>1198</v>
      </c>
      <c r="E606" s="21" t="s">
        <v>28</v>
      </c>
      <c r="F606" s="7"/>
      <c r="G606" s="7"/>
      <c r="H606" s="7"/>
      <c r="I606" s="3" t="s">
        <v>617</v>
      </c>
      <c r="J606" s="7"/>
      <c r="K606" s="7"/>
      <c r="L606" s="228" t="s">
        <v>2283</v>
      </c>
      <c r="M606" s="3"/>
      <c r="N606" s="228" t="s">
        <v>619</v>
      </c>
      <c r="O606" s="3" t="s">
        <v>648</v>
      </c>
      <c r="P606" s="186" t="s">
        <v>648</v>
      </c>
      <c r="Q606" s="222" t="s">
        <v>2284</v>
      </c>
    </row>
    <row r="607" spans="1:17" ht="36" customHeight="1" x14ac:dyDescent="0.2">
      <c r="A607" s="15">
        <v>604</v>
      </c>
      <c r="B607" s="15">
        <v>1207</v>
      </c>
      <c r="C607" s="232" t="s">
        <v>2285</v>
      </c>
      <c r="D607" s="16" t="s">
        <v>19</v>
      </c>
      <c r="E607" s="23" t="s">
        <v>20</v>
      </c>
      <c r="F607" s="15"/>
      <c r="G607" s="15"/>
      <c r="H607" s="15"/>
      <c r="I607" s="16" t="s">
        <v>704</v>
      </c>
      <c r="J607" s="15"/>
      <c r="K607" s="15"/>
      <c r="L607" s="233" t="s">
        <v>183</v>
      </c>
      <c r="M607" s="16"/>
      <c r="N607" s="233" t="s">
        <v>705</v>
      </c>
      <c r="O607" s="16" t="s">
        <v>24</v>
      </c>
      <c r="P607" s="219" t="s">
        <v>24</v>
      </c>
      <c r="Q607" s="221" t="s">
        <v>2286</v>
      </c>
    </row>
    <row r="608" spans="1:17" ht="36" customHeight="1" x14ac:dyDescent="0.2">
      <c r="A608" s="7">
        <v>605</v>
      </c>
      <c r="B608" s="7">
        <v>1209</v>
      </c>
      <c r="C608" s="231" t="s">
        <v>2287</v>
      </c>
      <c r="D608" s="3" t="s">
        <v>133</v>
      </c>
      <c r="E608" s="21" t="s">
        <v>28</v>
      </c>
      <c r="F608" s="7"/>
      <c r="G608" s="7"/>
      <c r="H608" s="7"/>
      <c r="I608" s="3" t="s">
        <v>2288</v>
      </c>
      <c r="J608" s="7"/>
      <c r="K608" s="7"/>
      <c r="L608" s="228" t="s">
        <v>339</v>
      </c>
      <c r="M608" s="3"/>
      <c r="N608" s="228" t="s">
        <v>2289</v>
      </c>
      <c r="O608" s="3" t="s">
        <v>24</v>
      </c>
      <c r="P608" s="186" t="s">
        <v>24</v>
      </c>
      <c r="Q608" s="222" t="s">
        <v>2290</v>
      </c>
    </row>
    <row r="609" spans="1:17" ht="36" customHeight="1" x14ac:dyDescent="0.2">
      <c r="A609" s="15">
        <v>606</v>
      </c>
      <c r="B609" s="15">
        <v>1211</v>
      </c>
      <c r="C609" s="232" t="s">
        <v>2291</v>
      </c>
      <c r="D609" s="16" t="s">
        <v>796</v>
      </c>
      <c r="E609" s="23" t="s">
        <v>20</v>
      </c>
      <c r="F609" s="15"/>
      <c r="G609" s="15"/>
      <c r="H609" s="15"/>
      <c r="I609" s="16" t="s">
        <v>2292</v>
      </c>
      <c r="J609" s="15"/>
      <c r="K609" s="15"/>
      <c r="L609" s="233" t="s">
        <v>339</v>
      </c>
      <c r="M609" s="16"/>
      <c r="N609" s="233" t="s">
        <v>2293</v>
      </c>
      <c r="O609" s="16" t="s">
        <v>24</v>
      </c>
      <c r="P609" s="219" t="s">
        <v>24</v>
      </c>
      <c r="Q609" s="221" t="s">
        <v>2294</v>
      </c>
    </row>
    <row r="610" spans="1:17" ht="36" customHeight="1" x14ac:dyDescent="0.2">
      <c r="A610" s="7">
        <v>607</v>
      </c>
      <c r="B610" s="7">
        <v>1213</v>
      </c>
      <c r="C610" s="231" t="s">
        <v>2295</v>
      </c>
      <c r="D610" s="3" t="s">
        <v>84</v>
      </c>
      <c r="E610" s="21" t="s">
        <v>20</v>
      </c>
      <c r="F610" s="7"/>
      <c r="G610" s="7"/>
      <c r="H610" s="7"/>
      <c r="I610" s="3" t="s">
        <v>689</v>
      </c>
      <c r="J610" s="7"/>
      <c r="K610" s="7"/>
      <c r="L610" s="228" t="s">
        <v>460</v>
      </c>
      <c r="M610" s="3"/>
      <c r="N610" s="228" t="s">
        <v>690</v>
      </c>
      <c r="O610" s="3" t="s">
        <v>326</v>
      </c>
      <c r="P610" s="186" t="s">
        <v>24</v>
      </c>
      <c r="Q610" s="222" t="s">
        <v>2296</v>
      </c>
    </row>
    <row r="611" spans="1:17" ht="36" customHeight="1" x14ac:dyDescent="0.2">
      <c r="A611" s="15">
        <v>608</v>
      </c>
      <c r="B611" s="15">
        <v>1216</v>
      </c>
      <c r="C611" s="232" t="s">
        <v>2297</v>
      </c>
      <c r="D611" s="16" t="s">
        <v>50</v>
      </c>
      <c r="E611" s="17" t="s">
        <v>42</v>
      </c>
      <c r="F611" s="15"/>
      <c r="G611" s="15"/>
      <c r="H611" s="15"/>
      <c r="I611" s="16" t="s">
        <v>507</v>
      </c>
      <c r="J611" s="15"/>
      <c r="K611" s="15"/>
      <c r="L611" s="233" t="s">
        <v>589</v>
      </c>
      <c r="M611" s="16"/>
      <c r="N611" s="233" t="s">
        <v>508</v>
      </c>
      <c r="O611" s="16" t="s">
        <v>24</v>
      </c>
      <c r="P611" s="219" t="s">
        <v>24</v>
      </c>
      <c r="Q611" s="221" t="s">
        <v>2298</v>
      </c>
    </row>
    <row r="612" spans="1:17" ht="36" customHeight="1" x14ac:dyDescent="0.2">
      <c r="A612" s="7">
        <v>609</v>
      </c>
      <c r="B612" s="7">
        <v>1219</v>
      </c>
      <c r="C612" s="231" t="s">
        <v>2299</v>
      </c>
      <c r="D612" s="3" t="s">
        <v>443</v>
      </c>
      <c r="E612" s="21" t="s">
        <v>28</v>
      </c>
      <c r="F612" s="7"/>
      <c r="G612" s="7"/>
      <c r="H612" s="7"/>
      <c r="I612" s="3" t="s">
        <v>1920</v>
      </c>
      <c r="J612" s="7"/>
      <c r="K612" s="7"/>
      <c r="L612" s="228" t="s">
        <v>339</v>
      </c>
      <c r="M612" s="3"/>
      <c r="N612" s="228" t="s">
        <v>2300</v>
      </c>
      <c r="O612" s="3" t="s">
        <v>2301</v>
      </c>
      <c r="P612" s="186" t="s">
        <v>153</v>
      </c>
      <c r="Q612" s="222" t="s">
        <v>2302</v>
      </c>
    </row>
    <row r="613" spans="1:17" ht="36" customHeight="1" x14ac:dyDescent="0.2">
      <c r="A613" s="15">
        <v>610</v>
      </c>
      <c r="B613" s="15">
        <v>1221</v>
      </c>
      <c r="C613" s="232" t="s">
        <v>2303</v>
      </c>
      <c r="D613" s="16" t="s">
        <v>1873</v>
      </c>
      <c r="E613" s="22" t="s">
        <v>20</v>
      </c>
      <c r="F613" s="15"/>
      <c r="G613" s="15"/>
      <c r="H613" s="15"/>
      <c r="I613" s="16" t="s">
        <v>2304</v>
      </c>
      <c r="J613" s="15"/>
      <c r="K613" s="15"/>
      <c r="L613" s="233"/>
      <c r="M613" s="16"/>
      <c r="N613" s="233" t="s">
        <v>2305</v>
      </c>
      <c r="O613" s="16" t="s">
        <v>24</v>
      </c>
      <c r="P613" s="219" t="s">
        <v>24</v>
      </c>
      <c r="Q613" s="221" t="s">
        <v>2306</v>
      </c>
    </row>
    <row r="614" spans="1:17" ht="36" customHeight="1" x14ac:dyDescent="0.2">
      <c r="A614" s="7">
        <v>611</v>
      </c>
      <c r="B614" s="7">
        <v>1228</v>
      </c>
      <c r="C614" s="231" t="s">
        <v>2307</v>
      </c>
      <c r="D614" s="3" t="s">
        <v>376</v>
      </c>
      <c r="E614" s="18" t="s">
        <v>20</v>
      </c>
      <c r="F614" s="7"/>
      <c r="G614" s="7"/>
      <c r="H614" s="7"/>
      <c r="I614" s="3" t="s">
        <v>2308</v>
      </c>
      <c r="J614" s="7"/>
      <c r="K614" s="7"/>
      <c r="L614" s="228" t="s">
        <v>339</v>
      </c>
      <c r="M614" s="3"/>
      <c r="N614" s="228" t="s">
        <v>2309</v>
      </c>
      <c r="O614" s="3" t="s">
        <v>65</v>
      </c>
      <c r="P614" s="186" t="s">
        <v>47</v>
      </c>
      <c r="Q614" s="222" t="s">
        <v>2310</v>
      </c>
    </row>
    <row r="615" spans="1:17" ht="36" customHeight="1" x14ac:dyDescent="0.2">
      <c r="A615" s="15">
        <v>612</v>
      </c>
      <c r="B615" s="15">
        <v>1229</v>
      </c>
      <c r="C615" s="232" t="s">
        <v>2311</v>
      </c>
      <c r="D615" s="16" t="s">
        <v>323</v>
      </c>
      <c r="E615" s="19" t="s">
        <v>28</v>
      </c>
      <c r="F615" s="15"/>
      <c r="G615" s="15"/>
      <c r="H615" s="15"/>
      <c r="I615" s="16" t="s">
        <v>652</v>
      </c>
      <c r="J615" s="15"/>
      <c r="K615" s="15"/>
      <c r="L615" s="233" t="s">
        <v>460</v>
      </c>
      <c r="M615" s="16"/>
      <c r="N615" s="233" t="s">
        <v>654</v>
      </c>
      <c r="O615" s="16" t="s">
        <v>326</v>
      </c>
      <c r="P615" s="219" t="s">
        <v>47</v>
      </c>
      <c r="Q615" s="221" t="s">
        <v>2312</v>
      </c>
    </row>
    <row r="616" spans="1:17" ht="36" customHeight="1" x14ac:dyDescent="0.2">
      <c r="A616" s="7">
        <v>613</v>
      </c>
      <c r="B616" s="7">
        <v>1235</v>
      </c>
      <c r="C616" s="231" t="s">
        <v>2313</v>
      </c>
      <c r="D616" s="3" t="s">
        <v>1136</v>
      </c>
      <c r="E616" s="21" t="s">
        <v>42</v>
      </c>
      <c r="F616" s="7"/>
      <c r="G616" s="7"/>
      <c r="H616" s="7"/>
      <c r="I616" s="3" t="s">
        <v>512</v>
      </c>
      <c r="J616" s="7"/>
      <c r="K616" s="7"/>
      <c r="L616" s="228" t="s">
        <v>2314</v>
      </c>
      <c r="M616" s="3"/>
      <c r="N616" s="228" t="s">
        <v>513</v>
      </c>
      <c r="O616" s="3" t="s">
        <v>65</v>
      </c>
      <c r="P616" s="186" t="s">
        <v>47</v>
      </c>
      <c r="Q616" s="222" t="s">
        <v>2315</v>
      </c>
    </row>
    <row r="617" spans="1:17" ht="36" customHeight="1" x14ac:dyDescent="0.2">
      <c r="A617" s="15">
        <v>614</v>
      </c>
      <c r="B617" s="15">
        <v>1236</v>
      </c>
      <c r="C617" s="232" t="s">
        <v>2316</v>
      </c>
      <c r="D617" s="16" t="s">
        <v>1198</v>
      </c>
      <c r="E617" s="19" t="s">
        <v>28</v>
      </c>
      <c r="F617" s="15"/>
      <c r="G617" s="15"/>
      <c r="H617" s="15"/>
      <c r="I617" s="16" t="s">
        <v>2317</v>
      </c>
      <c r="J617" s="15"/>
      <c r="K617" s="15"/>
      <c r="L617" s="233" t="s">
        <v>339</v>
      </c>
      <c r="M617" s="16"/>
      <c r="N617" s="233" t="s">
        <v>2318</v>
      </c>
      <c r="O617" s="16" t="s">
        <v>648</v>
      </c>
      <c r="P617" s="219" t="s">
        <v>649</v>
      </c>
      <c r="Q617" s="221" t="s">
        <v>2319</v>
      </c>
    </row>
    <row r="618" spans="1:17" ht="36" customHeight="1" x14ac:dyDescent="0.2">
      <c r="A618" s="7">
        <v>615</v>
      </c>
      <c r="B618" s="7">
        <v>1239</v>
      </c>
      <c r="C618" s="231" t="s">
        <v>2320</v>
      </c>
      <c r="D618" s="3" t="s">
        <v>2321</v>
      </c>
      <c r="E618" s="14" t="s">
        <v>28</v>
      </c>
      <c r="F618" s="7"/>
      <c r="G618" s="7"/>
      <c r="H618" s="7"/>
      <c r="I618" s="3" t="s">
        <v>2322</v>
      </c>
      <c r="J618" s="7"/>
      <c r="K618" s="7"/>
      <c r="L618" s="228"/>
      <c r="M618" s="3"/>
      <c r="N618" s="228" t="s">
        <v>2323</v>
      </c>
      <c r="O618" s="3" t="s">
        <v>24</v>
      </c>
      <c r="P618" s="186" t="s">
        <v>24</v>
      </c>
      <c r="Q618" s="222" t="s">
        <v>2324</v>
      </c>
    </row>
    <row r="619" spans="1:17" ht="30" x14ac:dyDescent="0.2">
      <c r="A619" s="15">
        <v>616</v>
      </c>
      <c r="B619" s="15">
        <v>1242</v>
      </c>
      <c r="C619" s="232" t="s">
        <v>2325</v>
      </c>
      <c r="D619" s="16" t="s">
        <v>1198</v>
      </c>
      <c r="E619" s="17" t="s">
        <v>28</v>
      </c>
      <c r="F619" s="15"/>
      <c r="G619" s="15"/>
      <c r="H619" s="15"/>
      <c r="I619" s="16" t="s">
        <v>2326</v>
      </c>
      <c r="J619" s="15"/>
      <c r="K619" s="15"/>
      <c r="L619" s="233" t="s">
        <v>460</v>
      </c>
      <c r="M619" s="16"/>
      <c r="N619" s="233" t="s">
        <v>2327</v>
      </c>
      <c r="O619" s="16" t="s">
        <v>1169</v>
      </c>
      <c r="P619" s="219" t="s">
        <v>649</v>
      </c>
      <c r="Q619" s="221" t="s">
        <v>2328</v>
      </c>
    </row>
    <row r="620" spans="1:17" ht="30" x14ac:dyDescent="0.2">
      <c r="A620" s="15">
        <v>617</v>
      </c>
      <c r="B620" s="15">
        <v>1248</v>
      </c>
      <c r="C620" s="232" t="s">
        <v>2329</v>
      </c>
      <c r="D620" s="16" t="s">
        <v>916</v>
      </c>
      <c r="E620" s="17" t="s">
        <v>28</v>
      </c>
      <c r="F620" s="15"/>
      <c r="G620" s="15"/>
      <c r="H620" s="15"/>
      <c r="I620" s="16" t="s">
        <v>2330</v>
      </c>
      <c r="J620" s="15"/>
      <c r="K620" s="15"/>
      <c r="L620" s="233" t="s">
        <v>339</v>
      </c>
      <c r="M620" s="16"/>
      <c r="N620" s="233" t="s">
        <v>2331</v>
      </c>
      <c r="O620" s="16" t="s">
        <v>24</v>
      </c>
      <c r="P620" s="219" t="s">
        <v>24</v>
      </c>
      <c r="Q620" s="222" t="s">
        <v>2332</v>
      </c>
    </row>
    <row r="621" spans="1:17" ht="30" x14ac:dyDescent="0.2">
      <c r="A621" s="15">
        <v>618</v>
      </c>
      <c r="B621" s="15">
        <v>1249</v>
      </c>
      <c r="C621" s="232" t="s">
        <v>2333</v>
      </c>
      <c r="D621" s="16" t="s">
        <v>133</v>
      </c>
      <c r="E621" s="17" t="s">
        <v>28</v>
      </c>
      <c r="F621" s="15"/>
      <c r="G621" s="15"/>
      <c r="H621" s="15"/>
      <c r="I621" s="16" t="s">
        <v>540</v>
      </c>
      <c r="J621" s="15"/>
      <c r="K621" s="15"/>
      <c r="L621" s="233" t="s">
        <v>1186</v>
      </c>
      <c r="M621" s="16"/>
      <c r="N621" s="233" t="s">
        <v>542</v>
      </c>
      <c r="O621" s="16" t="s">
        <v>303</v>
      </c>
      <c r="P621" s="219" t="s">
        <v>304</v>
      </c>
      <c r="Q621" s="221" t="s">
        <v>2334</v>
      </c>
    </row>
    <row r="622" spans="1:17" ht="30" x14ac:dyDescent="0.2">
      <c r="A622" s="15">
        <v>619</v>
      </c>
      <c r="B622" s="15">
        <v>1251</v>
      </c>
      <c r="C622" s="232" t="s">
        <v>2335</v>
      </c>
      <c r="D622" s="16" t="s">
        <v>796</v>
      </c>
      <c r="E622" s="17" t="s">
        <v>20</v>
      </c>
      <c r="F622" s="15"/>
      <c r="G622" s="15"/>
      <c r="H622" s="15"/>
      <c r="I622" s="16" t="s">
        <v>2336</v>
      </c>
      <c r="J622" s="15"/>
      <c r="K622" s="15"/>
      <c r="L622" s="233" t="s">
        <v>188</v>
      </c>
      <c r="M622" s="16"/>
      <c r="N622" s="233" t="s">
        <v>2337</v>
      </c>
      <c r="O622" s="16" t="s">
        <v>24</v>
      </c>
      <c r="P622" s="219" t="s">
        <v>24</v>
      </c>
      <c r="Q622" s="222" t="s">
        <v>2338</v>
      </c>
    </row>
    <row r="623" spans="1:17" ht="30" x14ac:dyDescent="0.2">
      <c r="A623" s="15">
        <v>620</v>
      </c>
      <c r="B623" s="15">
        <v>1262</v>
      </c>
      <c r="C623" s="232" t="s">
        <v>2339</v>
      </c>
      <c r="D623" s="16" t="s">
        <v>309</v>
      </c>
      <c r="E623" s="17" t="s">
        <v>28</v>
      </c>
      <c r="F623" s="15"/>
      <c r="G623" s="15"/>
      <c r="H623" s="15"/>
      <c r="I623" s="16" t="s">
        <v>2340</v>
      </c>
      <c r="J623" s="15"/>
      <c r="K623" s="15"/>
      <c r="L623" s="233" t="s">
        <v>339</v>
      </c>
      <c r="M623" s="16"/>
      <c r="N623" s="233" t="s">
        <v>2341</v>
      </c>
      <c r="O623" s="16" t="s">
        <v>24</v>
      </c>
      <c r="P623" s="219" t="s">
        <v>47</v>
      </c>
      <c r="Q623" s="221" t="s">
        <v>2342</v>
      </c>
    </row>
    <row r="624" spans="1:17" ht="30" x14ac:dyDescent="0.2">
      <c r="A624" s="15">
        <v>621</v>
      </c>
      <c r="B624" s="15">
        <v>1266</v>
      </c>
      <c r="C624" s="232" t="s">
        <v>2343</v>
      </c>
      <c r="D624" s="16" t="s">
        <v>2344</v>
      </c>
      <c r="E624" s="17" t="s">
        <v>20</v>
      </c>
      <c r="F624" s="15"/>
      <c r="G624" s="15"/>
      <c r="H624" s="15"/>
      <c r="I624" s="16" t="s">
        <v>2345</v>
      </c>
      <c r="J624" s="15"/>
      <c r="K624" s="15"/>
      <c r="L624" s="233"/>
      <c r="M624" s="16"/>
      <c r="N624" s="233" t="s">
        <v>2346</v>
      </c>
      <c r="O624" s="16" t="s">
        <v>24</v>
      </c>
      <c r="P624" s="219" t="s">
        <v>24</v>
      </c>
      <c r="Q624" s="222" t="s">
        <v>2347</v>
      </c>
    </row>
    <row r="625" spans="1:17" ht="30" x14ac:dyDescent="0.2">
      <c r="A625" s="15">
        <v>622</v>
      </c>
      <c r="B625" s="15">
        <v>1268</v>
      </c>
      <c r="C625" s="232" t="s">
        <v>2348</v>
      </c>
      <c r="D625" s="16" t="s">
        <v>2349</v>
      </c>
      <c r="E625" s="17" t="s">
        <v>28</v>
      </c>
      <c r="F625" s="15"/>
      <c r="G625" s="15"/>
      <c r="H625" s="15"/>
      <c r="I625" s="16" t="s">
        <v>512</v>
      </c>
      <c r="J625" s="15"/>
      <c r="K625" s="15"/>
      <c r="L625" s="233" t="s">
        <v>339</v>
      </c>
      <c r="M625" s="16"/>
      <c r="N625" s="233" t="s">
        <v>513</v>
      </c>
      <c r="O625" s="16" t="s">
        <v>912</v>
      </c>
      <c r="P625" s="219" t="s">
        <v>913</v>
      </c>
      <c r="Q625" s="221" t="s">
        <v>2350</v>
      </c>
    </row>
    <row r="626" spans="1:17" ht="30" x14ac:dyDescent="0.2">
      <c r="A626" s="15">
        <v>623</v>
      </c>
      <c r="B626" s="15">
        <v>1275</v>
      </c>
      <c r="C626" s="232" t="s">
        <v>2351</v>
      </c>
      <c r="D626" s="16" t="s">
        <v>1099</v>
      </c>
      <c r="E626" s="17" t="s">
        <v>20</v>
      </c>
      <c r="F626" s="15"/>
      <c r="G626" s="15"/>
      <c r="H626" s="15"/>
      <c r="I626" s="16" t="s">
        <v>652</v>
      </c>
      <c r="J626" s="15"/>
      <c r="K626" s="15"/>
      <c r="L626" s="233" t="s">
        <v>460</v>
      </c>
      <c r="M626" s="16"/>
      <c r="N626" s="233" t="s">
        <v>654</v>
      </c>
      <c r="O626" s="16" t="s">
        <v>24</v>
      </c>
      <c r="P626" s="219" t="s">
        <v>47</v>
      </c>
      <c r="Q626" s="222" t="s">
        <v>2352</v>
      </c>
    </row>
    <row r="627" spans="1:17" ht="30" x14ac:dyDescent="0.2">
      <c r="A627" s="15">
        <v>624</v>
      </c>
      <c r="B627" s="15">
        <v>1277</v>
      </c>
      <c r="C627" s="232" t="s">
        <v>2353</v>
      </c>
      <c r="D627" s="16" t="s">
        <v>360</v>
      </c>
      <c r="E627" s="17" t="s">
        <v>28</v>
      </c>
      <c r="F627" s="15"/>
      <c r="G627" s="15"/>
      <c r="H627" s="15"/>
      <c r="I627" s="16" t="s">
        <v>2354</v>
      </c>
      <c r="J627" s="15"/>
      <c r="K627" s="15"/>
      <c r="L627" s="233" t="s">
        <v>183</v>
      </c>
      <c r="M627" s="16"/>
      <c r="N627" s="233" t="s">
        <v>2355</v>
      </c>
      <c r="O627" s="16" t="s">
        <v>363</v>
      </c>
      <c r="P627" s="219" t="s">
        <v>47</v>
      </c>
      <c r="Q627" s="221" t="s">
        <v>2356</v>
      </c>
    </row>
    <row r="628" spans="1:17" ht="30" x14ac:dyDescent="0.2">
      <c r="A628" s="15">
        <v>625</v>
      </c>
      <c r="B628" s="15">
        <v>1280</v>
      </c>
      <c r="C628" s="232" t="s">
        <v>2357</v>
      </c>
      <c r="D628" s="16" t="s">
        <v>796</v>
      </c>
      <c r="E628" s="17" t="s">
        <v>20</v>
      </c>
      <c r="F628" s="15"/>
      <c r="G628" s="15"/>
      <c r="H628" s="15"/>
      <c r="I628" s="16" t="s">
        <v>2358</v>
      </c>
      <c r="J628" s="15"/>
      <c r="K628" s="15"/>
      <c r="L628" s="233" t="s">
        <v>339</v>
      </c>
      <c r="M628" s="16"/>
      <c r="N628" s="233" t="s">
        <v>2359</v>
      </c>
      <c r="O628" s="16" t="s">
        <v>2360</v>
      </c>
      <c r="P628" s="219" t="s">
        <v>24</v>
      </c>
      <c r="Q628" s="222" t="s">
        <v>2361</v>
      </c>
    </row>
    <row r="629" spans="1:17" ht="30" x14ac:dyDescent="0.2">
      <c r="A629" s="15">
        <v>626</v>
      </c>
      <c r="B629" s="15">
        <v>1283</v>
      </c>
      <c r="C629" s="232" t="s">
        <v>2362</v>
      </c>
      <c r="D629" s="16" t="s">
        <v>41</v>
      </c>
      <c r="E629" s="17" t="s">
        <v>28</v>
      </c>
      <c r="F629" s="15"/>
      <c r="G629" s="15"/>
      <c r="H629" s="15"/>
      <c r="I629" s="16" t="s">
        <v>1801</v>
      </c>
      <c r="J629" s="15"/>
      <c r="K629" s="15"/>
      <c r="L629" s="233" t="s">
        <v>339</v>
      </c>
      <c r="M629" s="16"/>
      <c r="N629" s="233" t="s">
        <v>2363</v>
      </c>
      <c r="O629" s="16" t="s">
        <v>2364</v>
      </c>
      <c r="P629" s="219" t="s">
        <v>47</v>
      </c>
      <c r="Q629" s="221" t="s">
        <v>2365</v>
      </c>
    </row>
    <row r="630" spans="1:17" ht="30" x14ac:dyDescent="0.2">
      <c r="A630" s="15">
        <v>627</v>
      </c>
      <c r="B630" s="15">
        <v>1292</v>
      </c>
      <c r="C630" s="232" t="s">
        <v>2366</v>
      </c>
      <c r="D630" s="16" t="s">
        <v>1150</v>
      </c>
      <c r="E630" s="17" t="s">
        <v>28</v>
      </c>
      <c r="F630" s="15"/>
      <c r="G630" s="15"/>
      <c r="H630" s="15"/>
      <c r="I630" s="16" t="s">
        <v>2367</v>
      </c>
      <c r="J630" s="15"/>
      <c r="K630" s="15"/>
      <c r="L630" s="233" t="s">
        <v>339</v>
      </c>
      <c r="M630" s="16"/>
      <c r="N630" s="233" t="s">
        <v>2368</v>
      </c>
      <c r="O630" s="16" t="s">
        <v>363</v>
      </c>
      <c r="P630" s="219" t="s">
        <v>363</v>
      </c>
      <c r="Q630" s="222" t="s">
        <v>2369</v>
      </c>
    </row>
    <row r="631" spans="1:17" ht="30" x14ac:dyDescent="0.2">
      <c r="A631" s="15">
        <v>628</v>
      </c>
      <c r="B631" s="15">
        <v>1293</v>
      </c>
      <c r="C631" s="232" t="s">
        <v>2370</v>
      </c>
      <c r="D631" s="16" t="s">
        <v>1106</v>
      </c>
      <c r="E631" s="17" t="s">
        <v>42</v>
      </c>
      <c r="F631" s="15"/>
      <c r="G631" s="15"/>
      <c r="H631" s="15"/>
      <c r="I631" s="16" t="s">
        <v>2371</v>
      </c>
      <c r="J631" s="15"/>
      <c r="K631" s="15"/>
      <c r="L631" s="233" t="s">
        <v>339</v>
      </c>
      <c r="M631" s="16"/>
      <c r="N631" s="233" t="s">
        <v>2372</v>
      </c>
      <c r="O631" s="16" t="s">
        <v>2373</v>
      </c>
      <c r="P631" s="219" t="s">
        <v>2373</v>
      </c>
      <c r="Q631" s="221" t="s">
        <v>2374</v>
      </c>
    </row>
    <row r="632" spans="1:17" x14ac:dyDescent="0.2">
      <c r="A632" s="15">
        <v>629</v>
      </c>
      <c r="B632" s="15">
        <v>1295</v>
      </c>
      <c r="C632" s="232" t="s">
        <v>2375</v>
      </c>
      <c r="D632" s="16" t="s">
        <v>166</v>
      </c>
      <c r="E632" s="17" t="s">
        <v>20</v>
      </c>
      <c r="F632" s="15"/>
      <c r="G632" s="15"/>
      <c r="H632" s="15"/>
      <c r="I632" s="16" t="s">
        <v>2376</v>
      </c>
      <c r="J632" s="15"/>
      <c r="K632" s="15"/>
      <c r="L632" s="233" t="s">
        <v>339</v>
      </c>
      <c r="M632" s="16"/>
      <c r="N632" s="233" t="s">
        <v>2377</v>
      </c>
      <c r="O632" s="16" t="s">
        <v>1904</v>
      </c>
      <c r="P632" s="219" t="s">
        <v>47</v>
      </c>
      <c r="Q632" s="222" t="s">
        <v>2378</v>
      </c>
    </row>
    <row r="633" spans="1:17" ht="30" x14ac:dyDescent="0.2">
      <c r="A633" s="15">
        <v>630</v>
      </c>
      <c r="B633" s="15">
        <v>1299</v>
      </c>
      <c r="C633" s="232" t="s">
        <v>2379</v>
      </c>
      <c r="D633" s="16" t="s">
        <v>166</v>
      </c>
      <c r="E633" s="17" t="s">
        <v>20</v>
      </c>
      <c r="F633" s="15"/>
      <c r="G633" s="15"/>
      <c r="H633" s="15"/>
      <c r="I633" s="16" t="s">
        <v>2380</v>
      </c>
      <c r="J633" s="15"/>
      <c r="K633" s="15"/>
      <c r="L633" s="233" t="s">
        <v>339</v>
      </c>
      <c r="M633" s="16"/>
      <c r="N633" s="233" t="s">
        <v>2381</v>
      </c>
      <c r="O633" s="16" t="s">
        <v>24</v>
      </c>
      <c r="P633" s="219" t="s">
        <v>47</v>
      </c>
      <c r="Q633" s="221" t="s">
        <v>2382</v>
      </c>
    </row>
    <row r="634" spans="1:17" ht="30" x14ac:dyDescent="0.2">
      <c r="A634" s="15">
        <v>631</v>
      </c>
      <c r="B634" s="15">
        <v>1306</v>
      </c>
      <c r="C634" s="232" t="s">
        <v>2383</v>
      </c>
      <c r="D634" s="16" t="s">
        <v>2384</v>
      </c>
      <c r="E634" s="17" t="s">
        <v>28</v>
      </c>
      <c r="F634" s="15"/>
      <c r="G634" s="15"/>
      <c r="H634" s="15"/>
      <c r="I634" s="16" t="s">
        <v>2385</v>
      </c>
      <c r="J634" s="15"/>
      <c r="K634" s="15"/>
      <c r="L634" s="233" t="s">
        <v>339</v>
      </c>
      <c r="M634" s="16"/>
      <c r="N634" s="233" t="s">
        <v>2386</v>
      </c>
      <c r="O634" s="16" t="s">
        <v>24</v>
      </c>
      <c r="P634" s="219" t="s">
        <v>24</v>
      </c>
      <c r="Q634" s="222" t="s">
        <v>2387</v>
      </c>
    </row>
    <row r="635" spans="1:17" ht="30" x14ac:dyDescent="0.2">
      <c r="A635" s="15">
        <v>632</v>
      </c>
      <c r="B635" s="15">
        <v>1319</v>
      </c>
      <c r="C635" s="232" t="s">
        <v>2388</v>
      </c>
      <c r="D635" s="16" t="s">
        <v>1050</v>
      </c>
      <c r="E635" s="17" t="s">
        <v>28</v>
      </c>
      <c r="F635" s="15"/>
      <c r="G635" s="15"/>
      <c r="H635" s="15"/>
      <c r="I635" s="16" t="s">
        <v>1736</v>
      </c>
      <c r="J635" s="15"/>
      <c r="K635" s="15"/>
      <c r="L635" s="233" t="s">
        <v>339</v>
      </c>
      <c r="M635" s="16"/>
      <c r="N635" s="233" t="s">
        <v>2389</v>
      </c>
      <c r="O635" s="16" t="s">
        <v>2390</v>
      </c>
      <c r="P635" s="219" t="s">
        <v>24</v>
      </c>
      <c r="Q635" s="221" t="s">
        <v>2391</v>
      </c>
    </row>
    <row r="636" spans="1:17" ht="30" x14ac:dyDescent="0.2">
      <c r="A636" s="15">
        <v>633</v>
      </c>
      <c r="B636" s="15">
        <v>1326</v>
      </c>
      <c r="C636" s="232" t="s">
        <v>2392</v>
      </c>
      <c r="D636" s="16" t="s">
        <v>267</v>
      </c>
      <c r="E636" s="17" t="s">
        <v>42</v>
      </c>
      <c r="F636" s="15"/>
      <c r="G636" s="15"/>
      <c r="H636" s="15"/>
      <c r="I636" s="16" t="s">
        <v>507</v>
      </c>
      <c r="J636" s="15"/>
      <c r="K636" s="15"/>
      <c r="L636" s="233" t="s">
        <v>779</v>
      </c>
      <c r="M636" s="16"/>
      <c r="N636" s="233" t="s">
        <v>508</v>
      </c>
      <c r="O636" s="16" t="s">
        <v>24</v>
      </c>
      <c r="P636" s="219" t="s">
        <v>24</v>
      </c>
      <c r="Q636" s="222" t="s">
        <v>2393</v>
      </c>
    </row>
    <row r="637" spans="1:17" ht="30" x14ac:dyDescent="0.2">
      <c r="A637" s="15">
        <v>634</v>
      </c>
      <c r="B637" s="15">
        <v>1334</v>
      </c>
      <c r="C637" s="232" t="s">
        <v>2394</v>
      </c>
      <c r="D637" s="16" t="s">
        <v>2395</v>
      </c>
      <c r="E637" s="17" t="s">
        <v>28</v>
      </c>
      <c r="F637" s="15"/>
      <c r="G637" s="15"/>
      <c r="H637" s="15"/>
      <c r="I637" s="16" t="s">
        <v>617</v>
      </c>
      <c r="J637" s="15"/>
      <c r="K637" s="15"/>
      <c r="L637" s="233" t="s">
        <v>779</v>
      </c>
      <c r="M637" s="16"/>
      <c r="N637" s="233" t="s">
        <v>619</v>
      </c>
      <c r="O637" s="16" t="s">
        <v>1845</v>
      </c>
      <c r="P637" s="219" t="s">
        <v>648</v>
      </c>
      <c r="Q637" s="221" t="s">
        <v>2396</v>
      </c>
    </row>
    <row r="638" spans="1:17" ht="30" x14ac:dyDescent="0.2">
      <c r="A638" s="15">
        <v>635</v>
      </c>
      <c r="B638" s="15">
        <v>1339</v>
      </c>
      <c r="C638" s="232" t="s">
        <v>2397</v>
      </c>
      <c r="D638" s="16" t="s">
        <v>606</v>
      </c>
      <c r="E638" s="17" t="s">
        <v>28</v>
      </c>
      <c r="F638" s="15"/>
      <c r="G638" s="15"/>
      <c r="H638" s="15"/>
      <c r="I638" s="16" t="s">
        <v>2398</v>
      </c>
      <c r="J638" s="15"/>
      <c r="K638" s="15"/>
      <c r="L638" s="233" t="s">
        <v>339</v>
      </c>
      <c r="M638" s="16"/>
      <c r="N638" s="233" t="s">
        <v>2399</v>
      </c>
      <c r="O638" s="16" t="s">
        <v>24</v>
      </c>
      <c r="P638" s="219" t="s">
        <v>24</v>
      </c>
      <c r="Q638" s="222" t="s">
        <v>2400</v>
      </c>
    </row>
    <row r="639" spans="1:17" ht="30" x14ac:dyDescent="0.2">
      <c r="A639" s="15">
        <v>636</v>
      </c>
      <c r="B639" s="15">
        <v>1342</v>
      </c>
      <c r="C639" s="232" t="s">
        <v>2401</v>
      </c>
      <c r="D639" s="16" t="s">
        <v>181</v>
      </c>
      <c r="E639" s="17" t="s">
        <v>20</v>
      </c>
      <c r="F639" s="15"/>
      <c r="G639" s="15"/>
      <c r="H639" s="15"/>
      <c r="I639" s="16" t="s">
        <v>2402</v>
      </c>
      <c r="J639" s="15"/>
      <c r="K639" s="15"/>
      <c r="L639" s="233" t="s">
        <v>339</v>
      </c>
      <c r="M639" s="16"/>
      <c r="N639" s="233" t="s">
        <v>2403</v>
      </c>
      <c r="O639" s="16" t="s">
        <v>65</v>
      </c>
      <c r="P639" s="219" t="s">
        <v>47</v>
      </c>
      <c r="Q639" s="221" t="s">
        <v>2404</v>
      </c>
    </row>
    <row r="640" spans="1:17" ht="30" x14ac:dyDescent="0.2">
      <c r="A640" s="15">
        <v>637</v>
      </c>
      <c r="B640" s="15">
        <v>1344</v>
      </c>
      <c r="C640" s="232" t="s">
        <v>2405</v>
      </c>
      <c r="D640" s="16" t="s">
        <v>62</v>
      </c>
      <c r="E640" s="17" t="s">
        <v>28</v>
      </c>
      <c r="F640" s="15"/>
      <c r="G640" s="15"/>
      <c r="H640" s="15"/>
      <c r="I640" s="16" t="s">
        <v>229</v>
      </c>
      <c r="J640" s="15"/>
      <c r="K640" s="15"/>
      <c r="L640" s="233" t="s">
        <v>460</v>
      </c>
      <c r="M640" s="16"/>
      <c r="N640" s="233" t="s">
        <v>230</v>
      </c>
      <c r="O640" s="16" t="s">
        <v>24</v>
      </c>
      <c r="P640" s="219" t="s">
        <v>24</v>
      </c>
      <c r="Q640" s="222" t="s">
        <v>2406</v>
      </c>
    </row>
    <row r="641" spans="1:17" ht="30" x14ac:dyDescent="0.2">
      <c r="A641" s="15">
        <v>638</v>
      </c>
      <c r="B641" s="15">
        <v>1351</v>
      </c>
      <c r="C641" s="232" t="s">
        <v>2407</v>
      </c>
      <c r="D641" s="16" t="s">
        <v>41</v>
      </c>
      <c r="E641" s="17" t="s">
        <v>20</v>
      </c>
      <c r="F641" s="15"/>
      <c r="G641" s="15"/>
      <c r="H641" s="15"/>
      <c r="I641" s="16" t="s">
        <v>2408</v>
      </c>
      <c r="J641" s="15"/>
      <c r="K641" s="15"/>
      <c r="L641" s="233" t="s">
        <v>339</v>
      </c>
      <c r="M641" s="16"/>
      <c r="N641" s="233" t="s">
        <v>2409</v>
      </c>
      <c r="O641" s="16" t="s">
        <v>24</v>
      </c>
      <c r="P641" s="219" t="s">
        <v>24</v>
      </c>
      <c r="Q641" s="221" t="s">
        <v>2410</v>
      </c>
    </row>
    <row r="642" spans="1:17" ht="30" x14ac:dyDescent="0.2">
      <c r="A642" s="15">
        <v>639</v>
      </c>
      <c r="B642" s="15">
        <v>1352</v>
      </c>
      <c r="C642" s="232" t="s">
        <v>2411</v>
      </c>
      <c r="D642" s="16" t="s">
        <v>1099</v>
      </c>
      <c r="E642" s="17" t="s">
        <v>28</v>
      </c>
      <c r="F642" s="15"/>
      <c r="G642" s="15"/>
      <c r="H642" s="15"/>
      <c r="I642" s="16" t="s">
        <v>652</v>
      </c>
      <c r="J642" s="15"/>
      <c r="K642" s="15"/>
      <c r="L642" s="233" t="s">
        <v>460</v>
      </c>
      <c r="M642" s="16"/>
      <c r="N642" s="233" t="s">
        <v>654</v>
      </c>
      <c r="O642" s="16" t="s">
        <v>24</v>
      </c>
      <c r="P642" s="219" t="s">
        <v>1100</v>
      </c>
      <c r="Q642" s="222" t="s">
        <v>2412</v>
      </c>
    </row>
    <row r="643" spans="1:17" ht="30" x14ac:dyDescent="0.2">
      <c r="A643" s="15">
        <v>640</v>
      </c>
      <c r="B643" s="15">
        <v>1353</v>
      </c>
      <c r="C643" s="232" t="s">
        <v>2413</v>
      </c>
      <c r="D643" s="16" t="s">
        <v>1531</v>
      </c>
      <c r="E643" s="17" t="s">
        <v>28</v>
      </c>
      <c r="F643" s="15"/>
      <c r="G643" s="15"/>
      <c r="H643" s="15"/>
      <c r="I643" s="16" t="s">
        <v>2414</v>
      </c>
      <c r="J643" s="15"/>
      <c r="K643" s="15"/>
      <c r="L643" s="233" t="s">
        <v>339</v>
      </c>
      <c r="M643" s="16"/>
      <c r="N643" s="233" t="s">
        <v>2415</v>
      </c>
      <c r="O643" s="16" t="s">
        <v>326</v>
      </c>
      <c r="P643" s="219" t="s">
        <v>24</v>
      </c>
      <c r="Q643" s="221" t="s">
        <v>2416</v>
      </c>
    </row>
    <row r="644" spans="1:17" x14ac:dyDescent="0.2">
      <c r="A644" s="15">
        <v>641</v>
      </c>
      <c r="B644" s="15">
        <v>1356</v>
      </c>
      <c r="C644" s="232" t="s">
        <v>2417</v>
      </c>
      <c r="D644" s="16" t="s">
        <v>2418</v>
      </c>
      <c r="E644" s="17" t="s">
        <v>20</v>
      </c>
      <c r="F644" s="15"/>
      <c r="G644" s="15"/>
      <c r="H644" s="15"/>
      <c r="I644" s="16" t="s">
        <v>2419</v>
      </c>
      <c r="J644" s="15"/>
      <c r="K644" s="15"/>
      <c r="L644" s="233" t="s">
        <v>339</v>
      </c>
      <c r="M644" s="16"/>
      <c r="N644" s="233" t="s">
        <v>2420</v>
      </c>
      <c r="O644" s="16" t="s">
        <v>326</v>
      </c>
      <c r="P644" s="219" t="s">
        <v>24</v>
      </c>
      <c r="Q644" s="222" t="s">
        <v>2421</v>
      </c>
    </row>
    <row r="645" spans="1:17" ht="30" x14ac:dyDescent="0.2">
      <c r="A645" s="15">
        <v>642</v>
      </c>
      <c r="B645" s="15">
        <v>1365</v>
      </c>
      <c r="C645" s="232" t="s">
        <v>2422</v>
      </c>
      <c r="D645" s="16" t="s">
        <v>1075</v>
      </c>
      <c r="E645" s="17" t="s">
        <v>20</v>
      </c>
      <c r="F645" s="15"/>
      <c r="G645" s="15"/>
      <c r="H645" s="15"/>
      <c r="I645" s="16" t="s">
        <v>2423</v>
      </c>
      <c r="J645" s="15"/>
      <c r="K645" s="15"/>
      <c r="L645" s="233" t="s">
        <v>339</v>
      </c>
      <c r="M645" s="16"/>
      <c r="N645" s="233" t="s">
        <v>2424</v>
      </c>
      <c r="O645" s="16" t="s">
        <v>2425</v>
      </c>
      <c r="P645" s="219" t="s">
        <v>2426</v>
      </c>
      <c r="Q645" s="221" t="s">
        <v>2427</v>
      </c>
    </row>
    <row r="646" spans="1:17" ht="30" x14ac:dyDescent="0.2">
      <c r="A646" s="15">
        <v>643</v>
      </c>
      <c r="B646" s="15">
        <v>1373</v>
      </c>
      <c r="C646" s="232" t="s">
        <v>2428</v>
      </c>
      <c r="D646" s="16" t="s">
        <v>518</v>
      </c>
      <c r="E646" s="17" t="s">
        <v>42</v>
      </c>
      <c r="F646" s="15"/>
      <c r="G646" s="15"/>
      <c r="H646" s="15"/>
      <c r="I646" s="16" t="s">
        <v>2429</v>
      </c>
      <c r="J646" s="15"/>
      <c r="K646" s="15"/>
      <c r="L646" s="233" t="s">
        <v>339</v>
      </c>
      <c r="M646" s="16"/>
      <c r="N646" s="233" t="s">
        <v>2430</v>
      </c>
      <c r="O646" s="16" t="s">
        <v>24</v>
      </c>
      <c r="P646" s="219" t="s">
        <v>503</v>
      </c>
      <c r="Q646" s="222" t="s">
        <v>2431</v>
      </c>
    </row>
    <row r="647" spans="1:17" ht="30" x14ac:dyDescent="0.2">
      <c r="A647" s="15">
        <v>644</v>
      </c>
      <c r="B647" s="15">
        <v>1376</v>
      </c>
      <c r="C647" s="232" t="s">
        <v>2432</v>
      </c>
      <c r="D647" s="16" t="s">
        <v>534</v>
      </c>
      <c r="E647" s="17" t="s">
        <v>28</v>
      </c>
      <c r="F647" s="15"/>
      <c r="G647" s="15"/>
      <c r="H647" s="15"/>
      <c r="I647" s="16" t="s">
        <v>569</v>
      </c>
      <c r="J647" s="15"/>
      <c r="K647" s="15"/>
      <c r="L647" s="233" t="s">
        <v>339</v>
      </c>
      <c r="M647" s="16"/>
      <c r="N647" s="233" t="s">
        <v>2433</v>
      </c>
      <c r="O647" s="16" t="s">
        <v>24</v>
      </c>
      <c r="P647" s="219" t="s">
        <v>24</v>
      </c>
      <c r="Q647" s="221" t="s">
        <v>2434</v>
      </c>
    </row>
    <row r="648" spans="1:17" ht="30" x14ac:dyDescent="0.2">
      <c r="A648" s="15">
        <v>645</v>
      </c>
      <c r="B648" s="15">
        <v>1378</v>
      </c>
      <c r="C648" s="232" t="s">
        <v>2435</v>
      </c>
      <c r="D648" s="16" t="s">
        <v>19</v>
      </c>
      <c r="E648" s="17" t="s">
        <v>20</v>
      </c>
      <c r="F648" s="15"/>
      <c r="G648" s="15"/>
      <c r="H648" s="15"/>
      <c r="I648" s="16" t="s">
        <v>2436</v>
      </c>
      <c r="J648" s="15"/>
      <c r="K648" s="15"/>
      <c r="L648" s="233" t="s">
        <v>1159</v>
      </c>
      <c r="M648" s="16"/>
      <c r="N648" s="233" t="s">
        <v>2437</v>
      </c>
      <c r="O648" s="16" t="s">
        <v>24</v>
      </c>
      <c r="P648" s="219" t="s">
        <v>24</v>
      </c>
      <c r="Q648" s="222" t="s">
        <v>2438</v>
      </c>
    </row>
    <row r="649" spans="1:17" ht="30" x14ac:dyDescent="0.2">
      <c r="A649" s="15">
        <v>646</v>
      </c>
      <c r="B649" s="15">
        <v>1379</v>
      </c>
      <c r="C649" s="232" t="s">
        <v>2439</v>
      </c>
      <c r="D649" s="16" t="s">
        <v>529</v>
      </c>
      <c r="E649" s="17" t="s">
        <v>20</v>
      </c>
      <c r="F649" s="15"/>
      <c r="G649" s="15"/>
      <c r="H649" s="15"/>
      <c r="I649" s="16" t="s">
        <v>2440</v>
      </c>
      <c r="J649" s="15"/>
      <c r="K649" s="15"/>
      <c r="L649" s="233"/>
      <c r="M649" s="16"/>
      <c r="N649" s="233" t="s">
        <v>2441</v>
      </c>
      <c r="O649" s="16" t="s">
        <v>24</v>
      </c>
      <c r="P649" s="219" t="s">
        <v>24</v>
      </c>
      <c r="Q649" s="221" t="s">
        <v>2442</v>
      </c>
    </row>
    <row r="650" spans="1:17" ht="30" x14ac:dyDescent="0.2">
      <c r="A650" s="15">
        <v>647</v>
      </c>
      <c r="B650" s="15">
        <v>1381</v>
      </c>
      <c r="C650" s="232" t="s">
        <v>2443</v>
      </c>
      <c r="D650" s="16" t="s">
        <v>729</v>
      </c>
      <c r="E650" s="17" t="s">
        <v>28</v>
      </c>
      <c r="F650" s="15"/>
      <c r="G650" s="15"/>
      <c r="H650" s="15"/>
      <c r="I650" s="16" t="s">
        <v>2444</v>
      </c>
      <c r="J650" s="15"/>
      <c r="K650" s="15"/>
      <c r="L650" s="233" t="s">
        <v>339</v>
      </c>
      <c r="M650" s="16"/>
      <c r="N650" s="233" t="s">
        <v>2445</v>
      </c>
      <c r="O650" s="16" t="s">
        <v>996</v>
      </c>
      <c r="P650" s="219" t="s">
        <v>24</v>
      </c>
      <c r="Q650" s="222" t="s">
        <v>2446</v>
      </c>
    </row>
    <row r="651" spans="1:17" ht="30" x14ac:dyDescent="0.2">
      <c r="A651" s="15">
        <v>648</v>
      </c>
      <c r="B651" s="15">
        <v>1382</v>
      </c>
      <c r="C651" s="232" t="s">
        <v>2447</v>
      </c>
      <c r="D651" s="16" t="s">
        <v>518</v>
      </c>
      <c r="E651" s="17" t="s">
        <v>28</v>
      </c>
      <c r="F651" s="15"/>
      <c r="G651" s="15"/>
      <c r="H651" s="15"/>
      <c r="I651" s="16" t="s">
        <v>512</v>
      </c>
      <c r="J651" s="15"/>
      <c r="K651" s="15"/>
      <c r="L651" s="233" t="s">
        <v>339</v>
      </c>
      <c r="M651" s="16"/>
      <c r="N651" s="233" t="s">
        <v>513</v>
      </c>
      <c r="O651" s="16" t="s">
        <v>65</v>
      </c>
      <c r="P651" s="219" t="s">
        <v>47</v>
      </c>
      <c r="Q651" s="221" t="s">
        <v>2448</v>
      </c>
    </row>
    <row r="652" spans="1:17" ht="30" x14ac:dyDescent="0.2">
      <c r="A652" s="15">
        <v>649</v>
      </c>
      <c r="B652" s="15">
        <v>1392</v>
      </c>
      <c r="C652" s="232" t="s">
        <v>2449</v>
      </c>
      <c r="D652" s="16" t="s">
        <v>938</v>
      </c>
      <c r="E652" s="17" t="s">
        <v>42</v>
      </c>
      <c r="F652" s="15"/>
      <c r="G652" s="15"/>
      <c r="H652" s="15"/>
      <c r="I652" s="16" t="s">
        <v>2450</v>
      </c>
      <c r="J652" s="15"/>
      <c r="K652" s="15"/>
      <c r="L652" s="233" t="s">
        <v>339</v>
      </c>
      <c r="M652" s="16"/>
      <c r="N652" s="233" t="s">
        <v>2451</v>
      </c>
      <c r="O652" s="16" t="s">
        <v>24</v>
      </c>
      <c r="P652" s="219" t="s">
        <v>24</v>
      </c>
      <c r="Q652" s="222" t="s">
        <v>2452</v>
      </c>
    </row>
    <row r="653" spans="1:17" ht="30" x14ac:dyDescent="0.2">
      <c r="A653" s="15">
        <v>650</v>
      </c>
      <c r="B653" s="15">
        <v>1400</v>
      </c>
      <c r="C653" s="232" t="s">
        <v>2453</v>
      </c>
      <c r="D653" s="16" t="s">
        <v>1873</v>
      </c>
      <c r="E653" s="17" t="s">
        <v>28</v>
      </c>
      <c r="F653" s="15"/>
      <c r="G653" s="15"/>
      <c r="H653" s="15"/>
      <c r="I653" s="16" t="s">
        <v>748</v>
      </c>
      <c r="J653" s="15"/>
      <c r="K653" s="15"/>
      <c r="L653" s="233" t="s">
        <v>779</v>
      </c>
      <c r="M653" s="16"/>
      <c r="N653" s="233" t="s">
        <v>750</v>
      </c>
      <c r="O653" s="16" t="s">
        <v>24</v>
      </c>
      <c r="P653" s="219" t="s">
        <v>24</v>
      </c>
      <c r="Q653" s="221" t="s">
        <v>2454</v>
      </c>
    </row>
    <row r="654" spans="1:17" ht="30" x14ac:dyDescent="0.2">
      <c r="A654" s="15">
        <v>651</v>
      </c>
      <c r="B654" s="15">
        <v>1404</v>
      </c>
      <c r="C654" s="232" t="s">
        <v>2455</v>
      </c>
      <c r="D654" s="16" t="s">
        <v>2456</v>
      </c>
      <c r="E654" s="17" t="s">
        <v>28</v>
      </c>
      <c r="F654" s="15"/>
      <c r="G654" s="15"/>
      <c r="H654" s="15"/>
      <c r="I654" s="16" t="s">
        <v>2457</v>
      </c>
      <c r="J654" s="15"/>
      <c r="K654" s="15"/>
      <c r="L654" s="233"/>
      <c r="M654" s="16"/>
      <c r="N654" s="233" t="s">
        <v>2458</v>
      </c>
      <c r="O654" s="16" t="s">
        <v>24</v>
      </c>
      <c r="P654" s="219" t="s">
        <v>24</v>
      </c>
      <c r="Q654" s="222" t="s">
        <v>2459</v>
      </c>
    </row>
    <row r="655" spans="1:17" ht="30" x14ac:dyDescent="0.2">
      <c r="A655" s="15">
        <v>652</v>
      </c>
      <c r="B655" s="15">
        <v>1411</v>
      </c>
      <c r="C655" s="232" t="s">
        <v>2460</v>
      </c>
      <c r="D655" s="16" t="s">
        <v>309</v>
      </c>
      <c r="E655" s="17" t="s">
        <v>42</v>
      </c>
      <c r="F655" s="15"/>
      <c r="G655" s="15"/>
      <c r="H655" s="15"/>
      <c r="I655" s="16" t="s">
        <v>2461</v>
      </c>
      <c r="J655" s="15"/>
      <c r="K655" s="15"/>
      <c r="L655" s="233" t="s">
        <v>339</v>
      </c>
      <c r="M655" s="16"/>
      <c r="N655" s="233" t="s">
        <v>2462</v>
      </c>
      <c r="O655" s="16" t="s">
        <v>24</v>
      </c>
      <c r="P655" s="219" t="s">
        <v>24</v>
      </c>
      <c r="Q655" s="221" t="s">
        <v>2463</v>
      </c>
    </row>
    <row r="656" spans="1:17" ht="30" x14ac:dyDescent="0.2">
      <c r="A656" s="15">
        <v>653</v>
      </c>
      <c r="B656" s="15">
        <v>1423</v>
      </c>
      <c r="C656" s="232" t="s">
        <v>2464</v>
      </c>
      <c r="D656" s="16" t="s">
        <v>916</v>
      </c>
      <c r="E656" s="17" t="s">
        <v>28</v>
      </c>
      <c r="F656" s="15"/>
      <c r="G656" s="15"/>
      <c r="H656" s="15"/>
      <c r="I656" s="16" t="s">
        <v>2465</v>
      </c>
      <c r="J656" s="15"/>
      <c r="K656" s="15"/>
      <c r="L656" s="233" t="s">
        <v>339</v>
      </c>
      <c r="M656" s="16"/>
      <c r="N656" s="233" t="s">
        <v>2466</v>
      </c>
      <c r="O656" s="16" t="s">
        <v>153</v>
      </c>
      <c r="P656" s="219" t="s">
        <v>47</v>
      </c>
      <c r="Q656" s="222" t="s">
        <v>2467</v>
      </c>
    </row>
    <row r="657" spans="1:17" ht="30" x14ac:dyDescent="0.2">
      <c r="A657" s="15">
        <v>654</v>
      </c>
      <c r="B657" s="15">
        <v>1424</v>
      </c>
      <c r="C657" s="232" t="s">
        <v>2468</v>
      </c>
      <c r="D657" s="16" t="s">
        <v>283</v>
      </c>
      <c r="E657" s="17" t="s">
        <v>28</v>
      </c>
      <c r="F657" s="15"/>
      <c r="G657" s="15"/>
      <c r="H657" s="15"/>
      <c r="I657" s="16" t="s">
        <v>652</v>
      </c>
      <c r="J657" s="15"/>
      <c r="K657" s="15"/>
      <c r="L657" s="233" t="s">
        <v>589</v>
      </c>
      <c r="M657" s="16"/>
      <c r="N657" s="233" t="s">
        <v>654</v>
      </c>
      <c r="O657" s="16" t="s">
        <v>81</v>
      </c>
      <c r="P657" s="219" t="s">
        <v>81</v>
      </c>
      <c r="Q657" s="221" t="s">
        <v>2469</v>
      </c>
    </row>
    <row r="658" spans="1:17" ht="30" x14ac:dyDescent="0.2">
      <c r="A658" s="15">
        <v>655</v>
      </c>
      <c r="B658" s="15">
        <v>1429</v>
      </c>
      <c r="C658" s="232" t="s">
        <v>2470</v>
      </c>
      <c r="D658" s="16" t="s">
        <v>2471</v>
      </c>
      <c r="E658" s="17" t="s">
        <v>28</v>
      </c>
      <c r="F658" s="15"/>
      <c r="G658" s="15"/>
      <c r="H658" s="15"/>
      <c r="I658" s="16" t="s">
        <v>2472</v>
      </c>
      <c r="J658" s="15"/>
      <c r="K658" s="15"/>
      <c r="L658" s="233" t="s">
        <v>339</v>
      </c>
      <c r="M658" s="16"/>
      <c r="N658" s="233" t="s">
        <v>2473</v>
      </c>
      <c r="O658" s="16" t="s">
        <v>996</v>
      </c>
      <c r="P658" s="219" t="s">
        <v>24</v>
      </c>
      <c r="Q658" s="222" t="s">
        <v>2474</v>
      </c>
    </row>
    <row r="659" spans="1:17" ht="30" x14ac:dyDescent="0.2">
      <c r="A659" s="15">
        <v>656</v>
      </c>
      <c r="B659" s="15">
        <v>1438</v>
      </c>
      <c r="C659" s="232" t="s">
        <v>2475</v>
      </c>
      <c r="D659" s="16" t="s">
        <v>916</v>
      </c>
      <c r="E659" s="17" t="s">
        <v>28</v>
      </c>
      <c r="F659" s="15"/>
      <c r="G659" s="15"/>
      <c r="H659" s="15"/>
      <c r="I659" s="16" t="s">
        <v>917</v>
      </c>
      <c r="J659" s="15"/>
      <c r="K659" s="15"/>
      <c r="L659" s="233" t="s">
        <v>454</v>
      </c>
      <c r="M659" s="16"/>
      <c r="N659" s="233" t="s">
        <v>919</v>
      </c>
      <c r="O659" s="16" t="s">
        <v>24</v>
      </c>
      <c r="P659" s="219" t="s">
        <v>153</v>
      </c>
      <c r="Q659" s="221" t="s">
        <v>2476</v>
      </c>
    </row>
    <row r="660" spans="1:17" ht="30" x14ac:dyDescent="0.2">
      <c r="A660" s="15">
        <v>657</v>
      </c>
      <c r="B660" s="15">
        <v>1448</v>
      </c>
      <c r="C660" s="232" t="s">
        <v>2477</v>
      </c>
      <c r="D660" s="16" t="s">
        <v>500</v>
      </c>
      <c r="E660" s="17" t="s">
        <v>28</v>
      </c>
      <c r="F660" s="15"/>
      <c r="G660" s="15"/>
      <c r="H660" s="15"/>
      <c r="I660" s="16" t="s">
        <v>569</v>
      </c>
      <c r="J660" s="15"/>
      <c r="K660" s="15"/>
      <c r="L660" s="233" t="s">
        <v>1853</v>
      </c>
      <c r="M660" s="16"/>
      <c r="N660" s="233" t="s">
        <v>571</v>
      </c>
      <c r="O660" s="16" t="s">
        <v>24</v>
      </c>
      <c r="P660" s="219" t="s">
        <v>503</v>
      </c>
      <c r="Q660" s="222" t="s">
        <v>2478</v>
      </c>
    </row>
    <row r="661" spans="1:17" ht="30" x14ac:dyDescent="0.2">
      <c r="A661" s="15">
        <v>658</v>
      </c>
      <c r="B661" s="15">
        <v>1456</v>
      </c>
      <c r="C661" s="232" t="s">
        <v>2479</v>
      </c>
      <c r="D661" s="16" t="s">
        <v>35</v>
      </c>
      <c r="E661" s="17" t="s">
        <v>28</v>
      </c>
      <c r="F661" s="15"/>
      <c r="G661" s="15"/>
      <c r="H661" s="15"/>
      <c r="I661" s="16" t="s">
        <v>2480</v>
      </c>
      <c r="J661" s="15"/>
      <c r="K661" s="15"/>
      <c r="L661" s="233" t="s">
        <v>339</v>
      </c>
      <c r="M661" s="16"/>
      <c r="N661" s="233" t="s">
        <v>2481</v>
      </c>
      <c r="O661" s="16" t="s">
        <v>24</v>
      </c>
      <c r="P661" s="219" t="s">
        <v>24</v>
      </c>
      <c r="Q661" s="221" t="s">
        <v>2482</v>
      </c>
    </row>
    <row r="662" spans="1:17" ht="30" x14ac:dyDescent="0.2">
      <c r="A662" s="15">
        <v>659</v>
      </c>
      <c r="B662" s="15">
        <v>1458</v>
      </c>
      <c r="C662" s="232" t="s">
        <v>2483</v>
      </c>
      <c r="D662" s="16" t="s">
        <v>309</v>
      </c>
      <c r="E662" s="17" t="s">
        <v>42</v>
      </c>
      <c r="F662" s="15"/>
      <c r="G662" s="15"/>
      <c r="H662" s="15"/>
      <c r="I662" s="16" t="s">
        <v>2484</v>
      </c>
      <c r="J662" s="15"/>
      <c r="K662" s="15"/>
      <c r="L662" s="233" t="s">
        <v>339</v>
      </c>
      <c r="M662" s="16"/>
      <c r="N662" s="233" t="s">
        <v>2485</v>
      </c>
      <c r="O662" s="16" t="s">
        <v>24</v>
      </c>
      <c r="P662" s="219" t="s">
        <v>24</v>
      </c>
      <c r="Q662" s="222" t="s">
        <v>2486</v>
      </c>
    </row>
    <row r="663" spans="1:17" ht="30" x14ac:dyDescent="0.2">
      <c r="A663" s="15">
        <v>660</v>
      </c>
      <c r="B663" s="15">
        <v>1461</v>
      </c>
      <c r="C663" s="232" t="s">
        <v>2487</v>
      </c>
      <c r="D663" s="16" t="s">
        <v>19</v>
      </c>
      <c r="E663" s="17" t="s">
        <v>28</v>
      </c>
      <c r="F663" s="15"/>
      <c r="G663" s="15"/>
      <c r="H663" s="15"/>
      <c r="I663" s="16" t="s">
        <v>2488</v>
      </c>
      <c r="J663" s="15"/>
      <c r="K663" s="15"/>
      <c r="L663" s="233" t="s">
        <v>339</v>
      </c>
      <c r="M663" s="16"/>
      <c r="N663" s="233" t="s">
        <v>2489</v>
      </c>
      <c r="O663" s="16" t="s">
        <v>1181</v>
      </c>
      <c r="P663" s="219" t="s">
        <v>24</v>
      </c>
      <c r="Q663" s="221" t="s">
        <v>2490</v>
      </c>
    </row>
    <row r="664" spans="1:17" ht="30" x14ac:dyDescent="0.2">
      <c r="A664" s="15">
        <v>661</v>
      </c>
      <c r="B664" s="15">
        <v>1462</v>
      </c>
      <c r="C664" s="232" t="s">
        <v>2491</v>
      </c>
      <c r="D664" s="16" t="s">
        <v>1198</v>
      </c>
      <c r="E664" s="17" t="s">
        <v>28</v>
      </c>
      <c r="F664" s="15"/>
      <c r="G664" s="15"/>
      <c r="H664" s="15"/>
      <c r="I664" s="16" t="s">
        <v>617</v>
      </c>
      <c r="J664" s="15"/>
      <c r="K664" s="15"/>
      <c r="L664" s="233" t="s">
        <v>779</v>
      </c>
      <c r="M664" s="16"/>
      <c r="N664" s="233" t="s">
        <v>619</v>
      </c>
      <c r="O664" s="16" t="s">
        <v>648</v>
      </c>
      <c r="P664" s="219" t="s">
        <v>648</v>
      </c>
      <c r="Q664" s="222" t="s">
        <v>2492</v>
      </c>
    </row>
    <row r="665" spans="1:17" ht="30" x14ac:dyDescent="0.2">
      <c r="A665" s="15">
        <v>662</v>
      </c>
      <c r="B665" s="15">
        <v>1470</v>
      </c>
      <c r="C665" s="232" t="s">
        <v>2493</v>
      </c>
      <c r="D665" s="16" t="s">
        <v>166</v>
      </c>
      <c r="E665" s="17" t="s">
        <v>20</v>
      </c>
      <c r="F665" s="15"/>
      <c r="G665" s="15"/>
      <c r="H665" s="15"/>
      <c r="I665" s="16" t="s">
        <v>2494</v>
      </c>
      <c r="J665" s="15"/>
      <c r="K665" s="15"/>
      <c r="L665" s="233" t="s">
        <v>339</v>
      </c>
      <c r="M665" s="16"/>
      <c r="N665" s="233" t="s">
        <v>2495</v>
      </c>
      <c r="O665" s="16" t="s">
        <v>24</v>
      </c>
      <c r="P665" s="219" t="s">
        <v>47</v>
      </c>
      <c r="Q665" s="221" t="s">
        <v>2496</v>
      </c>
    </row>
    <row r="666" spans="1:17" ht="30" x14ac:dyDescent="0.2">
      <c r="A666" s="15">
        <v>663</v>
      </c>
      <c r="B666" s="15">
        <v>1472</v>
      </c>
      <c r="C666" s="232" t="s">
        <v>2497</v>
      </c>
      <c r="D666" s="16" t="s">
        <v>1781</v>
      </c>
      <c r="E666" s="17" t="s">
        <v>28</v>
      </c>
      <c r="F666" s="15"/>
      <c r="G666" s="15"/>
      <c r="H666" s="15"/>
      <c r="I666" s="16" t="s">
        <v>459</v>
      </c>
      <c r="J666" s="15"/>
      <c r="K666" s="15"/>
      <c r="L666" s="233" t="s">
        <v>188</v>
      </c>
      <c r="M666" s="16"/>
      <c r="N666" s="233" t="s">
        <v>461</v>
      </c>
      <c r="O666" s="16" t="s">
        <v>732</v>
      </c>
      <c r="P666" s="219" t="s">
        <v>24</v>
      </c>
      <c r="Q666" s="222" t="s">
        <v>2498</v>
      </c>
    </row>
    <row r="667" spans="1:17" ht="30" x14ac:dyDescent="0.2">
      <c r="A667" s="15">
        <v>664</v>
      </c>
      <c r="B667" s="15">
        <v>1475</v>
      </c>
      <c r="C667" s="232" t="s">
        <v>2499</v>
      </c>
      <c r="D667" s="16" t="s">
        <v>1472</v>
      </c>
      <c r="E667" s="17" t="s">
        <v>20</v>
      </c>
      <c r="F667" s="15"/>
      <c r="G667" s="15"/>
      <c r="H667" s="15"/>
      <c r="I667" s="16" t="s">
        <v>1473</v>
      </c>
      <c r="J667" s="15"/>
      <c r="K667" s="15"/>
      <c r="L667" s="233" t="s">
        <v>339</v>
      </c>
      <c r="M667" s="16"/>
      <c r="N667" s="233" t="s">
        <v>2500</v>
      </c>
      <c r="O667" s="16" t="s">
        <v>24</v>
      </c>
      <c r="P667" s="219" t="s">
        <v>24</v>
      </c>
      <c r="Q667" s="221" t="s">
        <v>2501</v>
      </c>
    </row>
    <row r="668" spans="1:17" ht="30" x14ac:dyDescent="0.2">
      <c r="A668" s="15">
        <v>665</v>
      </c>
      <c r="B668" s="15">
        <v>1480</v>
      </c>
      <c r="C668" s="232" t="s">
        <v>2502</v>
      </c>
      <c r="D668" s="16" t="s">
        <v>1009</v>
      </c>
      <c r="E668" s="17" t="s">
        <v>20</v>
      </c>
      <c r="F668" s="15"/>
      <c r="G668" s="15"/>
      <c r="H668" s="15"/>
      <c r="I668" s="16" t="s">
        <v>652</v>
      </c>
      <c r="J668" s="15"/>
      <c r="K668" s="15"/>
      <c r="L668" s="233" t="s">
        <v>183</v>
      </c>
      <c r="M668" s="16"/>
      <c r="N668" s="233" t="s">
        <v>654</v>
      </c>
      <c r="O668" s="16" t="s">
        <v>24</v>
      </c>
      <c r="P668" s="219" t="s">
        <v>1100</v>
      </c>
      <c r="Q668" s="222" t="s">
        <v>2503</v>
      </c>
    </row>
    <row r="669" spans="1:17" ht="30" x14ac:dyDescent="0.2">
      <c r="A669" s="15">
        <v>666</v>
      </c>
      <c r="B669" s="15">
        <v>1482</v>
      </c>
      <c r="C669" s="232" t="s">
        <v>2504</v>
      </c>
      <c r="D669" s="16" t="s">
        <v>41</v>
      </c>
      <c r="E669" s="17" t="s">
        <v>28</v>
      </c>
      <c r="F669" s="15"/>
      <c r="G669" s="15"/>
      <c r="H669" s="15"/>
      <c r="I669" s="16" t="s">
        <v>2505</v>
      </c>
      <c r="J669" s="15"/>
      <c r="K669" s="15"/>
      <c r="L669" s="233" t="s">
        <v>183</v>
      </c>
      <c r="M669" s="16"/>
      <c r="N669" s="233" t="s">
        <v>2506</v>
      </c>
      <c r="O669" s="16" t="s">
        <v>2364</v>
      </c>
      <c r="P669" s="219" t="s">
        <v>47</v>
      </c>
      <c r="Q669" s="221" t="s">
        <v>2507</v>
      </c>
    </row>
    <row r="670" spans="1:17" x14ac:dyDescent="0.2">
      <c r="A670" s="15">
        <v>667</v>
      </c>
      <c r="B670" s="15">
        <v>1502</v>
      </c>
      <c r="C670" s="232" t="s">
        <v>2508</v>
      </c>
      <c r="D670" s="16" t="s">
        <v>2509</v>
      </c>
      <c r="E670" s="17" t="s">
        <v>20</v>
      </c>
      <c r="F670" s="15"/>
      <c r="G670" s="15"/>
      <c r="H670" s="15"/>
      <c r="I670" s="16" t="s">
        <v>2510</v>
      </c>
      <c r="J670" s="15"/>
      <c r="K670" s="15"/>
      <c r="L670" s="233"/>
      <c r="M670" s="16"/>
      <c r="N670" s="233" t="s">
        <v>2511</v>
      </c>
      <c r="O670" s="16" t="s">
        <v>24</v>
      </c>
      <c r="P670" s="219" t="s">
        <v>24</v>
      </c>
      <c r="Q670" s="222" t="s">
        <v>2512</v>
      </c>
    </row>
    <row r="671" spans="1:17" x14ac:dyDescent="0.2">
      <c r="A671" s="15">
        <v>668</v>
      </c>
      <c r="B671" s="15">
        <v>1512</v>
      </c>
      <c r="C671" s="232" t="s">
        <v>2513</v>
      </c>
      <c r="D671" s="16" t="s">
        <v>19</v>
      </c>
      <c r="E671" s="17" t="s">
        <v>20</v>
      </c>
      <c r="F671" s="15"/>
      <c r="G671" s="15"/>
      <c r="H671" s="15"/>
      <c r="I671" s="16" t="s">
        <v>2514</v>
      </c>
      <c r="J671" s="15"/>
      <c r="K671" s="15"/>
      <c r="L671" s="233" t="s">
        <v>339</v>
      </c>
      <c r="M671" s="16"/>
      <c r="N671" s="233" t="s">
        <v>2515</v>
      </c>
      <c r="O671" s="16" t="s">
        <v>24</v>
      </c>
      <c r="P671" s="219" t="s">
        <v>24</v>
      </c>
      <c r="Q671" s="221" t="s">
        <v>2516</v>
      </c>
    </row>
    <row r="672" spans="1:17" ht="30" x14ac:dyDescent="0.2">
      <c r="A672" s="15">
        <v>669</v>
      </c>
      <c r="B672" s="15">
        <v>1519</v>
      </c>
      <c r="C672" s="232" t="s">
        <v>2517</v>
      </c>
      <c r="D672" s="16" t="s">
        <v>529</v>
      </c>
      <c r="E672" s="17" t="s">
        <v>28</v>
      </c>
      <c r="F672" s="15"/>
      <c r="G672" s="15"/>
      <c r="H672" s="15"/>
      <c r="I672" s="16" t="s">
        <v>569</v>
      </c>
      <c r="J672" s="15"/>
      <c r="K672" s="15"/>
      <c r="L672" s="233" t="s">
        <v>779</v>
      </c>
      <c r="M672" s="16"/>
      <c r="N672" s="233" t="s">
        <v>571</v>
      </c>
      <c r="O672" s="16" t="s">
        <v>24</v>
      </c>
      <c r="P672" s="219" t="s">
        <v>24</v>
      </c>
      <c r="Q672" s="222" t="s">
        <v>2518</v>
      </c>
    </row>
    <row r="673" spans="1:17" ht="30" x14ac:dyDescent="0.2">
      <c r="A673" s="15">
        <v>670</v>
      </c>
      <c r="B673" s="15">
        <v>1536</v>
      </c>
      <c r="C673" s="232" t="s">
        <v>2519</v>
      </c>
      <c r="D673" s="16" t="s">
        <v>318</v>
      </c>
      <c r="E673" s="17" t="s">
        <v>28</v>
      </c>
      <c r="F673" s="15"/>
      <c r="G673" s="15"/>
      <c r="H673" s="15"/>
      <c r="I673" s="16" t="s">
        <v>2520</v>
      </c>
      <c r="J673" s="15"/>
      <c r="K673" s="15"/>
      <c r="L673" s="233" t="s">
        <v>339</v>
      </c>
      <c r="M673" s="16"/>
      <c r="N673" s="233" t="s">
        <v>2521</v>
      </c>
      <c r="O673" s="16" t="s">
        <v>341</v>
      </c>
      <c r="P673" s="219" t="s">
        <v>24</v>
      </c>
      <c r="Q673" s="221" t="s">
        <v>2522</v>
      </c>
    </row>
    <row r="674" spans="1:17" ht="30" x14ac:dyDescent="0.2">
      <c r="A674" s="15">
        <v>671</v>
      </c>
      <c r="B674" s="15">
        <v>1539</v>
      </c>
      <c r="C674" s="232" t="s">
        <v>2523</v>
      </c>
      <c r="D674" s="16" t="s">
        <v>41</v>
      </c>
      <c r="E674" s="17" t="s">
        <v>20</v>
      </c>
      <c r="F674" s="15"/>
      <c r="G674" s="15"/>
      <c r="H674" s="15"/>
      <c r="I674" s="16" t="s">
        <v>512</v>
      </c>
      <c r="J674" s="15"/>
      <c r="K674" s="15"/>
      <c r="L674" s="233" t="s">
        <v>372</v>
      </c>
      <c r="M674" s="16"/>
      <c r="N674" s="233" t="s">
        <v>513</v>
      </c>
      <c r="O674" s="16" t="s">
        <v>65</v>
      </c>
      <c r="P674" s="219" t="s">
        <v>47</v>
      </c>
      <c r="Q674" s="222" t="s">
        <v>2524</v>
      </c>
    </row>
    <row r="675" spans="1:17" ht="30" x14ac:dyDescent="0.2">
      <c r="A675" s="15">
        <v>672</v>
      </c>
      <c r="B675" s="15">
        <v>1545</v>
      </c>
      <c r="C675" s="232" t="s">
        <v>2525</v>
      </c>
      <c r="D675" s="16" t="s">
        <v>2526</v>
      </c>
      <c r="E675" s="17" t="s">
        <v>28</v>
      </c>
      <c r="F675" s="15"/>
      <c r="G675" s="15"/>
      <c r="H675" s="15"/>
      <c r="I675" s="16" t="s">
        <v>2527</v>
      </c>
      <c r="J675" s="15"/>
      <c r="K675" s="15"/>
      <c r="L675" s="233" t="s">
        <v>339</v>
      </c>
      <c r="M675" s="16"/>
      <c r="N675" s="233" t="s">
        <v>2528</v>
      </c>
      <c r="O675" s="16" t="s">
        <v>24</v>
      </c>
      <c r="P675" s="219" t="s">
        <v>24</v>
      </c>
      <c r="Q675" s="221" t="s">
        <v>2529</v>
      </c>
    </row>
    <row r="676" spans="1:17" ht="30" x14ac:dyDescent="0.2">
      <c r="A676" s="15">
        <v>673</v>
      </c>
      <c r="B676" s="15">
        <v>1547</v>
      </c>
      <c r="C676" s="232" t="s">
        <v>2530</v>
      </c>
      <c r="D676" s="16" t="s">
        <v>309</v>
      </c>
      <c r="E676" s="17" t="s">
        <v>42</v>
      </c>
      <c r="F676" s="15"/>
      <c r="G676" s="15"/>
      <c r="H676" s="15"/>
      <c r="I676" s="16" t="s">
        <v>2531</v>
      </c>
      <c r="J676" s="15"/>
      <c r="K676" s="15"/>
      <c r="L676" s="233" t="s">
        <v>339</v>
      </c>
      <c r="M676" s="16"/>
      <c r="N676" s="233" t="s">
        <v>2532</v>
      </c>
      <c r="O676" s="16" t="s">
        <v>2533</v>
      </c>
      <c r="P676" s="219" t="s">
        <v>2534</v>
      </c>
      <c r="Q676" s="222" t="s">
        <v>2535</v>
      </c>
    </row>
    <row r="677" spans="1:17" ht="30" x14ac:dyDescent="0.2">
      <c r="A677" s="15">
        <v>674</v>
      </c>
      <c r="B677" s="15">
        <v>1552</v>
      </c>
      <c r="C677" s="232" t="s">
        <v>2536</v>
      </c>
      <c r="D677" s="16" t="s">
        <v>41</v>
      </c>
      <c r="E677" s="17" t="s">
        <v>28</v>
      </c>
      <c r="F677" s="15"/>
      <c r="G677" s="15"/>
      <c r="H677" s="15"/>
      <c r="I677" s="16" t="s">
        <v>512</v>
      </c>
      <c r="J677" s="15"/>
      <c r="K677" s="15"/>
      <c r="L677" s="233" t="s">
        <v>188</v>
      </c>
      <c r="M677" s="16"/>
      <c r="N677" s="233" t="s">
        <v>513</v>
      </c>
      <c r="O677" s="16" t="s">
        <v>65</v>
      </c>
      <c r="P677" s="219" t="s">
        <v>47</v>
      </c>
      <c r="Q677" s="221" t="s">
        <v>2537</v>
      </c>
    </row>
    <row r="678" spans="1:17" ht="30" x14ac:dyDescent="0.2">
      <c r="A678" s="15">
        <v>675</v>
      </c>
      <c r="B678" s="15">
        <v>1559</v>
      </c>
      <c r="C678" s="232" t="s">
        <v>2538</v>
      </c>
      <c r="D678" s="16" t="s">
        <v>443</v>
      </c>
      <c r="E678" s="17" t="s">
        <v>28</v>
      </c>
      <c r="F678" s="15"/>
      <c r="G678" s="15"/>
      <c r="H678" s="15"/>
      <c r="I678" s="16" t="s">
        <v>2539</v>
      </c>
      <c r="J678" s="15"/>
      <c r="K678" s="15"/>
      <c r="L678" s="233" t="s">
        <v>339</v>
      </c>
      <c r="M678" s="16"/>
      <c r="N678" s="233" t="s">
        <v>2540</v>
      </c>
      <c r="O678" s="16" t="s">
        <v>363</v>
      </c>
      <c r="P678" s="219" t="s">
        <v>363</v>
      </c>
      <c r="Q678" s="222" t="s">
        <v>2541</v>
      </c>
    </row>
    <row r="679" spans="1:17" ht="30" x14ac:dyDescent="0.2">
      <c r="A679" s="15">
        <v>676</v>
      </c>
      <c r="B679" s="15">
        <v>1564</v>
      </c>
      <c r="C679" s="232" t="s">
        <v>2542</v>
      </c>
      <c r="D679" s="16" t="s">
        <v>318</v>
      </c>
      <c r="E679" s="17" t="s">
        <v>28</v>
      </c>
      <c r="F679" s="15"/>
      <c r="G679" s="15"/>
      <c r="H679" s="15"/>
      <c r="I679" s="16" t="s">
        <v>2543</v>
      </c>
      <c r="J679" s="15"/>
      <c r="K679" s="15"/>
      <c r="L679" s="233" t="s">
        <v>339</v>
      </c>
      <c r="M679" s="16"/>
      <c r="N679" s="233" t="s">
        <v>2544</v>
      </c>
      <c r="O679" s="16" t="s">
        <v>326</v>
      </c>
      <c r="P679" s="219" t="s">
        <v>24</v>
      </c>
      <c r="Q679" s="221" t="s">
        <v>2545</v>
      </c>
    </row>
    <row r="680" spans="1:17" ht="30" x14ac:dyDescent="0.2">
      <c r="A680" s="15">
        <v>677</v>
      </c>
      <c r="B680" s="15">
        <v>1570</v>
      </c>
      <c r="C680" s="232" t="s">
        <v>2546</v>
      </c>
      <c r="D680" s="16" t="s">
        <v>1099</v>
      </c>
      <c r="E680" s="17" t="s">
        <v>28</v>
      </c>
      <c r="F680" s="15"/>
      <c r="G680" s="15"/>
      <c r="H680" s="15"/>
      <c r="I680" s="16" t="s">
        <v>652</v>
      </c>
      <c r="J680" s="15"/>
      <c r="K680" s="15"/>
      <c r="L680" s="233" t="s">
        <v>1186</v>
      </c>
      <c r="M680" s="16"/>
      <c r="N680" s="233" t="s">
        <v>654</v>
      </c>
      <c r="O680" s="16" t="s">
        <v>24</v>
      </c>
      <c r="P680" s="219" t="s">
        <v>24</v>
      </c>
      <c r="Q680" s="222" t="s">
        <v>2547</v>
      </c>
    </row>
    <row r="681" spans="1:17" ht="30" x14ac:dyDescent="0.2">
      <c r="A681" s="15">
        <v>678</v>
      </c>
      <c r="B681" s="15">
        <v>1572</v>
      </c>
      <c r="C681" s="232" t="s">
        <v>2548</v>
      </c>
      <c r="D681" s="16" t="s">
        <v>283</v>
      </c>
      <c r="E681" s="17" t="s">
        <v>20</v>
      </c>
      <c r="F681" s="15"/>
      <c r="G681" s="15"/>
      <c r="H681" s="15"/>
      <c r="I681" s="16" t="s">
        <v>2549</v>
      </c>
      <c r="J681" s="15"/>
      <c r="K681" s="15"/>
      <c r="L681" s="233" t="s">
        <v>339</v>
      </c>
      <c r="M681" s="16"/>
      <c r="N681" s="233" t="s">
        <v>2550</v>
      </c>
      <c r="O681" s="16" t="s">
        <v>24</v>
      </c>
      <c r="P681" s="219" t="s">
        <v>24</v>
      </c>
      <c r="Q681" s="221" t="s">
        <v>2551</v>
      </c>
    </row>
    <row r="682" spans="1:17" ht="30" x14ac:dyDescent="0.2">
      <c r="A682" s="15">
        <v>679</v>
      </c>
      <c r="B682" s="15">
        <v>1574</v>
      </c>
      <c r="C682" s="232" t="s">
        <v>2552</v>
      </c>
      <c r="D682" s="16" t="s">
        <v>84</v>
      </c>
      <c r="E682" s="17" t="s">
        <v>28</v>
      </c>
      <c r="F682" s="15"/>
      <c r="G682" s="15"/>
      <c r="H682" s="15"/>
      <c r="I682" s="16" t="s">
        <v>689</v>
      </c>
      <c r="J682" s="15"/>
      <c r="K682" s="15"/>
      <c r="L682" s="233" t="s">
        <v>339</v>
      </c>
      <c r="M682" s="16"/>
      <c r="N682" s="233" t="s">
        <v>2553</v>
      </c>
      <c r="O682" s="16" t="s">
        <v>24</v>
      </c>
      <c r="P682" s="219" t="s">
        <v>47</v>
      </c>
      <c r="Q682" s="222" t="s">
        <v>2554</v>
      </c>
    </row>
    <row r="683" spans="1:17" ht="30" x14ac:dyDescent="0.2">
      <c r="A683" s="15">
        <v>680</v>
      </c>
      <c r="B683" s="15">
        <v>1579</v>
      </c>
      <c r="C683" s="232" t="s">
        <v>2555</v>
      </c>
      <c r="D683" s="16" t="s">
        <v>1050</v>
      </c>
      <c r="E683" s="17" t="s">
        <v>42</v>
      </c>
      <c r="F683" s="15"/>
      <c r="G683" s="15"/>
      <c r="H683" s="15"/>
      <c r="I683" s="16" t="s">
        <v>617</v>
      </c>
      <c r="J683" s="15"/>
      <c r="K683" s="15"/>
      <c r="L683" s="233" t="s">
        <v>779</v>
      </c>
      <c r="M683" s="16"/>
      <c r="N683" s="233" t="s">
        <v>619</v>
      </c>
      <c r="O683" s="16" t="s">
        <v>648</v>
      </c>
      <c r="P683" s="219" t="s">
        <v>648</v>
      </c>
      <c r="Q683" s="221" t="s">
        <v>2556</v>
      </c>
    </row>
    <row r="684" spans="1:17" ht="30" x14ac:dyDescent="0.2">
      <c r="A684" s="15">
        <v>681</v>
      </c>
      <c r="B684" s="15">
        <v>1581</v>
      </c>
      <c r="C684" s="232" t="s">
        <v>2557</v>
      </c>
      <c r="D684" s="16" t="s">
        <v>796</v>
      </c>
      <c r="E684" s="17" t="s">
        <v>20</v>
      </c>
      <c r="F684" s="15"/>
      <c r="G684" s="15"/>
      <c r="H684" s="15"/>
      <c r="I684" s="16" t="s">
        <v>2558</v>
      </c>
      <c r="J684" s="15"/>
      <c r="K684" s="15"/>
      <c r="L684" s="233" t="s">
        <v>339</v>
      </c>
      <c r="M684" s="16"/>
      <c r="N684" s="233" t="s">
        <v>2559</v>
      </c>
      <c r="O684" s="16" t="s">
        <v>24</v>
      </c>
      <c r="P684" s="219" t="s">
        <v>24</v>
      </c>
      <c r="Q684" s="222" t="s">
        <v>2560</v>
      </c>
    </row>
    <row r="685" spans="1:17" ht="30" x14ac:dyDescent="0.2">
      <c r="A685" s="15">
        <v>682</v>
      </c>
      <c r="B685" s="15">
        <v>1584</v>
      </c>
      <c r="C685" s="232" t="s">
        <v>2561</v>
      </c>
      <c r="D685" s="16" t="s">
        <v>2562</v>
      </c>
      <c r="E685" s="17" t="s">
        <v>28</v>
      </c>
      <c r="F685" s="15"/>
      <c r="G685" s="15"/>
      <c r="H685" s="15"/>
      <c r="I685" s="16" t="s">
        <v>617</v>
      </c>
      <c r="J685" s="15"/>
      <c r="K685" s="15"/>
      <c r="L685" s="233" t="s">
        <v>2563</v>
      </c>
      <c r="M685" s="16"/>
      <c r="N685" s="233" t="s">
        <v>619</v>
      </c>
      <c r="O685" s="16" t="s">
        <v>648</v>
      </c>
      <c r="P685" s="219" t="s">
        <v>648</v>
      </c>
      <c r="Q685" s="221" t="s">
        <v>2564</v>
      </c>
    </row>
    <row r="686" spans="1:17" ht="30" x14ac:dyDescent="0.2">
      <c r="A686" s="15">
        <v>683</v>
      </c>
      <c r="B686" s="15">
        <v>1594</v>
      </c>
      <c r="C686" s="232" t="s">
        <v>2565</v>
      </c>
      <c r="D686" s="16" t="s">
        <v>360</v>
      </c>
      <c r="E686" s="17" t="s">
        <v>28</v>
      </c>
      <c r="F686" s="15"/>
      <c r="G686" s="15"/>
      <c r="H686" s="15"/>
      <c r="I686" s="16" t="s">
        <v>2566</v>
      </c>
      <c r="J686" s="15"/>
      <c r="K686" s="15"/>
      <c r="L686" s="233" t="s">
        <v>339</v>
      </c>
      <c r="M686" s="16"/>
      <c r="N686" s="233" t="s">
        <v>2567</v>
      </c>
      <c r="O686" s="16" t="s">
        <v>363</v>
      </c>
      <c r="P686" s="219" t="s">
        <v>363</v>
      </c>
      <c r="Q686" s="222" t="s">
        <v>2568</v>
      </c>
    </row>
    <row r="687" spans="1:17" ht="30" x14ac:dyDescent="0.2">
      <c r="A687" s="15">
        <v>684</v>
      </c>
      <c r="B687" s="15">
        <v>1603</v>
      </c>
      <c r="C687" s="232" t="s">
        <v>2569</v>
      </c>
      <c r="D687" s="16" t="s">
        <v>2570</v>
      </c>
      <c r="E687" s="17" t="s">
        <v>20</v>
      </c>
      <c r="F687" s="15"/>
      <c r="G687" s="15"/>
      <c r="H687" s="15"/>
      <c r="I687" s="16" t="s">
        <v>2571</v>
      </c>
      <c r="J687" s="15"/>
      <c r="K687" s="15"/>
      <c r="L687" s="233" t="s">
        <v>339</v>
      </c>
      <c r="M687" s="16"/>
      <c r="N687" s="233" t="s">
        <v>2572</v>
      </c>
      <c r="O687" s="16" t="s">
        <v>47</v>
      </c>
      <c r="P687" s="219" t="s">
        <v>47</v>
      </c>
      <c r="Q687" s="221" t="s">
        <v>2573</v>
      </c>
    </row>
    <row r="688" spans="1:17" ht="30" x14ac:dyDescent="0.2">
      <c r="A688" s="15">
        <v>685</v>
      </c>
      <c r="B688" s="15">
        <v>1606</v>
      </c>
      <c r="C688" s="232" t="s">
        <v>2574</v>
      </c>
      <c r="D688" s="16" t="s">
        <v>2575</v>
      </c>
      <c r="E688" s="17" t="s">
        <v>42</v>
      </c>
      <c r="F688" s="15"/>
      <c r="G688" s="15"/>
      <c r="H688" s="15"/>
      <c r="I688" s="16" t="s">
        <v>2576</v>
      </c>
      <c r="J688" s="15"/>
      <c r="K688" s="15"/>
      <c r="L688" s="233" t="s">
        <v>460</v>
      </c>
      <c r="M688" s="16"/>
      <c r="N688" s="233" t="s">
        <v>2577</v>
      </c>
      <c r="O688" s="16" t="s">
        <v>960</v>
      </c>
      <c r="P688" s="219" t="s">
        <v>153</v>
      </c>
      <c r="Q688" s="222" t="s">
        <v>2578</v>
      </c>
    </row>
    <row r="689" spans="1:17" ht="30" x14ac:dyDescent="0.2">
      <c r="A689" s="15">
        <v>686</v>
      </c>
      <c r="B689" s="15">
        <v>1614</v>
      </c>
      <c r="C689" s="232" t="s">
        <v>2579</v>
      </c>
      <c r="D689" s="16" t="s">
        <v>133</v>
      </c>
      <c r="E689" s="17" t="s">
        <v>20</v>
      </c>
      <c r="F689" s="15"/>
      <c r="G689" s="15"/>
      <c r="H689" s="15"/>
      <c r="I689" s="16" t="s">
        <v>2580</v>
      </c>
      <c r="J689" s="15"/>
      <c r="K689" s="15"/>
      <c r="L689" s="233"/>
      <c r="M689" s="16"/>
      <c r="N689" s="233" t="s">
        <v>2581</v>
      </c>
      <c r="O689" s="16" t="s">
        <v>24</v>
      </c>
      <c r="P689" s="219" t="s">
        <v>24</v>
      </c>
      <c r="Q689" s="221" t="s">
        <v>2582</v>
      </c>
    </row>
    <row r="690" spans="1:17" ht="30" x14ac:dyDescent="0.2">
      <c r="A690" s="15">
        <v>687</v>
      </c>
      <c r="B690" s="15">
        <v>1622</v>
      </c>
      <c r="C690" s="232" t="s">
        <v>2583</v>
      </c>
      <c r="D690" s="16" t="s">
        <v>1099</v>
      </c>
      <c r="E690" s="17" t="s">
        <v>42</v>
      </c>
      <c r="F690" s="15"/>
      <c r="G690" s="15"/>
      <c r="H690" s="15"/>
      <c r="I690" s="16" t="s">
        <v>2584</v>
      </c>
      <c r="J690" s="15"/>
      <c r="K690" s="15"/>
      <c r="L690" s="233" t="s">
        <v>339</v>
      </c>
      <c r="M690" s="16"/>
      <c r="N690" s="233" t="s">
        <v>2585</v>
      </c>
      <c r="O690" s="16" t="s">
        <v>2586</v>
      </c>
      <c r="P690" s="219" t="s">
        <v>24</v>
      </c>
      <c r="Q690" s="222" t="s">
        <v>2587</v>
      </c>
    </row>
    <row r="691" spans="1:17" ht="30" x14ac:dyDescent="0.2">
      <c r="A691" s="15">
        <v>688</v>
      </c>
      <c r="B691" s="15">
        <v>1631</v>
      </c>
      <c r="C691" s="232" t="s">
        <v>2588</v>
      </c>
      <c r="D691" s="16" t="s">
        <v>2589</v>
      </c>
      <c r="E691" s="17" t="s">
        <v>28</v>
      </c>
      <c r="F691" s="15"/>
      <c r="G691" s="15"/>
      <c r="H691" s="15"/>
      <c r="I691" s="16" t="s">
        <v>2590</v>
      </c>
      <c r="J691" s="15"/>
      <c r="K691" s="15"/>
      <c r="L691" s="233"/>
      <c r="M691" s="16"/>
      <c r="N691" s="233" t="s">
        <v>2591</v>
      </c>
      <c r="O691" s="16" t="s">
        <v>24</v>
      </c>
      <c r="P691" s="219" t="s">
        <v>24</v>
      </c>
      <c r="Q691" s="221" t="s">
        <v>2592</v>
      </c>
    </row>
    <row r="692" spans="1:17" ht="30" x14ac:dyDescent="0.2">
      <c r="A692" s="15">
        <v>689</v>
      </c>
      <c r="B692" s="15">
        <v>1636</v>
      </c>
      <c r="C692" s="232" t="s">
        <v>2593</v>
      </c>
      <c r="D692" s="16" t="s">
        <v>2594</v>
      </c>
      <c r="E692" s="17" t="s">
        <v>20</v>
      </c>
      <c r="F692" s="15"/>
      <c r="G692" s="15"/>
      <c r="H692" s="15"/>
      <c r="I692" s="16" t="s">
        <v>2595</v>
      </c>
      <c r="J692" s="15"/>
      <c r="K692" s="15"/>
      <c r="L692" s="233" t="s">
        <v>339</v>
      </c>
      <c r="M692" s="16"/>
      <c r="N692" s="233" t="s">
        <v>2596</v>
      </c>
      <c r="O692" s="16" t="s">
        <v>326</v>
      </c>
      <c r="P692" s="219" t="s">
        <v>24</v>
      </c>
      <c r="Q692" s="222" t="s">
        <v>2597</v>
      </c>
    </row>
    <row r="693" spans="1:17" ht="30" x14ac:dyDescent="0.2">
      <c r="A693" s="15">
        <v>690</v>
      </c>
      <c r="B693" s="15">
        <v>1642</v>
      </c>
      <c r="C693" s="232" t="s">
        <v>2598</v>
      </c>
      <c r="D693" s="16" t="s">
        <v>1531</v>
      </c>
      <c r="E693" s="17" t="s">
        <v>28</v>
      </c>
      <c r="F693" s="15"/>
      <c r="G693" s="15"/>
      <c r="H693" s="15"/>
      <c r="I693" s="16" t="s">
        <v>957</v>
      </c>
      <c r="J693" s="15"/>
      <c r="K693" s="15"/>
      <c r="L693" s="233" t="s">
        <v>454</v>
      </c>
      <c r="M693" s="16"/>
      <c r="N693" s="233" t="s">
        <v>959</v>
      </c>
      <c r="O693" s="16" t="s">
        <v>960</v>
      </c>
      <c r="P693" s="219" t="s">
        <v>153</v>
      </c>
      <c r="Q693" s="221" t="s">
        <v>2599</v>
      </c>
    </row>
    <row r="694" spans="1:17" ht="30" x14ac:dyDescent="0.2">
      <c r="A694" s="15">
        <v>691</v>
      </c>
      <c r="B694" s="15">
        <v>1648</v>
      </c>
      <c r="C694" s="232" t="s">
        <v>2600</v>
      </c>
      <c r="D694" s="16" t="s">
        <v>376</v>
      </c>
      <c r="E694" s="17" t="s">
        <v>28</v>
      </c>
      <c r="F694" s="15"/>
      <c r="G694" s="15"/>
      <c r="H694" s="15"/>
      <c r="I694" s="16" t="s">
        <v>2601</v>
      </c>
      <c r="J694" s="15"/>
      <c r="K694" s="15"/>
      <c r="L694" s="233" t="s">
        <v>339</v>
      </c>
      <c r="M694" s="16"/>
      <c r="N694" s="233" t="s">
        <v>2602</v>
      </c>
      <c r="O694" s="16" t="s">
        <v>326</v>
      </c>
      <c r="P694" s="219" t="s">
        <v>47</v>
      </c>
      <c r="Q694" s="222" t="s">
        <v>2603</v>
      </c>
    </row>
    <row r="695" spans="1:17" ht="30" x14ac:dyDescent="0.2">
      <c r="A695" s="15">
        <v>692</v>
      </c>
      <c r="B695" s="15">
        <v>1650</v>
      </c>
      <c r="C695" s="232" t="s">
        <v>2604</v>
      </c>
      <c r="D695" s="16" t="s">
        <v>2605</v>
      </c>
      <c r="E695" s="17" t="s">
        <v>28</v>
      </c>
      <c r="F695" s="15"/>
      <c r="G695" s="15"/>
      <c r="H695" s="15"/>
      <c r="I695" s="16" t="s">
        <v>689</v>
      </c>
      <c r="J695" s="15"/>
      <c r="K695" s="15"/>
      <c r="L695" s="233" t="s">
        <v>1276</v>
      </c>
      <c r="M695" s="16"/>
      <c r="N695" s="233" t="s">
        <v>690</v>
      </c>
      <c r="O695" s="16" t="s">
        <v>503</v>
      </c>
      <c r="P695" s="219" t="s">
        <v>47</v>
      </c>
      <c r="Q695" s="221" t="s">
        <v>2606</v>
      </c>
    </row>
    <row r="696" spans="1:17" ht="30" x14ac:dyDescent="0.2">
      <c r="A696" s="15">
        <v>693</v>
      </c>
      <c r="B696" s="15">
        <v>1653</v>
      </c>
      <c r="C696" s="232" t="s">
        <v>2607</v>
      </c>
      <c r="D696" s="16" t="s">
        <v>198</v>
      </c>
      <c r="E696" s="17" t="s">
        <v>28</v>
      </c>
      <c r="F696" s="15"/>
      <c r="G696" s="15"/>
      <c r="H696" s="15"/>
      <c r="I696" s="16" t="s">
        <v>2608</v>
      </c>
      <c r="J696" s="15"/>
      <c r="K696" s="15"/>
      <c r="L696" s="233"/>
      <c r="M696" s="16"/>
      <c r="N696" s="233" t="s">
        <v>2609</v>
      </c>
      <c r="O696" s="16" t="s">
        <v>24</v>
      </c>
      <c r="P696" s="219" t="s">
        <v>24</v>
      </c>
      <c r="Q696" s="222" t="s">
        <v>2610</v>
      </c>
    </row>
    <row r="697" spans="1:17" ht="30" x14ac:dyDescent="0.2">
      <c r="A697" s="15">
        <v>694</v>
      </c>
      <c r="B697" s="15">
        <v>1657</v>
      </c>
      <c r="C697" s="232" t="s">
        <v>2611</v>
      </c>
      <c r="D697" s="16" t="s">
        <v>897</v>
      </c>
      <c r="E697" s="17" t="s">
        <v>28</v>
      </c>
      <c r="F697" s="15"/>
      <c r="G697" s="15"/>
      <c r="H697" s="15"/>
      <c r="I697" s="16" t="s">
        <v>704</v>
      </c>
      <c r="J697" s="15"/>
      <c r="K697" s="15"/>
      <c r="L697" s="233" t="s">
        <v>460</v>
      </c>
      <c r="M697" s="16"/>
      <c r="N697" s="233" t="s">
        <v>705</v>
      </c>
      <c r="O697" s="16" t="s">
        <v>24</v>
      </c>
      <c r="P697" s="219" t="s">
        <v>24</v>
      </c>
      <c r="Q697" s="221" t="s">
        <v>2612</v>
      </c>
    </row>
    <row r="698" spans="1:17" ht="30" x14ac:dyDescent="0.2">
      <c r="A698" s="15">
        <v>695</v>
      </c>
      <c r="B698" s="15">
        <v>1658</v>
      </c>
      <c r="C698" s="232" t="s">
        <v>2613</v>
      </c>
      <c r="D698" s="16" t="s">
        <v>916</v>
      </c>
      <c r="E698" s="17" t="s">
        <v>28</v>
      </c>
      <c r="F698" s="15"/>
      <c r="G698" s="15"/>
      <c r="H698" s="15"/>
      <c r="I698" s="16" t="s">
        <v>2465</v>
      </c>
      <c r="J698" s="15"/>
      <c r="K698" s="15"/>
      <c r="L698" s="233" t="s">
        <v>339</v>
      </c>
      <c r="M698" s="16"/>
      <c r="N698" s="233" t="s">
        <v>2614</v>
      </c>
      <c r="O698" s="16" t="s">
        <v>24</v>
      </c>
      <c r="P698" s="219" t="s">
        <v>47</v>
      </c>
      <c r="Q698" s="222" t="s">
        <v>2615</v>
      </c>
    </row>
    <row r="699" spans="1:17" ht="30" x14ac:dyDescent="0.2">
      <c r="A699" s="15">
        <v>696</v>
      </c>
      <c r="B699" s="15">
        <v>1661</v>
      </c>
      <c r="C699" s="232" t="s">
        <v>2616</v>
      </c>
      <c r="D699" s="16" t="s">
        <v>166</v>
      </c>
      <c r="E699" s="17" t="s">
        <v>20</v>
      </c>
      <c r="F699" s="15"/>
      <c r="G699" s="15"/>
      <c r="H699" s="15"/>
      <c r="I699" s="16" t="s">
        <v>2617</v>
      </c>
      <c r="J699" s="15"/>
      <c r="K699" s="15"/>
      <c r="L699" s="233" t="s">
        <v>183</v>
      </c>
      <c r="M699" s="16"/>
      <c r="N699" s="233" t="s">
        <v>2618</v>
      </c>
      <c r="O699" s="16" t="s">
        <v>24</v>
      </c>
      <c r="P699" s="219" t="s">
        <v>24</v>
      </c>
      <c r="Q699" s="221" t="s">
        <v>2619</v>
      </c>
    </row>
    <row r="700" spans="1:17" ht="30" x14ac:dyDescent="0.2">
      <c r="A700" s="15">
        <v>697</v>
      </c>
      <c r="B700" s="15">
        <v>1664</v>
      </c>
      <c r="C700" s="232" t="s">
        <v>2620</v>
      </c>
      <c r="D700" s="16" t="s">
        <v>2621</v>
      </c>
      <c r="E700" s="17" t="s">
        <v>28</v>
      </c>
      <c r="F700" s="15"/>
      <c r="G700" s="15"/>
      <c r="H700" s="15"/>
      <c r="I700" s="16" t="s">
        <v>2622</v>
      </c>
      <c r="J700" s="15"/>
      <c r="K700" s="15"/>
      <c r="L700" s="233"/>
      <c r="M700" s="16"/>
      <c r="N700" s="233" t="s">
        <v>2623</v>
      </c>
      <c r="O700" s="16" t="s">
        <v>24</v>
      </c>
      <c r="P700" s="219" t="s">
        <v>24</v>
      </c>
      <c r="Q700" s="222" t="s">
        <v>2624</v>
      </c>
    </row>
    <row r="701" spans="1:17" ht="30" x14ac:dyDescent="0.2">
      <c r="A701" s="15">
        <v>698</v>
      </c>
      <c r="B701" s="15">
        <v>1665</v>
      </c>
      <c r="C701" s="232" t="s">
        <v>2625</v>
      </c>
      <c r="D701" s="16" t="s">
        <v>318</v>
      </c>
      <c r="E701" s="17" t="s">
        <v>42</v>
      </c>
      <c r="F701" s="15"/>
      <c r="G701" s="15"/>
      <c r="H701" s="15"/>
      <c r="I701" s="16" t="s">
        <v>2192</v>
      </c>
      <c r="J701" s="15"/>
      <c r="K701" s="15"/>
      <c r="L701" s="233" t="s">
        <v>339</v>
      </c>
      <c r="M701" s="16"/>
      <c r="N701" s="233" t="s">
        <v>2626</v>
      </c>
      <c r="O701" s="16" t="s">
        <v>326</v>
      </c>
      <c r="P701" s="219" t="s">
        <v>47</v>
      </c>
      <c r="Q701" s="221" t="s">
        <v>2627</v>
      </c>
    </row>
    <row r="702" spans="1:17" ht="30" x14ac:dyDescent="0.2">
      <c r="A702" s="15">
        <v>699</v>
      </c>
      <c r="B702" s="15">
        <v>1667</v>
      </c>
      <c r="C702" s="232" t="s">
        <v>2628</v>
      </c>
      <c r="D702" s="16" t="s">
        <v>796</v>
      </c>
      <c r="E702" s="17" t="s">
        <v>20</v>
      </c>
      <c r="F702" s="15"/>
      <c r="G702" s="15"/>
      <c r="H702" s="15"/>
      <c r="I702" s="16" t="s">
        <v>2629</v>
      </c>
      <c r="J702" s="15"/>
      <c r="K702" s="15"/>
      <c r="L702" s="233" t="s">
        <v>339</v>
      </c>
      <c r="M702" s="16"/>
      <c r="N702" s="233" t="s">
        <v>2630</v>
      </c>
      <c r="O702" s="16" t="s">
        <v>326</v>
      </c>
      <c r="P702" s="219" t="s">
        <v>24</v>
      </c>
      <c r="Q702" s="222" t="s">
        <v>2631</v>
      </c>
    </row>
    <row r="703" spans="1:17" ht="30" x14ac:dyDescent="0.2">
      <c r="A703" s="15">
        <v>700</v>
      </c>
      <c r="B703" s="15">
        <v>1674</v>
      </c>
      <c r="C703" s="232" t="s">
        <v>2632</v>
      </c>
      <c r="D703" s="16" t="s">
        <v>309</v>
      </c>
      <c r="E703" s="17" t="s">
        <v>28</v>
      </c>
      <c r="F703" s="15"/>
      <c r="G703" s="15"/>
      <c r="H703" s="15"/>
      <c r="I703" s="16" t="s">
        <v>2633</v>
      </c>
      <c r="J703" s="15"/>
      <c r="K703" s="15"/>
      <c r="L703" s="233" t="s">
        <v>339</v>
      </c>
      <c r="M703" s="16"/>
      <c r="N703" s="233" t="s">
        <v>2634</v>
      </c>
      <c r="O703" s="16" t="s">
        <v>24</v>
      </c>
      <c r="P703" s="219" t="s">
        <v>24</v>
      </c>
      <c r="Q703" s="221" t="s">
        <v>2635</v>
      </c>
    </row>
    <row r="704" spans="1:17" ht="30" x14ac:dyDescent="0.2">
      <c r="A704" s="15">
        <v>701</v>
      </c>
      <c r="B704" s="15">
        <v>1679</v>
      </c>
      <c r="C704" s="232" t="s">
        <v>2636</v>
      </c>
      <c r="D704" s="16" t="s">
        <v>2637</v>
      </c>
      <c r="E704" s="17" t="s">
        <v>28</v>
      </c>
      <c r="F704" s="15"/>
      <c r="G704" s="15"/>
      <c r="H704" s="15"/>
      <c r="I704" s="16" t="s">
        <v>2638</v>
      </c>
      <c r="J704" s="15"/>
      <c r="K704" s="15"/>
      <c r="L704" s="233" t="s">
        <v>339</v>
      </c>
      <c r="M704" s="16"/>
      <c r="N704" s="233" t="s">
        <v>2639</v>
      </c>
      <c r="O704" s="16" t="s">
        <v>24</v>
      </c>
      <c r="P704" s="219" t="s">
        <v>24</v>
      </c>
      <c r="Q704" s="222" t="s">
        <v>2640</v>
      </c>
    </row>
    <row r="705" spans="1:17" ht="30" x14ac:dyDescent="0.2">
      <c r="A705" s="15">
        <v>702</v>
      </c>
      <c r="B705" s="15">
        <v>1680</v>
      </c>
      <c r="C705" s="232" t="s">
        <v>2641</v>
      </c>
      <c r="D705" s="16" t="s">
        <v>181</v>
      </c>
      <c r="E705" s="17" t="s">
        <v>28</v>
      </c>
      <c r="F705" s="15"/>
      <c r="G705" s="15"/>
      <c r="H705" s="15"/>
      <c r="I705" s="16" t="s">
        <v>2642</v>
      </c>
      <c r="J705" s="15"/>
      <c r="K705" s="15"/>
      <c r="L705" s="233" t="s">
        <v>339</v>
      </c>
      <c r="M705" s="16"/>
      <c r="N705" s="233" t="s">
        <v>2643</v>
      </c>
      <c r="O705" s="16" t="s">
        <v>24</v>
      </c>
      <c r="P705" s="219" t="s">
        <v>47</v>
      </c>
      <c r="Q705" s="221" t="s">
        <v>2644</v>
      </c>
    </row>
    <row r="706" spans="1:17" x14ac:dyDescent="0.2">
      <c r="A706" s="15">
        <v>703</v>
      </c>
      <c r="B706" s="15">
        <v>1685</v>
      </c>
      <c r="C706" s="232" t="s">
        <v>2645</v>
      </c>
      <c r="D706" s="16" t="s">
        <v>2646</v>
      </c>
      <c r="E706" s="17" t="s">
        <v>28</v>
      </c>
      <c r="F706" s="15"/>
      <c r="G706" s="15"/>
      <c r="H706" s="15"/>
      <c r="I706" s="16" t="s">
        <v>2647</v>
      </c>
      <c r="J706" s="15"/>
      <c r="K706" s="15"/>
      <c r="L706" s="233" t="s">
        <v>339</v>
      </c>
      <c r="M706" s="16"/>
      <c r="N706" s="233" t="s">
        <v>2648</v>
      </c>
      <c r="O706" s="16" t="s">
        <v>24</v>
      </c>
      <c r="P706" s="219" t="s">
        <v>24</v>
      </c>
      <c r="Q706" s="222" t="s">
        <v>2649</v>
      </c>
    </row>
    <row r="707" spans="1:17" ht="30" x14ac:dyDescent="0.2">
      <c r="A707" s="15">
        <v>704</v>
      </c>
      <c r="B707" s="15">
        <v>1689</v>
      </c>
      <c r="C707" s="232" t="s">
        <v>2650</v>
      </c>
      <c r="D707" s="16" t="s">
        <v>1873</v>
      </c>
      <c r="E707" s="17" t="s">
        <v>28</v>
      </c>
      <c r="F707" s="15"/>
      <c r="G707" s="15"/>
      <c r="H707" s="15"/>
      <c r="I707" s="16" t="s">
        <v>2651</v>
      </c>
      <c r="J707" s="15"/>
      <c r="K707" s="15"/>
      <c r="L707" s="233" t="s">
        <v>339</v>
      </c>
      <c r="M707" s="16"/>
      <c r="N707" s="233" t="s">
        <v>2652</v>
      </c>
      <c r="O707" s="16" t="s">
        <v>24</v>
      </c>
      <c r="P707" s="219" t="s">
        <v>47</v>
      </c>
      <c r="Q707" s="221" t="s">
        <v>2653</v>
      </c>
    </row>
    <row r="708" spans="1:17" ht="30" x14ac:dyDescent="0.2">
      <c r="A708" s="15">
        <v>705</v>
      </c>
      <c r="B708" s="15">
        <v>1691</v>
      </c>
      <c r="C708" s="232" t="s">
        <v>2654</v>
      </c>
      <c r="D708" s="16" t="s">
        <v>309</v>
      </c>
      <c r="E708" s="17" t="s">
        <v>42</v>
      </c>
      <c r="F708" s="15"/>
      <c r="G708" s="15"/>
      <c r="H708" s="15"/>
      <c r="I708" s="16" t="s">
        <v>2655</v>
      </c>
      <c r="J708" s="15"/>
      <c r="K708" s="15"/>
      <c r="L708" s="233" t="s">
        <v>339</v>
      </c>
      <c r="M708" s="16"/>
      <c r="N708" s="233" t="s">
        <v>2656</v>
      </c>
      <c r="O708" s="16" t="s">
        <v>341</v>
      </c>
      <c r="P708" s="219" t="s">
        <v>24</v>
      </c>
      <c r="Q708" s="222" t="s">
        <v>2657</v>
      </c>
    </row>
    <row r="709" spans="1:17" ht="30" x14ac:dyDescent="0.2">
      <c r="A709" s="15">
        <v>706</v>
      </c>
      <c r="B709" s="15">
        <v>1693</v>
      </c>
      <c r="C709" s="232" t="s">
        <v>2658</v>
      </c>
      <c r="D709" s="16" t="s">
        <v>796</v>
      </c>
      <c r="E709" s="17" t="s">
        <v>20</v>
      </c>
      <c r="F709" s="15"/>
      <c r="G709" s="15"/>
      <c r="H709" s="15"/>
      <c r="I709" s="16" t="s">
        <v>2659</v>
      </c>
      <c r="J709" s="15"/>
      <c r="K709" s="15"/>
      <c r="L709" s="233" t="s">
        <v>339</v>
      </c>
      <c r="M709" s="16"/>
      <c r="N709" s="233" t="s">
        <v>2660</v>
      </c>
      <c r="O709" s="16" t="s">
        <v>24</v>
      </c>
      <c r="P709" s="219" t="s">
        <v>24</v>
      </c>
      <c r="Q709" s="221" t="s">
        <v>2661</v>
      </c>
    </row>
    <row r="710" spans="1:17" ht="30" x14ac:dyDescent="0.2">
      <c r="A710" s="15">
        <v>707</v>
      </c>
      <c r="B710" s="15">
        <v>1700</v>
      </c>
      <c r="C710" s="232" t="s">
        <v>2662</v>
      </c>
      <c r="D710" s="16" t="s">
        <v>1472</v>
      </c>
      <c r="E710" s="17" t="s">
        <v>20</v>
      </c>
      <c r="F710" s="15"/>
      <c r="G710" s="15"/>
      <c r="H710" s="15"/>
      <c r="I710" s="16" t="s">
        <v>2663</v>
      </c>
      <c r="J710" s="15"/>
      <c r="K710" s="15"/>
      <c r="L710" s="233" t="s">
        <v>339</v>
      </c>
      <c r="M710" s="16"/>
      <c r="N710" s="233" t="s">
        <v>2664</v>
      </c>
      <c r="O710" s="16" t="s">
        <v>24</v>
      </c>
      <c r="P710" s="219" t="s">
        <v>47</v>
      </c>
      <c r="Q710" s="222" t="s">
        <v>2665</v>
      </c>
    </row>
    <row r="711" spans="1:17" ht="30" x14ac:dyDescent="0.2">
      <c r="A711" s="15">
        <v>708</v>
      </c>
      <c r="B711" s="15">
        <v>1721</v>
      </c>
      <c r="C711" s="232" t="s">
        <v>2666</v>
      </c>
      <c r="D711" s="16" t="s">
        <v>127</v>
      </c>
      <c r="E711" s="17" t="s">
        <v>28</v>
      </c>
      <c r="F711" s="15"/>
      <c r="G711" s="15"/>
      <c r="H711" s="15"/>
      <c r="I711" s="16" t="s">
        <v>689</v>
      </c>
      <c r="J711" s="15"/>
      <c r="K711" s="15"/>
      <c r="L711" s="233" t="s">
        <v>339</v>
      </c>
      <c r="M711" s="16"/>
      <c r="N711" s="233" t="s">
        <v>2667</v>
      </c>
      <c r="O711" s="16" t="s">
        <v>24</v>
      </c>
      <c r="P711" s="219" t="s">
        <v>47</v>
      </c>
      <c r="Q711" s="221" t="s">
        <v>2668</v>
      </c>
    </row>
    <row r="712" spans="1:17" ht="30" x14ac:dyDescent="0.2">
      <c r="A712" s="15">
        <v>709</v>
      </c>
      <c r="B712" s="15">
        <v>1727</v>
      </c>
      <c r="C712" s="232" t="s">
        <v>2669</v>
      </c>
      <c r="D712" s="16" t="s">
        <v>2670</v>
      </c>
      <c r="E712" s="17" t="s">
        <v>28</v>
      </c>
      <c r="F712" s="15"/>
      <c r="G712" s="15"/>
      <c r="H712" s="15"/>
      <c r="I712" s="16" t="s">
        <v>2671</v>
      </c>
      <c r="J712" s="15"/>
      <c r="K712" s="15"/>
      <c r="L712" s="233" t="s">
        <v>339</v>
      </c>
      <c r="M712" s="16"/>
      <c r="N712" s="233" t="s">
        <v>2672</v>
      </c>
      <c r="O712" s="16" t="s">
        <v>2673</v>
      </c>
      <c r="P712" s="219" t="s">
        <v>363</v>
      </c>
      <c r="Q712" s="222" t="s">
        <v>2674</v>
      </c>
    </row>
    <row r="713" spans="1:17" ht="30" x14ac:dyDescent="0.2">
      <c r="A713" s="15">
        <v>710</v>
      </c>
      <c r="B713" s="15">
        <v>1729</v>
      </c>
      <c r="C713" s="232" t="s">
        <v>2675</v>
      </c>
      <c r="D713" s="16" t="s">
        <v>796</v>
      </c>
      <c r="E713" s="17" t="s">
        <v>20</v>
      </c>
      <c r="F713" s="15"/>
      <c r="G713" s="15"/>
      <c r="H713" s="15"/>
      <c r="I713" s="16" t="s">
        <v>2676</v>
      </c>
      <c r="J713" s="15"/>
      <c r="K713" s="15"/>
      <c r="L713" s="233" t="s">
        <v>339</v>
      </c>
      <c r="M713" s="16"/>
      <c r="N713" s="233" t="s">
        <v>2677</v>
      </c>
      <c r="O713" s="16" t="s">
        <v>24</v>
      </c>
      <c r="P713" s="219" t="s">
        <v>24</v>
      </c>
      <c r="Q713" s="221" t="s">
        <v>2678</v>
      </c>
    </row>
    <row r="714" spans="1:17" ht="30" x14ac:dyDescent="0.2">
      <c r="A714" s="15">
        <v>711</v>
      </c>
      <c r="B714" s="15">
        <v>1730</v>
      </c>
      <c r="C714" s="232" t="s">
        <v>2679</v>
      </c>
      <c r="D714" s="16" t="s">
        <v>1106</v>
      </c>
      <c r="E714" s="17" t="s">
        <v>28</v>
      </c>
      <c r="F714" s="15"/>
      <c r="G714" s="15"/>
      <c r="H714" s="15"/>
      <c r="I714" s="16" t="s">
        <v>2680</v>
      </c>
      <c r="J714" s="15"/>
      <c r="K714" s="15"/>
      <c r="L714" s="233" t="s">
        <v>1103</v>
      </c>
      <c r="M714" s="16"/>
      <c r="N714" s="233" t="s">
        <v>2681</v>
      </c>
      <c r="O714" s="16" t="s">
        <v>363</v>
      </c>
      <c r="P714" s="219" t="s">
        <v>363</v>
      </c>
      <c r="Q714" s="222" t="s">
        <v>2682</v>
      </c>
    </row>
    <row r="715" spans="1:17" ht="30" x14ac:dyDescent="0.2">
      <c r="A715" s="15">
        <v>712</v>
      </c>
      <c r="B715" s="15">
        <v>1749</v>
      </c>
      <c r="C715" s="232" t="s">
        <v>2683</v>
      </c>
      <c r="D715" s="16" t="s">
        <v>2621</v>
      </c>
      <c r="E715" s="17" t="s">
        <v>28</v>
      </c>
      <c r="F715" s="15"/>
      <c r="G715" s="15"/>
      <c r="H715" s="15"/>
      <c r="I715" s="16" t="s">
        <v>2684</v>
      </c>
      <c r="J715" s="15"/>
      <c r="K715" s="15"/>
      <c r="L715" s="233"/>
      <c r="M715" s="16"/>
      <c r="N715" s="233" t="s">
        <v>2685</v>
      </c>
      <c r="O715" s="16" t="s">
        <v>24</v>
      </c>
      <c r="P715" s="219" t="s">
        <v>24</v>
      </c>
      <c r="Q715" s="221" t="s">
        <v>2686</v>
      </c>
    </row>
    <row r="716" spans="1:17" ht="30" x14ac:dyDescent="0.2">
      <c r="A716" s="15">
        <v>713</v>
      </c>
      <c r="B716" s="15">
        <v>1752</v>
      </c>
      <c r="C716" s="232" t="s">
        <v>2687</v>
      </c>
      <c r="D716" s="16" t="s">
        <v>166</v>
      </c>
      <c r="E716" s="17" t="s">
        <v>20</v>
      </c>
      <c r="F716" s="15"/>
      <c r="G716" s="15"/>
      <c r="H716" s="15"/>
      <c r="I716" s="16" t="s">
        <v>2688</v>
      </c>
      <c r="J716" s="15"/>
      <c r="K716" s="15"/>
      <c r="L716" s="233" t="s">
        <v>339</v>
      </c>
      <c r="M716" s="16"/>
      <c r="N716" s="233" t="s">
        <v>2689</v>
      </c>
      <c r="O716" s="16" t="s">
        <v>24</v>
      </c>
      <c r="P716" s="219" t="s">
        <v>47</v>
      </c>
      <c r="Q716" s="222" t="s">
        <v>2690</v>
      </c>
    </row>
    <row r="717" spans="1:17" ht="30" x14ac:dyDescent="0.2">
      <c r="A717" s="15">
        <v>714</v>
      </c>
      <c r="B717" s="15">
        <v>1757</v>
      </c>
      <c r="C717" s="232" t="s">
        <v>2691</v>
      </c>
      <c r="D717" s="16" t="s">
        <v>166</v>
      </c>
      <c r="E717" s="17" t="s">
        <v>20</v>
      </c>
      <c r="F717" s="15"/>
      <c r="G717" s="15"/>
      <c r="H717" s="15"/>
      <c r="I717" s="16" t="s">
        <v>2692</v>
      </c>
      <c r="J717" s="15"/>
      <c r="K717" s="15"/>
      <c r="L717" s="233" t="s">
        <v>634</v>
      </c>
      <c r="M717" s="16"/>
      <c r="N717" s="233" t="s">
        <v>2693</v>
      </c>
      <c r="O717" s="16" t="s">
        <v>24</v>
      </c>
      <c r="P717" s="219" t="s">
        <v>24</v>
      </c>
      <c r="Q717" s="221" t="s">
        <v>2694</v>
      </c>
    </row>
    <row r="718" spans="1:17" ht="30" x14ac:dyDescent="0.2">
      <c r="A718" s="15">
        <v>715</v>
      </c>
      <c r="B718" s="15">
        <v>1758</v>
      </c>
      <c r="C718" s="232" t="s">
        <v>2695</v>
      </c>
      <c r="D718" s="16" t="s">
        <v>98</v>
      </c>
      <c r="E718" s="17" t="s">
        <v>20</v>
      </c>
      <c r="F718" s="15"/>
      <c r="G718" s="15"/>
      <c r="H718" s="15"/>
      <c r="I718" s="16" t="s">
        <v>2696</v>
      </c>
      <c r="J718" s="15"/>
      <c r="K718" s="15"/>
      <c r="L718" s="233"/>
      <c r="M718" s="16"/>
      <c r="N718" s="233" t="s">
        <v>2697</v>
      </c>
      <c r="O718" s="16" t="s">
        <v>24</v>
      </c>
      <c r="P718" s="219" t="s">
        <v>24</v>
      </c>
      <c r="Q718" s="222" t="s">
        <v>2698</v>
      </c>
    </row>
    <row r="719" spans="1:17" ht="30" x14ac:dyDescent="0.2">
      <c r="A719" s="15">
        <v>716</v>
      </c>
      <c r="B719" s="15">
        <v>1762</v>
      </c>
      <c r="C719" s="232" t="s">
        <v>2699</v>
      </c>
      <c r="D719" s="16" t="s">
        <v>1472</v>
      </c>
      <c r="E719" s="17" t="s">
        <v>28</v>
      </c>
      <c r="F719" s="15"/>
      <c r="G719" s="15"/>
      <c r="H719" s="15"/>
      <c r="I719" s="16" t="s">
        <v>540</v>
      </c>
      <c r="J719" s="15"/>
      <c r="K719" s="15"/>
      <c r="L719" s="233" t="s">
        <v>589</v>
      </c>
      <c r="M719" s="16"/>
      <c r="N719" s="233" t="s">
        <v>542</v>
      </c>
      <c r="O719" s="16" t="s">
        <v>24</v>
      </c>
      <c r="P719" s="219" t="s">
        <v>24</v>
      </c>
      <c r="Q719" s="221" t="s">
        <v>2700</v>
      </c>
    </row>
    <row r="720" spans="1:17" ht="30" x14ac:dyDescent="0.2">
      <c r="A720" s="15">
        <v>717</v>
      </c>
      <c r="B720" s="15">
        <v>1768</v>
      </c>
      <c r="C720" s="232" t="s">
        <v>2701</v>
      </c>
      <c r="D720" s="16" t="s">
        <v>611</v>
      </c>
      <c r="E720" s="17" t="s">
        <v>20</v>
      </c>
      <c r="F720" s="15"/>
      <c r="G720" s="15"/>
      <c r="H720" s="15"/>
      <c r="I720" s="16" t="s">
        <v>689</v>
      </c>
      <c r="J720" s="15"/>
      <c r="K720" s="15"/>
      <c r="L720" s="233" t="s">
        <v>792</v>
      </c>
      <c r="M720" s="16"/>
      <c r="N720" s="233" t="s">
        <v>690</v>
      </c>
      <c r="O720" s="16" t="s">
        <v>24</v>
      </c>
      <c r="P720" s="219" t="s">
        <v>1096</v>
      </c>
      <c r="Q720" s="222" t="s">
        <v>2702</v>
      </c>
    </row>
    <row r="721" spans="1:17" ht="30" x14ac:dyDescent="0.2">
      <c r="A721" s="15">
        <v>718</v>
      </c>
      <c r="B721" s="15">
        <v>1776</v>
      </c>
      <c r="C721" s="232" t="s">
        <v>2703</v>
      </c>
      <c r="D721" s="16" t="s">
        <v>466</v>
      </c>
      <c r="E721" s="17" t="s">
        <v>42</v>
      </c>
      <c r="F721" s="15"/>
      <c r="G721" s="15"/>
      <c r="H721" s="15"/>
      <c r="I721" s="16" t="s">
        <v>1473</v>
      </c>
      <c r="J721" s="15"/>
      <c r="K721" s="15"/>
      <c r="L721" s="233" t="s">
        <v>339</v>
      </c>
      <c r="M721" s="16"/>
      <c r="N721" s="233" t="s">
        <v>2704</v>
      </c>
      <c r="O721" s="16" t="s">
        <v>24</v>
      </c>
      <c r="P721" s="219" t="s">
        <v>24</v>
      </c>
      <c r="Q721" s="221" t="s">
        <v>2705</v>
      </c>
    </row>
    <row r="722" spans="1:17" ht="30" x14ac:dyDescent="0.2">
      <c r="A722" s="15">
        <v>719</v>
      </c>
      <c r="B722" s="15">
        <v>1781</v>
      </c>
      <c r="C722" s="232" t="s">
        <v>2706</v>
      </c>
      <c r="D722" s="16" t="s">
        <v>2707</v>
      </c>
      <c r="E722" s="17" t="s">
        <v>28</v>
      </c>
      <c r="F722" s="15"/>
      <c r="G722" s="15"/>
      <c r="H722" s="15"/>
      <c r="I722" s="16" t="s">
        <v>2708</v>
      </c>
      <c r="J722" s="15"/>
      <c r="K722" s="15"/>
      <c r="L722" s="233"/>
      <c r="M722" s="16"/>
      <c r="N722" s="233" t="s">
        <v>2709</v>
      </c>
      <c r="O722" s="16" t="s">
        <v>24</v>
      </c>
      <c r="P722" s="219" t="s">
        <v>24</v>
      </c>
      <c r="Q722" s="222" t="s">
        <v>2710</v>
      </c>
    </row>
    <row r="723" spans="1:17" ht="30" x14ac:dyDescent="0.2">
      <c r="A723" s="15">
        <v>720</v>
      </c>
      <c r="B723" s="15">
        <v>1784</v>
      </c>
      <c r="C723" s="232" t="s">
        <v>2711</v>
      </c>
      <c r="D723" s="16" t="s">
        <v>98</v>
      </c>
      <c r="E723" s="17" t="s">
        <v>20</v>
      </c>
      <c r="F723" s="15"/>
      <c r="G723" s="15"/>
      <c r="H723" s="15"/>
      <c r="I723" s="16" t="s">
        <v>2712</v>
      </c>
      <c r="J723" s="15"/>
      <c r="K723" s="15"/>
      <c r="L723" s="233" t="s">
        <v>339</v>
      </c>
      <c r="M723" s="16"/>
      <c r="N723" s="233" t="s">
        <v>2713</v>
      </c>
      <c r="O723" s="16" t="s">
        <v>24</v>
      </c>
      <c r="P723" s="219" t="s">
        <v>47</v>
      </c>
      <c r="Q723" s="221" t="s">
        <v>2714</v>
      </c>
    </row>
    <row r="724" spans="1:17" x14ac:dyDescent="0.2">
      <c r="A724" s="15">
        <v>721</v>
      </c>
      <c r="B724" s="15">
        <v>1791</v>
      </c>
      <c r="C724" s="232" t="s">
        <v>2715</v>
      </c>
      <c r="D724" s="16" t="s">
        <v>2716</v>
      </c>
      <c r="E724" s="17" t="s">
        <v>20</v>
      </c>
      <c r="F724" s="15"/>
      <c r="G724" s="15"/>
      <c r="H724" s="15"/>
      <c r="I724" s="16" t="s">
        <v>2717</v>
      </c>
      <c r="J724" s="15"/>
      <c r="K724" s="15"/>
      <c r="L724" s="233" t="s">
        <v>339</v>
      </c>
      <c r="M724" s="16"/>
      <c r="N724" s="233" t="s">
        <v>2718</v>
      </c>
      <c r="O724" s="16" t="s">
        <v>47</v>
      </c>
      <c r="P724" s="219" t="s">
        <v>47</v>
      </c>
      <c r="Q724" s="222" t="s">
        <v>2719</v>
      </c>
    </row>
    <row r="725" spans="1:17" ht="30" x14ac:dyDescent="0.2">
      <c r="A725" s="15">
        <v>722</v>
      </c>
      <c r="B725" s="15">
        <v>1822</v>
      </c>
      <c r="C725" s="232" t="s">
        <v>2720</v>
      </c>
      <c r="D725" s="16" t="s">
        <v>376</v>
      </c>
      <c r="E725" s="17" t="s">
        <v>20</v>
      </c>
      <c r="F725" s="15"/>
      <c r="G725" s="15"/>
      <c r="H725" s="15"/>
      <c r="I725" s="16" t="s">
        <v>2721</v>
      </c>
      <c r="J725" s="15"/>
      <c r="K725" s="15"/>
      <c r="L725" s="233" t="s">
        <v>339</v>
      </c>
      <c r="M725" s="16"/>
      <c r="N725" s="233" t="s">
        <v>2722</v>
      </c>
      <c r="O725" s="16" t="s">
        <v>24</v>
      </c>
      <c r="P725" s="219" t="s">
        <v>47</v>
      </c>
      <c r="Q725" s="221" t="s">
        <v>2723</v>
      </c>
    </row>
    <row r="726" spans="1:17" ht="30" x14ac:dyDescent="0.2">
      <c r="A726" s="15">
        <v>723</v>
      </c>
      <c r="B726" s="15">
        <v>1838</v>
      </c>
      <c r="C726" s="232" t="s">
        <v>2724</v>
      </c>
      <c r="D726" s="16" t="s">
        <v>916</v>
      </c>
      <c r="E726" s="17" t="s">
        <v>28</v>
      </c>
      <c r="F726" s="15"/>
      <c r="G726" s="15"/>
      <c r="H726" s="15"/>
      <c r="I726" s="16" t="s">
        <v>917</v>
      </c>
      <c r="J726" s="15"/>
      <c r="K726" s="15"/>
      <c r="L726" s="233" t="s">
        <v>792</v>
      </c>
      <c r="M726" s="16"/>
      <c r="N726" s="233" t="s">
        <v>919</v>
      </c>
      <c r="O726" s="16" t="s">
        <v>326</v>
      </c>
      <c r="P726" s="219" t="s">
        <v>47</v>
      </c>
      <c r="Q726" s="222" t="s">
        <v>2725</v>
      </c>
    </row>
    <row r="727" spans="1:17" ht="30" x14ac:dyDescent="0.2">
      <c r="A727" s="15">
        <v>724</v>
      </c>
      <c r="B727" s="15">
        <v>1848</v>
      </c>
      <c r="C727" s="232" t="s">
        <v>2726</v>
      </c>
      <c r="D727" s="16" t="s">
        <v>41</v>
      </c>
      <c r="E727" s="17" t="s">
        <v>20</v>
      </c>
      <c r="F727" s="15"/>
      <c r="G727" s="15"/>
      <c r="H727" s="15"/>
      <c r="I727" s="16" t="s">
        <v>2727</v>
      </c>
      <c r="J727" s="15"/>
      <c r="K727" s="15"/>
      <c r="L727" s="233" t="s">
        <v>339</v>
      </c>
      <c r="M727" s="16"/>
      <c r="N727" s="233" t="s">
        <v>2728</v>
      </c>
      <c r="O727" s="16" t="s">
        <v>24</v>
      </c>
      <c r="P727" s="219" t="s">
        <v>47</v>
      </c>
      <c r="Q727" s="221" t="s">
        <v>2729</v>
      </c>
    </row>
    <row r="728" spans="1:17" ht="45" x14ac:dyDescent="0.2">
      <c r="A728" s="15">
        <v>725</v>
      </c>
      <c r="B728" s="15">
        <v>1851</v>
      </c>
      <c r="C728" s="232" t="s">
        <v>2730</v>
      </c>
      <c r="D728" s="16" t="s">
        <v>1037</v>
      </c>
      <c r="E728" s="17" t="s">
        <v>42</v>
      </c>
      <c r="F728" s="15"/>
      <c r="G728" s="15"/>
      <c r="H728" s="15"/>
      <c r="I728" s="16" t="s">
        <v>2731</v>
      </c>
      <c r="J728" s="15"/>
      <c r="K728" s="15"/>
      <c r="L728" s="233" t="s">
        <v>1772</v>
      </c>
      <c r="M728" s="16"/>
      <c r="N728" s="233" t="s">
        <v>2732</v>
      </c>
      <c r="O728" s="16" t="s">
        <v>2733</v>
      </c>
      <c r="P728" s="219" t="s">
        <v>24</v>
      </c>
      <c r="Q728" s="222" t="s">
        <v>2734</v>
      </c>
    </row>
    <row r="729" spans="1:17" ht="30" x14ac:dyDescent="0.2">
      <c r="A729" s="15">
        <v>726</v>
      </c>
      <c r="B729" s="15">
        <v>1854</v>
      </c>
      <c r="C729" s="232" t="s">
        <v>2735</v>
      </c>
      <c r="D729" s="16" t="s">
        <v>1009</v>
      </c>
      <c r="E729" s="17" t="s">
        <v>20</v>
      </c>
      <c r="F729" s="15"/>
      <c r="G729" s="15"/>
      <c r="H729" s="15"/>
      <c r="I729" s="16" t="s">
        <v>2736</v>
      </c>
      <c r="J729" s="15"/>
      <c r="K729" s="15"/>
      <c r="L729" s="233" t="s">
        <v>188</v>
      </c>
      <c r="M729" s="16"/>
      <c r="N729" s="233" t="s">
        <v>2737</v>
      </c>
      <c r="O729" s="16" t="s">
        <v>24</v>
      </c>
      <c r="P729" s="219" t="s">
        <v>47</v>
      </c>
      <c r="Q729" s="221" t="s">
        <v>2738</v>
      </c>
    </row>
    <row r="730" spans="1:17" ht="30" x14ac:dyDescent="0.2">
      <c r="A730" s="15">
        <v>727</v>
      </c>
      <c r="B730" s="15">
        <v>1856</v>
      </c>
      <c r="C730" s="232" t="s">
        <v>2739</v>
      </c>
      <c r="D730" s="16" t="s">
        <v>466</v>
      </c>
      <c r="E730" s="17" t="s">
        <v>28</v>
      </c>
      <c r="F730" s="15"/>
      <c r="G730" s="15"/>
      <c r="H730" s="15"/>
      <c r="I730" s="16" t="s">
        <v>2740</v>
      </c>
      <c r="J730" s="15"/>
      <c r="K730" s="15"/>
      <c r="L730" s="233" t="s">
        <v>339</v>
      </c>
      <c r="M730" s="16"/>
      <c r="N730" s="233" t="s">
        <v>2741</v>
      </c>
      <c r="O730" s="16" t="s">
        <v>24</v>
      </c>
      <c r="P730" s="219" t="s">
        <v>24</v>
      </c>
      <c r="Q730" s="222" t="s">
        <v>2742</v>
      </c>
    </row>
    <row r="731" spans="1:17" ht="30" x14ac:dyDescent="0.2">
      <c r="A731" s="15">
        <v>728</v>
      </c>
      <c r="B731" s="15">
        <v>1861</v>
      </c>
      <c r="C731" s="232" t="s">
        <v>2743</v>
      </c>
      <c r="D731" s="16" t="s">
        <v>283</v>
      </c>
      <c r="E731" s="17" t="s">
        <v>28</v>
      </c>
      <c r="F731" s="15"/>
      <c r="G731" s="15"/>
      <c r="H731" s="15"/>
      <c r="I731" s="16" t="s">
        <v>2744</v>
      </c>
      <c r="J731" s="15"/>
      <c r="K731" s="15"/>
      <c r="L731" s="233" t="s">
        <v>339</v>
      </c>
      <c r="M731" s="16"/>
      <c r="N731" s="233" t="s">
        <v>2745</v>
      </c>
      <c r="O731" s="16" t="s">
        <v>24</v>
      </c>
      <c r="P731" s="219" t="s">
        <v>24</v>
      </c>
      <c r="Q731" s="221" t="s">
        <v>2746</v>
      </c>
    </row>
    <row r="732" spans="1:17" ht="30" x14ac:dyDescent="0.2">
      <c r="A732" s="15">
        <v>729</v>
      </c>
      <c r="B732" s="15">
        <v>1863</v>
      </c>
      <c r="C732" s="232" t="s">
        <v>2747</v>
      </c>
      <c r="D732" s="16" t="s">
        <v>660</v>
      </c>
      <c r="E732" s="17" t="s">
        <v>20</v>
      </c>
      <c r="F732" s="15"/>
      <c r="G732" s="15"/>
      <c r="H732" s="15"/>
      <c r="I732" s="16" t="s">
        <v>2748</v>
      </c>
      <c r="J732" s="15"/>
      <c r="K732" s="15"/>
      <c r="L732" s="233" t="s">
        <v>339</v>
      </c>
      <c r="M732" s="16"/>
      <c r="N732" s="233" t="s">
        <v>2749</v>
      </c>
      <c r="O732" s="16" t="s">
        <v>24</v>
      </c>
      <c r="P732" s="219" t="s">
        <v>47</v>
      </c>
      <c r="Q732" s="222" t="s">
        <v>2750</v>
      </c>
    </row>
    <row r="733" spans="1:17" ht="30" x14ac:dyDescent="0.2">
      <c r="A733" s="15">
        <v>730</v>
      </c>
      <c r="B733" s="15">
        <v>1868</v>
      </c>
      <c r="C733" s="232" t="s">
        <v>2751</v>
      </c>
      <c r="D733" s="16" t="s">
        <v>84</v>
      </c>
      <c r="E733" s="17" t="s">
        <v>28</v>
      </c>
      <c r="F733" s="15"/>
      <c r="G733" s="15"/>
      <c r="H733" s="15"/>
      <c r="I733" s="16" t="s">
        <v>689</v>
      </c>
      <c r="J733" s="15"/>
      <c r="K733" s="15"/>
      <c r="L733" s="233" t="s">
        <v>589</v>
      </c>
      <c r="M733" s="16"/>
      <c r="N733" s="233" t="s">
        <v>690</v>
      </c>
      <c r="O733" s="16" t="s">
        <v>24</v>
      </c>
      <c r="P733" s="219" t="s">
        <v>1096</v>
      </c>
      <c r="Q733" s="221" t="s">
        <v>2752</v>
      </c>
    </row>
    <row r="734" spans="1:17" ht="30" x14ac:dyDescent="0.2">
      <c r="A734" s="15">
        <v>731</v>
      </c>
      <c r="B734" s="15">
        <v>1870</v>
      </c>
      <c r="C734" s="232" t="s">
        <v>2753</v>
      </c>
      <c r="D734" s="16" t="s">
        <v>512</v>
      </c>
      <c r="E734" s="17" t="s">
        <v>28</v>
      </c>
      <c r="F734" s="15"/>
      <c r="G734" s="15"/>
      <c r="H734" s="15"/>
      <c r="I734" s="16" t="s">
        <v>512</v>
      </c>
      <c r="J734" s="15"/>
      <c r="K734" s="15"/>
      <c r="L734" s="233" t="s">
        <v>460</v>
      </c>
      <c r="M734" s="16"/>
      <c r="N734" s="233" t="s">
        <v>513</v>
      </c>
      <c r="O734" s="16" t="s">
        <v>65</v>
      </c>
      <c r="P734" s="219" t="s">
        <v>47</v>
      </c>
      <c r="Q734" s="222" t="s">
        <v>2754</v>
      </c>
    </row>
    <row r="735" spans="1:17" ht="30" x14ac:dyDescent="0.2">
      <c r="A735" s="15">
        <v>732</v>
      </c>
      <c r="B735" s="15">
        <v>1886</v>
      </c>
      <c r="C735" s="232" t="s">
        <v>2755</v>
      </c>
      <c r="D735" s="16" t="s">
        <v>283</v>
      </c>
      <c r="E735" s="17" t="s">
        <v>20</v>
      </c>
      <c r="F735" s="15"/>
      <c r="G735" s="15"/>
      <c r="H735" s="15"/>
      <c r="I735" s="16" t="s">
        <v>2756</v>
      </c>
      <c r="J735" s="15"/>
      <c r="K735" s="15"/>
      <c r="L735" s="233" t="s">
        <v>339</v>
      </c>
      <c r="M735" s="16"/>
      <c r="N735" s="233" t="s">
        <v>2757</v>
      </c>
      <c r="O735" s="16" t="s">
        <v>341</v>
      </c>
      <c r="P735" s="219" t="s">
        <v>47</v>
      </c>
      <c r="Q735" s="221" t="s">
        <v>2758</v>
      </c>
    </row>
    <row r="736" spans="1:17" ht="30" x14ac:dyDescent="0.2">
      <c r="A736" s="15">
        <v>733</v>
      </c>
      <c r="B736" s="15">
        <v>1888</v>
      </c>
      <c r="C736" s="232" t="s">
        <v>2759</v>
      </c>
      <c r="D736" s="16" t="s">
        <v>1873</v>
      </c>
      <c r="E736" s="17" t="s">
        <v>28</v>
      </c>
      <c r="F736" s="15"/>
      <c r="G736" s="15"/>
      <c r="H736" s="15"/>
      <c r="I736" s="16" t="s">
        <v>2760</v>
      </c>
      <c r="J736" s="15"/>
      <c r="K736" s="15"/>
      <c r="L736" s="233" t="s">
        <v>339</v>
      </c>
      <c r="M736" s="16"/>
      <c r="N736" s="233" t="s">
        <v>2761</v>
      </c>
      <c r="O736" s="16" t="s">
        <v>24</v>
      </c>
      <c r="P736" s="219" t="s">
        <v>24</v>
      </c>
      <c r="Q736" s="222" t="s">
        <v>2762</v>
      </c>
    </row>
    <row r="737" spans="1:17" ht="30" x14ac:dyDescent="0.2">
      <c r="A737" s="15">
        <v>734</v>
      </c>
      <c r="B737" s="15">
        <v>1895</v>
      </c>
      <c r="C737" s="232" t="s">
        <v>2763</v>
      </c>
      <c r="D737" s="16" t="s">
        <v>283</v>
      </c>
      <c r="E737" s="17" t="s">
        <v>28</v>
      </c>
      <c r="F737" s="15"/>
      <c r="G737" s="15"/>
      <c r="H737" s="15"/>
      <c r="I737" s="16" t="s">
        <v>2647</v>
      </c>
      <c r="J737" s="15"/>
      <c r="K737" s="15"/>
      <c r="L737" s="233" t="s">
        <v>339</v>
      </c>
      <c r="M737" s="16"/>
      <c r="N737" s="233" t="s">
        <v>2764</v>
      </c>
      <c r="O737" s="16" t="s">
        <v>1175</v>
      </c>
      <c r="P737" s="219" t="s">
        <v>341</v>
      </c>
      <c r="Q737" s="221" t="s">
        <v>2765</v>
      </c>
    </row>
    <row r="738" spans="1:17" ht="30" x14ac:dyDescent="0.2">
      <c r="A738" s="15">
        <v>735</v>
      </c>
      <c r="B738" s="15">
        <v>1899</v>
      </c>
      <c r="C738" s="232" t="s">
        <v>2766</v>
      </c>
      <c r="D738" s="16" t="s">
        <v>318</v>
      </c>
      <c r="E738" s="17" t="s">
        <v>28</v>
      </c>
      <c r="F738" s="15"/>
      <c r="G738" s="15"/>
      <c r="H738" s="15"/>
      <c r="I738" s="16" t="s">
        <v>2767</v>
      </c>
      <c r="J738" s="15"/>
      <c r="K738" s="15"/>
      <c r="L738" s="233" t="s">
        <v>1772</v>
      </c>
      <c r="M738" s="16"/>
      <c r="N738" s="233" t="s">
        <v>2768</v>
      </c>
      <c r="O738" s="16" t="s">
        <v>24</v>
      </c>
      <c r="P738" s="219" t="s">
        <v>47</v>
      </c>
      <c r="Q738" s="222" t="s">
        <v>2769</v>
      </c>
    </row>
    <row r="739" spans="1:17" ht="30" x14ac:dyDescent="0.2">
      <c r="A739" s="15">
        <v>736</v>
      </c>
      <c r="B739" s="15">
        <v>1901</v>
      </c>
      <c r="C739" s="232" t="s">
        <v>2770</v>
      </c>
      <c r="D739" s="16" t="s">
        <v>416</v>
      </c>
      <c r="E739" s="17" t="s">
        <v>28</v>
      </c>
      <c r="F739" s="15"/>
      <c r="G739" s="15"/>
      <c r="H739" s="15"/>
      <c r="I739" s="16" t="s">
        <v>2771</v>
      </c>
      <c r="J739" s="15"/>
      <c r="K739" s="15"/>
      <c r="L739" s="233" t="s">
        <v>339</v>
      </c>
      <c r="M739" s="16"/>
      <c r="N739" s="233" t="s">
        <v>2772</v>
      </c>
      <c r="O739" s="16" t="s">
        <v>2773</v>
      </c>
      <c r="P739" s="219" t="s">
        <v>47</v>
      </c>
      <c r="Q739" s="221" t="s">
        <v>2774</v>
      </c>
    </row>
    <row r="740" spans="1:17" ht="30" x14ac:dyDescent="0.2">
      <c r="A740" s="15">
        <v>737</v>
      </c>
      <c r="B740" s="15">
        <v>1903</v>
      </c>
      <c r="C740" s="232" t="s">
        <v>2775</v>
      </c>
      <c r="D740" s="16" t="s">
        <v>98</v>
      </c>
      <c r="E740" s="17" t="s">
        <v>20</v>
      </c>
      <c r="F740" s="15"/>
      <c r="G740" s="15"/>
      <c r="H740" s="15"/>
      <c r="I740" s="16" t="s">
        <v>2776</v>
      </c>
      <c r="J740" s="15"/>
      <c r="K740" s="15"/>
      <c r="L740" s="233" t="s">
        <v>339</v>
      </c>
      <c r="M740" s="16"/>
      <c r="N740" s="233" t="s">
        <v>2777</v>
      </c>
      <c r="O740" s="16" t="s">
        <v>24</v>
      </c>
      <c r="P740" s="219" t="s">
        <v>47</v>
      </c>
      <c r="Q740" s="222" t="s">
        <v>2778</v>
      </c>
    </row>
    <row r="741" spans="1:17" ht="30" x14ac:dyDescent="0.2">
      <c r="A741" s="15">
        <v>738</v>
      </c>
      <c r="B741" s="15">
        <v>1907</v>
      </c>
      <c r="C741" s="232" t="s">
        <v>2779</v>
      </c>
      <c r="D741" s="16" t="s">
        <v>796</v>
      </c>
      <c r="E741" s="17" t="s">
        <v>28</v>
      </c>
      <c r="F741" s="15"/>
      <c r="G741" s="15"/>
      <c r="H741" s="15"/>
      <c r="I741" s="16" t="s">
        <v>2780</v>
      </c>
      <c r="J741" s="15"/>
      <c r="K741" s="15"/>
      <c r="L741" s="233" t="s">
        <v>339</v>
      </c>
      <c r="M741" s="16"/>
      <c r="N741" s="233" t="s">
        <v>2781</v>
      </c>
      <c r="O741" s="16" t="s">
        <v>24</v>
      </c>
      <c r="P741" s="219" t="s">
        <v>47</v>
      </c>
      <c r="Q741" s="221" t="s">
        <v>2782</v>
      </c>
    </row>
    <row r="742" spans="1:17" ht="30" x14ac:dyDescent="0.2">
      <c r="A742" s="15">
        <v>739</v>
      </c>
      <c r="B742" s="15">
        <v>1914</v>
      </c>
      <c r="C742" s="232" t="s">
        <v>2783</v>
      </c>
      <c r="D742" s="16" t="s">
        <v>2784</v>
      </c>
      <c r="E742" s="17" t="s">
        <v>28</v>
      </c>
      <c r="F742" s="15"/>
      <c r="G742" s="15"/>
      <c r="H742" s="15"/>
      <c r="I742" s="16" t="s">
        <v>2785</v>
      </c>
      <c r="J742" s="15"/>
      <c r="K742" s="15"/>
      <c r="L742" s="233" t="s">
        <v>339</v>
      </c>
      <c r="M742" s="16"/>
      <c r="N742" s="233" t="s">
        <v>2786</v>
      </c>
      <c r="O742" s="16" t="s">
        <v>24</v>
      </c>
      <c r="P742" s="219" t="s">
        <v>24</v>
      </c>
      <c r="Q742" s="222" t="s">
        <v>2787</v>
      </c>
    </row>
    <row r="743" spans="1:17" ht="30" x14ac:dyDescent="0.2">
      <c r="A743" s="15">
        <v>740</v>
      </c>
      <c r="B743" s="15">
        <v>1920</v>
      </c>
      <c r="C743" s="232" t="s">
        <v>2788</v>
      </c>
      <c r="D743" s="16" t="s">
        <v>166</v>
      </c>
      <c r="E743" s="17" t="s">
        <v>20</v>
      </c>
      <c r="F743" s="15"/>
      <c r="G743" s="15"/>
      <c r="H743" s="15"/>
      <c r="I743" s="16" t="s">
        <v>2789</v>
      </c>
      <c r="J743" s="15"/>
      <c r="K743" s="15"/>
      <c r="L743" s="233" t="s">
        <v>339</v>
      </c>
      <c r="M743" s="16"/>
      <c r="N743" s="233" t="s">
        <v>2790</v>
      </c>
      <c r="O743" s="16" t="s">
        <v>24</v>
      </c>
      <c r="P743" s="219" t="s">
        <v>47</v>
      </c>
      <c r="Q743" s="221" t="s">
        <v>2791</v>
      </c>
    </row>
    <row r="744" spans="1:17" ht="30" x14ac:dyDescent="0.2">
      <c r="A744" s="15">
        <v>741</v>
      </c>
      <c r="B744" s="15">
        <v>1922</v>
      </c>
      <c r="C744" s="232" t="s">
        <v>2792</v>
      </c>
      <c r="D744" s="16" t="s">
        <v>62</v>
      </c>
      <c r="E744" s="17" t="s">
        <v>28</v>
      </c>
      <c r="F744" s="15"/>
      <c r="G744" s="15"/>
      <c r="H744" s="15"/>
      <c r="I744" s="16" t="s">
        <v>2793</v>
      </c>
      <c r="J744" s="15"/>
      <c r="K744" s="15"/>
      <c r="L744" s="233" t="s">
        <v>183</v>
      </c>
      <c r="M744" s="16"/>
      <c r="N744" s="233" t="s">
        <v>2794</v>
      </c>
      <c r="O744" s="16" t="s">
        <v>24</v>
      </c>
      <c r="P744" s="219" t="s">
        <v>24</v>
      </c>
      <c r="Q744" s="222" t="s">
        <v>2795</v>
      </c>
    </row>
    <row r="745" spans="1:17" ht="30" x14ac:dyDescent="0.2">
      <c r="A745" s="15">
        <v>742</v>
      </c>
      <c r="B745" s="15">
        <v>1929</v>
      </c>
      <c r="C745" s="232" t="s">
        <v>2796</v>
      </c>
      <c r="D745" s="16" t="s">
        <v>166</v>
      </c>
      <c r="E745" s="17" t="s">
        <v>20</v>
      </c>
      <c r="F745" s="15"/>
      <c r="G745" s="15"/>
      <c r="H745" s="15"/>
      <c r="I745" s="16" t="s">
        <v>652</v>
      </c>
      <c r="J745" s="15"/>
      <c r="K745" s="15"/>
      <c r="L745" s="233" t="s">
        <v>183</v>
      </c>
      <c r="M745" s="16"/>
      <c r="N745" s="233" t="s">
        <v>654</v>
      </c>
      <c r="O745" s="16" t="s">
        <v>24</v>
      </c>
      <c r="P745" s="219" t="s">
        <v>1100</v>
      </c>
      <c r="Q745" s="221" t="s">
        <v>2797</v>
      </c>
    </row>
    <row r="746" spans="1:17" ht="30" x14ac:dyDescent="0.2">
      <c r="A746" s="15">
        <v>743</v>
      </c>
      <c r="B746" s="15">
        <v>1934</v>
      </c>
      <c r="C746" s="232" t="s">
        <v>2798</v>
      </c>
      <c r="D746" s="16" t="s">
        <v>796</v>
      </c>
      <c r="E746" s="17" t="s">
        <v>28</v>
      </c>
      <c r="F746" s="15"/>
      <c r="G746" s="15"/>
      <c r="H746" s="15"/>
      <c r="I746" s="16" t="s">
        <v>2799</v>
      </c>
      <c r="J746" s="15"/>
      <c r="K746" s="15"/>
      <c r="L746" s="233" t="s">
        <v>339</v>
      </c>
      <c r="M746" s="16"/>
      <c r="N746" s="233" t="s">
        <v>2800</v>
      </c>
      <c r="O746" s="16" t="s">
        <v>24</v>
      </c>
      <c r="P746" s="219" t="s">
        <v>24</v>
      </c>
      <c r="Q746" s="222" t="s">
        <v>2801</v>
      </c>
    </row>
    <row r="747" spans="1:17" ht="30" x14ac:dyDescent="0.2">
      <c r="A747" s="15">
        <v>744</v>
      </c>
      <c r="B747" s="15">
        <v>1944</v>
      </c>
      <c r="C747" s="232" t="s">
        <v>2802</v>
      </c>
      <c r="D747" s="16" t="s">
        <v>1472</v>
      </c>
      <c r="E747" s="17" t="s">
        <v>42</v>
      </c>
      <c r="F747" s="15"/>
      <c r="G747" s="15"/>
      <c r="H747" s="15"/>
      <c r="I747" s="16" t="s">
        <v>1473</v>
      </c>
      <c r="J747" s="15"/>
      <c r="K747" s="15"/>
      <c r="L747" s="233" t="s">
        <v>339</v>
      </c>
      <c r="M747" s="16"/>
      <c r="N747" s="233" t="s">
        <v>2803</v>
      </c>
      <c r="O747" s="16" t="s">
        <v>24</v>
      </c>
      <c r="P747" s="219" t="s">
        <v>24</v>
      </c>
      <c r="Q747" s="221" t="s">
        <v>2804</v>
      </c>
    </row>
    <row r="748" spans="1:17" ht="30" x14ac:dyDescent="0.2">
      <c r="A748" s="15">
        <v>745</v>
      </c>
      <c r="B748" s="15">
        <v>1953</v>
      </c>
      <c r="C748" s="232" t="s">
        <v>2805</v>
      </c>
      <c r="D748" s="16" t="s">
        <v>318</v>
      </c>
      <c r="E748" s="17" t="s">
        <v>28</v>
      </c>
      <c r="F748" s="15"/>
      <c r="G748" s="15"/>
      <c r="H748" s="15"/>
      <c r="I748" s="16" t="s">
        <v>2806</v>
      </c>
      <c r="J748" s="15"/>
      <c r="K748" s="15"/>
      <c r="L748" s="233" t="s">
        <v>339</v>
      </c>
      <c r="M748" s="16"/>
      <c r="N748" s="233" t="s">
        <v>2807</v>
      </c>
      <c r="O748" s="16" t="s">
        <v>24</v>
      </c>
      <c r="P748" s="219" t="s">
        <v>47</v>
      </c>
      <c r="Q748" s="222" t="s">
        <v>2808</v>
      </c>
    </row>
    <row r="749" spans="1:17" ht="30" x14ac:dyDescent="0.2">
      <c r="A749" s="15">
        <v>746</v>
      </c>
      <c r="B749" s="15">
        <v>1971</v>
      </c>
      <c r="C749" s="232" t="s">
        <v>2809</v>
      </c>
      <c r="D749" s="16" t="s">
        <v>1198</v>
      </c>
      <c r="E749" s="17" t="s">
        <v>20</v>
      </c>
      <c r="F749" s="15"/>
      <c r="G749" s="15"/>
      <c r="H749" s="15"/>
      <c r="I749" s="16" t="s">
        <v>2810</v>
      </c>
      <c r="J749" s="15"/>
      <c r="K749" s="15"/>
      <c r="L749" s="233" t="s">
        <v>339</v>
      </c>
      <c r="M749" s="16"/>
      <c r="N749" s="233" t="s">
        <v>2811</v>
      </c>
      <c r="O749" s="16" t="s">
        <v>24</v>
      </c>
      <c r="P749" s="219" t="s">
        <v>24</v>
      </c>
      <c r="Q749" s="221" t="s">
        <v>2812</v>
      </c>
    </row>
    <row r="750" spans="1:17" ht="30" x14ac:dyDescent="0.2">
      <c r="A750" s="15">
        <v>747</v>
      </c>
      <c r="B750" s="15">
        <v>1975</v>
      </c>
      <c r="C750" s="232" t="s">
        <v>2813</v>
      </c>
      <c r="D750" s="16" t="s">
        <v>283</v>
      </c>
      <c r="E750" s="17" t="s">
        <v>28</v>
      </c>
      <c r="F750" s="15"/>
      <c r="G750" s="15"/>
      <c r="H750" s="15"/>
      <c r="I750" s="16" t="s">
        <v>2814</v>
      </c>
      <c r="J750" s="15"/>
      <c r="K750" s="15"/>
      <c r="L750" s="233" t="s">
        <v>339</v>
      </c>
      <c r="M750" s="16"/>
      <c r="N750" s="233" t="s">
        <v>2815</v>
      </c>
      <c r="O750" s="16" t="s">
        <v>24</v>
      </c>
      <c r="P750" s="219" t="s">
        <v>24</v>
      </c>
      <c r="Q750" s="222" t="s">
        <v>2816</v>
      </c>
    </row>
    <row r="751" spans="1:17" ht="30" x14ac:dyDescent="0.2">
      <c r="A751" s="15">
        <v>748</v>
      </c>
      <c r="B751" s="15">
        <v>1980</v>
      </c>
      <c r="C751" s="232" t="s">
        <v>2817</v>
      </c>
      <c r="D751" s="16" t="s">
        <v>19</v>
      </c>
      <c r="E751" s="17" t="s">
        <v>28</v>
      </c>
      <c r="F751" s="15"/>
      <c r="G751" s="15"/>
      <c r="H751" s="15"/>
      <c r="I751" s="16" t="s">
        <v>2818</v>
      </c>
      <c r="J751" s="15"/>
      <c r="K751" s="15"/>
      <c r="L751" s="233" t="s">
        <v>339</v>
      </c>
      <c r="M751" s="16"/>
      <c r="N751" s="233" t="s">
        <v>2819</v>
      </c>
      <c r="O751" s="16" t="s">
        <v>341</v>
      </c>
      <c r="P751" s="219" t="s">
        <v>24</v>
      </c>
      <c r="Q751" s="221" t="s">
        <v>2820</v>
      </c>
    </row>
    <row r="752" spans="1:17" ht="30" x14ac:dyDescent="0.2">
      <c r="A752" s="15">
        <v>749</v>
      </c>
      <c r="B752" s="15">
        <v>2013</v>
      </c>
      <c r="C752" s="232" t="s">
        <v>2821</v>
      </c>
      <c r="D752" s="16" t="s">
        <v>2822</v>
      </c>
      <c r="E752" s="17" t="s">
        <v>28</v>
      </c>
      <c r="F752" s="15"/>
      <c r="G752" s="15"/>
      <c r="H752" s="15"/>
      <c r="I752" s="16" t="s">
        <v>2823</v>
      </c>
      <c r="J752" s="15"/>
      <c r="K752" s="15"/>
      <c r="L752" s="233" t="s">
        <v>1772</v>
      </c>
      <c r="M752" s="16"/>
      <c r="N752" s="233" t="s">
        <v>2824</v>
      </c>
      <c r="O752" s="16" t="s">
        <v>24</v>
      </c>
      <c r="P752" s="219" t="s">
        <v>24</v>
      </c>
      <c r="Q752" s="222" t="s">
        <v>2825</v>
      </c>
    </row>
    <row r="753" spans="1:17" ht="30" x14ac:dyDescent="0.2">
      <c r="A753" s="15">
        <v>750</v>
      </c>
      <c r="B753" s="15">
        <v>2023</v>
      </c>
      <c r="C753" s="232" t="s">
        <v>2826</v>
      </c>
      <c r="D753" s="16" t="s">
        <v>897</v>
      </c>
      <c r="E753" s="17" t="s">
        <v>28</v>
      </c>
      <c r="F753" s="15"/>
      <c r="G753" s="15"/>
      <c r="H753" s="15"/>
      <c r="I753" s="16" t="s">
        <v>748</v>
      </c>
      <c r="J753" s="15"/>
      <c r="K753" s="15"/>
      <c r="L753" s="233" t="s">
        <v>460</v>
      </c>
      <c r="M753" s="16"/>
      <c r="N753" s="233" t="s">
        <v>750</v>
      </c>
      <c r="O753" s="16" t="s">
        <v>24</v>
      </c>
      <c r="P753" s="219" t="s">
        <v>24</v>
      </c>
      <c r="Q753" s="221" t="s">
        <v>2827</v>
      </c>
    </row>
    <row r="754" spans="1:17" ht="30" x14ac:dyDescent="0.2">
      <c r="A754" s="15">
        <v>751</v>
      </c>
      <c r="B754" s="15">
        <v>2033</v>
      </c>
      <c r="C754" s="232" t="s">
        <v>2828</v>
      </c>
      <c r="D754" s="16" t="s">
        <v>376</v>
      </c>
      <c r="E754" s="17" t="s">
        <v>28</v>
      </c>
      <c r="F754" s="15"/>
      <c r="G754" s="15"/>
      <c r="H754" s="15"/>
      <c r="I754" s="16" t="s">
        <v>2829</v>
      </c>
      <c r="J754" s="15"/>
      <c r="K754" s="15"/>
      <c r="L754" s="233" t="s">
        <v>339</v>
      </c>
      <c r="M754" s="16"/>
      <c r="N754" s="233" t="s">
        <v>2830</v>
      </c>
      <c r="O754" s="16" t="s">
        <v>2831</v>
      </c>
      <c r="P754" s="219" t="s">
        <v>2832</v>
      </c>
      <c r="Q754" s="222" t="s">
        <v>2833</v>
      </c>
    </row>
    <row r="755" spans="1:17" ht="30" x14ac:dyDescent="0.2">
      <c r="A755" s="15">
        <v>752</v>
      </c>
      <c r="B755" s="15">
        <v>2050</v>
      </c>
      <c r="C755" s="232" t="s">
        <v>2834</v>
      </c>
      <c r="D755" s="16" t="s">
        <v>904</v>
      </c>
      <c r="E755" s="17" t="s">
        <v>42</v>
      </c>
      <c r="F755" s="15"/>
      <c r="G755" s="15"/>
      <c r="H755" s="15"/>
      <c r="I755" s="16" t="s">
        <v>2835</v>
      </c>
      <c r="J755" s="15"/>
      <c r="K755" s="15"/>
      <c r="L755" s="233" t="s">
        <v>339</v>
      </c>
      <c r="M755" s="16"/>
      <c r="N755" s="233" t="s">
        <v>2836</v>
      </c>
      <c r="O755" s="16" t="s">
        <v>648</v>
      </c>
      <c r="P755" s="219" t="s">
        <v>648</v>
      </c>
      <c r="Q755" s="221" t="s">
        <v>2837</v>
      </c>
    </row>
    <row r="756" spans="1:17" ht="30" x14ac:dyDescent="0.2">
      <c r="A756" s="15">
        <v>753</v>
      </c>
      <c r="B756" s="15">
        <v>2054</v>
      </c>
      <c r="C756" s="232" t="s">
        <v>2838</v>
      </c>
      <c r="D756" s="16" t="s">
        <v>2839</v>
      </c>
      <c r="E756" s="17" t="s">
        <v>28</v>
      </c>
      <c r="F756" s="15"/>
      <c r="G756" s="15"/>
      <c r="H756" s="15"/>
      <c r="I756" s="16" t="s">
        <v>957</v>
      </c>
      <c r="J756" s="15"/>
      <c r="K756" s="15"/>
      <c r="L756" s="233" t="s">
        <v>339</v>
      </c>
      <c r="M756" s="16"/>
      <c r="N756" s="233" t="s">
        <v>959</v>
      </c>
      <c r="O756" s="16" t="s">
        <v>960</v>
      </c>
      <c r="P756" s="219" t="s">
        <v>153</v>
      </c>
      <c r="Q756" s="222" t="s">
        <v>2840</v>
      </c>
    </row>
    <row r="757" spans="1:17" ht="30" x14ac:dyDescent="0.2">
      <c r="A757" s="15">
        <v>754</v>
      </c>
      <c r="B757" s="15">
        <v>2064</v>
      </c>
      <c r="C757" s="232" t="s">
        <v>2841</v>
      </c>
      <c r="D757" s="16" t="s">
        <v>41</v>
      </c>
      <c r="E757" s="17" t="s">
        <v>28</v>
      </c>
      <c r="F757" s="15"/>
      <c r="G757" s="15"/>
      <c r="H757" s="15"/>
      <c r="I757" s="16" t="s">
        <v>1801</v>
      </c>
      <c r="J757" s="15"/>
      <c r="K757" s="15"/>
      <c r="L757" s="233" t="s">
        <v>339</v>
      </c>
      <c r="M757" s="16"/>
      <c r="N757" s="233" t="s">
        <v>2842</v>
      </c>
      <c r="O757" s="16" t="s">
        <v>2843</v>
      </c>
      <c r="P757" s="219" t="s">
        <v>47</v>
      </c>
      <c r="Q757" s="221" t="s">
        <v>2844</v>
      </c>
    </row>
    <row r="758" spans="1:17" ht="30" x14ac:dyDescent="0.2">
      <c r="A758" s="15">
        <v>755</v>
      </c>
      <c r="B758" s="15">
        <v>2065</v>
      </c>
      <c r="C758" s="232" t="s">
        <v>2845</v>
      </c>
      <c r="D758" s="16" t="s">
        <v>1232</v>
      </c>
      <c r="E758" s="17" t="s">
        <v>42</v>
      </c>
      <c r="F758" s="15"/>
      <c r="G758" s="15"/>
      <c r="H758" s="15"/>
      <c r="I758" s="16" t="s">
        <v>617</v>
      </c>
      <c r="J758" s="15"/>
      <c r="K758" s="15"/>
      <c r="L758" s="233" t="s">
        <v>460</v>
      </c>
      <c r="M758" s="16"/>
      <c r="N758" s="233" t="s">
        <v>619</v>
      </c>
      <c r="O758" s="16" t="s">
        <v>648</v>
      </c>
      <c r="P758" s="219" t="s">
        <v>648</v>
      </c>
      <c r="Q758" s="222" t="s">
        <v>2846</v>
      </c>
    </row>
    <row r="759" spans="1:17" ht="45" x14ac:dyDescent="0.2">
      <c r="A759" s="15">
        <v>756</v>
      </c>
      <c r="B759" s="15">
        <v>2071</v>
      </c>
      <c r="C759" s="232" t="s">
        <v>2847</v>
      </c>
      <c r="D759" s="16" t="s">
        <v>318</v>
      </c>
      <c r="E759" s="17" t="s">
        <v>42</v>
      </c>
      <c r="F759" s="15"/>
      <c r="G759" s="15"/>
      <c r="H759" s="15"/>
      <c r="I759" s="16" t="s">
        <v>2848</v>
      </c>
      <c r="J759" s="15"/>
      <c r="K759" s="15"/>
      <c r="L759" s="233" t="s">
        <v>339</v>
      </c>
      <c r="M759" s="16"/>
      <c r="N759" s="233" t="s">
        <v>2849</v>
      </c>
      <c r="O759" s="16" t="s">
        <v>2850</v>
      </c>
      <c r="P759" s="219" t="s">
        <v>24</v>
      </c>
      <c r="Q759" s="221" t="s">
        <v>2851</v>
      </c>
    </row>
    <row r="760" spans="1:17" ht="45" x14ac:dyDescent="0.2">
      <c r="A760" s="15">
        <v>757</v>
      </c>
      <c r="B760" s="15">
        <v>2078</v>
      </c>
      <c r="C760" s="232" t="s">
        <v>2852</v>
      </c>
      <c r="D760" s="16" t="s">
        <v>84</v>
      </c>
      <c r="E760" s="17" t="s">
        <v>20</v>
      </c>
      <c r="F760" s="15"/>
      <c r="G760" s="15"/>
      <c r="H760" s="15"/>
      <c r="I760" s="16" t="s">
        <v>2853</v>
      </c>
      <c r="J760" s="15"/>
      <c r="K760" s="15"/>
      <c r="L760" s="233" t="s">
        <v>339</v>
      </c>
      <c r="M760" s="16"/>
      <c r="N760" s="233" t="s">
        <v>2854</v>
      </c>
      <c r="O760" s="16" t="s">
        <v>24</v>
      </c>
      <c r="P760" s="219" t="s">
        <v>47</v>
      </c>
      <c r="Q760" s="222" t="s">
        <v>2855</v>
      </c>
    </row>
    <row r="761" spans="1:17" ht="30" x14ac:dyDescent="0.2">
      <c r="A761" s="15">
        <v>758</v>
      </c>
      <c r="B761" s="15">
        <v>2101</v>
      </c>
      <c r="C761" s="232" t="s">
        <v>2856</v>
      </c>
      <c r="D761" s="16" t="s">
        <v>1198</v>
      </c>
      <c r="E761" s="17" t="s">
        <v>28</v>
      </c>
      <c r="F761" s="15"/>
      <c r="G761" s="15"/>
      <c r="H761" s="15"/>
      <c r="I761" s="16" t="s">
        <v>2857</v>
      </c>
      <c r="J761" s="15"/>
      <c r="K761" s="15"/>
      <c r="L761" s="233" t="s">
        <v>339</v>
      </c>
      <c r="M761" s="16"/>
      <c r="N761" s="233" t="s">
        <v>2858</v>
      </c>
      <c r="O761" s="16" t="s">
        <v>1175</v>
      </c>
      <c r="P761" s="219" t="s">
        <v>341</v>
      </c>
      <c r="Q761" s="221" t="s">
        <v>2859</v>
      </c>
    </row>
    <row r="762" spans="1:17" ht="30" x14ac:dyDescent="0.2">
      <c r="A762" s="15">
        <v>759</v>
      </c>
      <c r="B762" s="15">
        <v>2104</v>
      </c>
      <c r="C762" s="232" t="s">
        <v>2860</v>
      </c>
      <c r="D762" s="16" t="s">
        <v>1472</v>
      </c>
      <c r="E762" s="17" t="s">
        <v>28</v>
      </c>
      <c r="F762" s="15"/>
      <c r="G762" s="15"/>
      <c r="H762" s="15"/>
      <c r="I762" s="16" t="s">
        <v>540</v>
      </c>
      <c r="J762" s="15"/>
      <c r="K762" s="15"/>
      <c r="L762" s="233" t="s">
        <v>460</v>
      </c>
      <c r="M762" s="16"/>
      <c r="N762" s="233" t="s">
        <v>542</v>
      </c>
      <c r="O762" s="16" t="s">
        <v>24</v>
      </c>
      <c r="P762" s="219" t="s">
        <v>24</v>
      </c>
      <c r="Q762" s="222" t="s">
        <v>2861</v>
      </c>
    </row>
    <row r="763" spans="1:17" x14ac:dyDescent="0.2">
      <c r="A763" s="15">
        <v>760</v>
      </c>
      <c r="B763" s="15">
        <v>2114</v>
      </c>
      <c r="C763" s="232" t="s">
        <v>2862</v>
      </c>
      <c r="D763" s="16" t="s">
        <v>387</v>
      </c>
      <c r="E763" s="17" t="s">
        <v>20</v>
      </c>
      <c r="F763" s="15"/>
      <c r="G763" s="15"/>
      <c r="H763" s="15"/>
      <c r="I763" s="16" t="s">
        <v>2863</v>
      </c>
      <c r="J763" s="15"/>
      <c r="K763" s="15"/>
      <c r="L763" s="233" t="s">
        <v>339</v>
      </c>
      <c r="M763" s="16"/>
      <c r="N763" s="233" t="s">
        <v>2864</v>
      </c>
      <c r="O763" s="16" t="s">
        <v>2865</v>
      </c>
      <c r="P763" s="219" t="s">
        <v>47</v>
      </c>
      <c r="Q763" s="221" t="s">
        <v>2866</v>
      </c>
    </row>
    <row r="764" spans="1:17" ht="30" x14ac:dyDescent="0.2">
      <c r="A764" s="15">
        <v>761</v>
      </c>
      <c r="B764" s="15">
        <v>2141</v>
      </c>
      <c r="C764" s="232" t="s">
        <v>2867</v>
      </c>
      <c r="D764" s="16" t="s">
        <v>41</v>
      </c>
      <c r="E764" s="17" t="s">
        <v>42</v>
      </c>
      <c r="F764" s="15"/>
      <c r="G764" s="15"/>
      <c r="H764" s="15"/>
      <c r="I764" s="16" t="s">
        <v>2868</v>
      </c>
      <c r="J764" s="15"/>
      <c r="K764" s="15"/>
      <c r="L764" s="233" t="s">
        <v>339</v>
      </c>
      <c r="M764" s="16"/>
      <c r="N764" s="233" t="s">
        <v>2869</v>
      </c>
      <c r="O764" s="16" t="s">
        <v>24</v>
      </c>
      <c r="P764" s="219" t="s">
        <v>24</v>
      </c>
      <c r="Q764" s="222" t="s">
        <v>2870</v>
      </c>
    </row>
    <row r="765" spans="1:17" ht="30" x14ac:dyDescent="0.2">
      <c r="A765" s="15">
        <v>762</v>
      </c>
      <c r="B765" s="15">
        <v>2149</v>
      </c>
      <c r="C765" s="232" t="s">
        <v>2871</v>
      </c>
      <c r="D765" s="16" t="s">
        <v>84</v>
      </c>
      <c r="E765" s="17" t="s">
        <v>28</v>
      </c>
      <c r="F765" s="15"/>
      <c r="G765" s="15"/>
      <c r="H765" s="15"/>
      <c r="I765" s="16" t="s">
        <v>2872</v>
      </c>
      <c r="J765" s="15"/>
      <c r="K765" s="15"/>
      <c r="L765" s="233" t="s">
        <v>339</v>
      </c>
      <c r="M765" s="16"/>
      <c r="N765" s="233" t="s">
        <v>2873</v>
      </c>
      <c r="O765" s="16" t="s">
        <v>24</v>
      </c>
      <c r="P765" s="219" t="s">
        <v>24</v>
      </c>
      <c r="Q765" s="221" t="s">
        <v>2874</v>
      </c>
    </row>
    <row r="766" spans="1:17" ht="30" x14ac:dyDescent="0.2">
      <c r="A766" s="15">
        <v>763</v>
      </c>
      <c r="B766" s="15">
        <v>2150</v>
      </c>
      <c r="C766" s="232" t="s">
        <v>2875</v>
      </c>
      <c r="D766" s="16" t="s">
        <v>19</v>
      </c>
      <c r="E766" s="17" t="s">
        <v>28</v>
      </c>
      <c r="F766" s="15"/>
      <c r="G766" s="15"/>
      <c r="H766" s="15"/>
      <c r="I766" s="16" t="s">
        <v>704</v>
      </c>
      <c r="J766" s="15"/>
      <c r="K766" s="15"/>
      <c r="L766" s="233" t="s">
        <v>460</v>
      </c>
      <c r="M766" s="16"/>
      <c r="N766" s="233" t="s">
        <v>705</v>
      </c>
      <c r="O766" s="16" t="s">
        <v>24</v>
      </c>
      <c r="P766" s="219" t="s">
        <v>24</v>
      </c>
      <c r="Q766" s="222" t="s">
        <v>2876</v>
      </c>
    </row>
    <row r="767" spans="1:17" ht="30" x14ac:dyDescent="0.2">
      <c r="A767" s="15">
        <v>764</v>
      </c>
      <c r="B767" s="15">
        <v>2154</v>
      </c>
      <c r="C767" s="232" t="s">
        <v>2877</v>
      </c>
      <c r="D767" s="16" t="s">
        <v>2878</v>
      </c>
      <c r="E767" s="17" t="s">
        <v>20</v>
      </c>
      <c r="F767" s="15"/>
      <c r="G767" s="15"/>
      <c r="H767" s="15"/>
      <c r="I767" s="16" t="s">
        <v>2879</v>
      </c>
      <c r="J767" s="15"/>
      <c r="K767" s="15"/>
      <c r="L767" s="233"/>
      <c r="M767" s="16"/>
      <c r="N767" s="233" t="s">
        <v>2880</v>
      </c>
      <c r="O767" s="16" t="s">
        <v>24</v>
      </c>
      <c r="P767" s="219" t="s">
        <v>24</v>
      </c>
      <c r="Q767" s="221" t="s">
        <v>2881</v>
      </c>
    </row>
    <row r="768" spans="1:17" ht="30" x14ac:dyDescent="0.2">
      <c r="A768" s="15">
        <v>765</v>
      </c>
      <c r="B768" s="15">
        <v>2226</v>
      </c>
      <c r="C768" s="232" t="s">
        <v>2882</v>
      </c>
      <c r="D768" s="16" t="s">
        <v>41</v>
      </c>
      <c r="E768" s="17" t="s">
        <v>28</v>
      </c>
      <c r="F768" s="15"/>
      <c r="G768" s="15"/>
      <c r="H768" s="15"/>
      <c r="I768" s="16" t="s">
        <v>1801</v>
      </c>
      <c r="J768" s="15"/>
      <c r="K768" s="15"/>
      <c r="L768" s="233" t="s">
        <v>339</v>
      </c>
      <c r="M768" s="16"/>
      <c r="N768" s="233" t="s">
        <v>2883</v>
      </c>
      <c r="O768" s="16" t="s">
        <v>2884</v>
      </c>
      <c r="P768" s="219" t="s">
        <v>47</v>
      </c>
      <c r="Q768" s="222" t="s">
        <v>2885</v>
      </c>
    </row>
    <row r="769" spans="1:17" x14ac:dyDescent="0.2">
      <c r="A769" s="15">
        <v>766</v>
      </c>
      <c r="B769" s="15">
        <v>2235</v>
      </c>
      <c r="C769" s="232" t="s">
        <v>2886</v>
      </c>
      <c r="D769" s="16" t="s">
        <v>62</v>
      </c>
      <c r="E769" s="17" t="s">
        <v>20</v>
      </c>
      <c r="F769" s="15"/>
      <c r="G769" s="15"/>
      <c r="H769" s="15"/>
      <c r="I769" s="16" t="s">
        <v>62</v>
      </c>
      <c r="J769" s="15"/>
      <c r="K769" s="15"/>
      <c r="L769" s="233" t="s">
        <v>183</v>
      </c>
      <c r="M769" s="16"/>
      <c r="N769" s="233" t="s">
        <v>2887</v>
      </c>
      <c r="O769" s="16" t="s">
        <v>24</v>
      </c>
      <c r="P769" s="219" t="s">
        <v>24</v>
      </c>
      <c r="Q769" s="221" t="s">
        <v>2888</v>
      </c>
    </row>
    <row r="770" spans="1:17" ht="30" x14ac:dyDescent="0.2">
      <c r="A770" s="15">
        <v>767</v>
      </c>
      <c r="B770" s="15">
        <v>2273</v>
      </c>
      <c r="C770" s="232" t="s">
        <v>2889</v>
      </c>
      <c r="D770" s="16" t="s">
        <v>19</v>
      </c>
      <c r="E770" s="17" t="s">
        <v>20</v>
      </c>
      <c r="F770" s="15"/>
      <c r="G770" s="15"/>
      <c r="H770" s="15"/>
      <c r="I770" s="16" t="s">
        <v>2890</v>
      </c>
      <c r="J770" s="15"/>
      <c r="K770" s="15"/>
      <c r="L770" s="233" t="s">
        <v>339</v>
      </c>
      <c r="M770" s="16"/>
      <c r="N770" s="233" t="s">
        <v>2891</v>
      </c>
      <c r="O770" s="16" t="s">
        <v>2892</v>
      </c>
      <c r="P770" s="219" t="s">
        <v>392</v>
      </c>
      <c r="Q770" s="222" t="s">
        <v>2893</v>
      </c>
    </row>
    <row r="771" spans="1:17" ht="30" x14ac:dyDescent="0.2">
      <c r="A771" s="15">
        <v>768</v>
      </c>
      <c r="B771" s="15">
        <v>2288</v>
      </c>
      <c r="C771" s="232" t="s">
        <v>2894</v>
      </c>
      <c r="D771" s="16" t="s">
        <v>56</v>
      </c>
      <c r="E771" s="17" t="s">
        <v>28</v>
      </c>
      <c r="F771" s="15"/>
      <c r="G771" s="15"/>
      <c r="H771" s="15"/>
      <c r="I771" s="16" t="s">
        <v>2895</v>
      </c>
      <c r="J771" s="15"/>
      <c r="K771" s="15"/>
      <c r="L771" s="233" t="s">
        <v>339</v>
      </c>
      <c r="M771" s="16"/>
      <c r="N771" s="233" t="s">
        <v>2896</v>
      </c>
      <c r="O771" s="16" t="s">
        <v>24</v>
      </c>
      <c r="P771" s="219" t="s">
        <v>24</v>
      </c>
      <c r="Q771" s="221" t="s">
        <v>2897</v>
      </c>
    </row>
    <row r="772" spans="1:17" ht="30" x14ac:dyDescent="0.2">
      <c r="A772" s="15">
        <v>769</v>
      </c>
      <c r="B772" s="15">
        <v>2333</v>
      </c>
      <c r="C772" s="232" t="s">
        <v>2898</v>
      </c>
      <c r="D772" s="16" t="s">
        <v>41</v>
      </c>
      <c r="E772" s="17" t="s">
        <v>28</v>
      </c>
      <c r="F772" s="15"/>
      <c r="G772" s="15"/>
      <c r="H772" s="15"/>
      <c r="I772" s="16" t="s">
        <v>2899</v>
      </c>
      <c r="J772" s="15"/>
      <c r="K772" s="15"/>
      <c r="L772" s="233" t="s">
        <v>339</v>
      </c>
      <c r="M772" s="16"/>
      <c r="N772" s="233" t="s">
        <v>2900</v>
      </c>
      <c r="O772" s="16" t="s">
        <v>326</v>
      </c>
      <c r="P772" s="219" t="s">
        <v>47</v>
      </c>
      <c r="Q772" s="222" t="s">
        <v>2901</v>
      </c>
    </row>
    <row r="773" spans="1:17" ht="30" x14ac:dyDescent="0.2">
      <c r="A773" s="15">
        <v>770</v>
      </c>
      <c r="B773" s="15">
        <v>2344</v>
      </c>
      <c r="C773" s="232" t="s">
        <v>2902</v>
      </c>
      <c r="D773" s="16" t="s">
        <v>1178</v>
      </c>
      <c r="E773" s="17" t="s">
        <v>42</v>
      </c>
      <c r="F773" s="15"/>
      <c r="G773" s="15"/>
      <c r="H773" s="15"/>
      <c r="I773" s="16" t="s">
        <v>2903</v>
      </c>
      <c r="J773" s="15"/>
      <c r="K773" s="15"/>
      <c r="L773" s="233" t="s">
        <v>339</v>
      </c>
      <c r="M773" s="16"/>
      <c r="N773" s="233" t="s">
        <v>2904</v>
      </c>
      <c r="O773" s="16" t="s">
        <v>2905</v>
      </c>
      <c r="P773" s="219" t="s">
        <v>47</v>
      </c>
      <c r="Q773" s="221" t="s">
        <v>2906</v>
      </c>
    </row>
    <row r="774" spans="1:17" ht="30" x14ac:dyDescent="0.2">
      <c r="A774" s="15">
        <v>771</v>
      </c>
      <c r="B774" s="15">
        <v>2347</v>
      </c>
      <c r="C774" s="232" t="s">
        <v>2907</v>
      </c>
      <c r="D774" s="16" t="s">
        <v>2908</v>
      </c>
      <c r="E774" s="17" t="s">
        <v>20</v>
      </c>
      <c r="F774" s="15"/>
      <c r="G774" s="15"/>
      <c r="H774" s="15"/>
      <c r="I774" s="16" t="s">
        <v>2909</v>
      </c>
      <c r="J774" s="15"/>
      <c r="K774" s="15"/>
      <c r="L774" s="233" t="s">
        <v>460</v>
      </c>
      <c r="M774" s="16"/>
      <c r="N774" s="233" t="s">
        <v>2910</v>
      </c>
      <c r="O774" s="16" t="s">
        <v>24</v>
      </c>
      <c r="P774" s="219" t="s">
        <v>24</v>
      </c>
      <c r="Q774" s="222" t="s">
        <v>2911</v>
      </c>
    </row>
    <row r="775" spans="1:17" ht="30" x14ac:dyDescent="0.2">
      <c r="A775" s="15">
        <v>772</v>
      </c>
      <c r="B775" s="15">
        <v>2351</v>
      </c>
      <c r="C775" s="232" t="s">
        <v>2912</v>
      </c>
      <c r="D775" s="16" t="s">
        <v>19</v>
      </c>
      <c r="E775" s="17" t="s">
        <v>20</v>
      </c>
      <c r="F775" s="15"/>
      <c r="G775" s="15"/>
      <c r="H775" s="15"/>
      <c r="I775" s="16" t="s">
        <v>704</v>
      </c>
      <c r="J775" s="15"/>
      <c r="K775" s="15"/>
      <c r="L775" s="233" t="s">
        <v>460</v>
      </c>
      <c r="M775" s="16"/>
      <c r="N775" s="233" t="s">
        <v>705</v>
      </c>
      <c r="O775" s="16" t="s">
        <v>24</v>
      </c>
      <c r="P775" s="219" t="s">
        <v>24</v>
      </c>
      <c r="Q775" s="221" t="s">
        <v>2913</v>
      </c>
    </row>
    <row r="776" spans="1:17" ht="30" x14ac:dyDescent="0.2">
      <c r="A776" s="15">
        <v>773</v>
      </c>
      <c r="B776" s="15">
        <v>2357</v>
      </c>
      <c r="C776" s="232" t="s">
        <v>2914</v>
      </c>
      <c r="D776" s="16" t="s">
        <v>19</v>
      </c>
      <c r="E776" s="17" t="s">
        <v>20</v>
      </c>
      <c r="F776" s="15"/>
      <c r="G776" s="15"/>
      <c r="H776" s="15"/>
      <c r="I776" s="16" t="s">
        <v>2915</v>
      </c>
      <c r="J776" s="15"/>
      <c r="K776" s="15"/>
      <c r="L776" s="233" t="s">
        <v>339</v>
      </c>
      <c r="M776" s="16"/>
      <c r="N776" s="233" t="s">
        <v>2916</v>
      </c>
      <c r="O776" s="16" t="s">
        <v>24</v>
      </c>
      <c r="P776" s="219" t="s">
        <v>24</v>
      </c>
      <c r="Q776" s="222" t="s">
        <v>2917</v>
      </c>
    </row>
    <row r="777" spans="1:17" ht="45" x14ac:dyDescent="0.2">
      <c r="A777" s="15">
        <v>774</v>
      </c>
      <c r="B777" s="15">
        <v>2359</v>
      </c>
      <c r="C777" s="232" t="s">
        <v>2918</v>
      </c>
      <c r="D777" s="16" t="s">
        <v>1232</v>
      </c>
      <c r="E777" s="17" t="s">
        <v>28</v>
      </c>
      <c r="F777" s="15"/>
      <c r="G777" s="15"/>
      <c r="H777" s="15"/>
      <c r="I777" s="16" t="s">
        <v>2919</v>
      </c>
      <c r="J777" s="15"/>
      <c r="K777" s="15"/>
      <c r="L777" s="233" t="s">
        <v>339</v>
      </c>
      <c r="M777" s="16"/>
      <c r="N777" s="233" t="s">
        <v>2920</v>
      </c>
      <c r="O777" s="16" t="s">
        <v>24</v>
      </c>
      <c r="P777" s="219" t="s">
        <v>24</v>
      </c>
      <c r="Q777" s="221" t="s">
        <v>2921</v>
      </c>
    </row>
    <row r="778" spans="1:17" ht="30" x14ac:dyDescent="0.2">
      <c r="A778" s="15">
        <v>775</v>
      </c>
      <c r="B778" s="15">
        <v>2384</v>
      </c>
      <c r="C778" s="232" t="s">
        <v>2922</v>
      </c>
      <c r="D778" s="16" t="s">
        <v>1873</v>
      </c>
      <c r="E778" s="17" t="s">
        <v>28</v>
      </c>
      <c r="F778" s="15"/>
      <c r="G778" s="15"/>
      <c r="H778" s="15"/>
      <c r="I778" s="16" t="s">
        <v>2923</v>
      </c>
      <c r="J778" s="15"/>
      <c r="K778" s="15"/>
      <c r="L778" s="233" t="s">
        <v>339</v>
      </c>
      <c r="M778" s="16"/>
      <c r="N778" s="233" t="s">
        <v>2924</v>
      </c>
      <c r="O778" s="16" t="s">
        <v>24</v>
      </c>
      <c r="P778" s="219" t="s">
        <v>47</v>
      </c>
      <c r="Q778" s="222" t="s">
        <v>2925</v>
      </c>
    </row>
    <row r="779" spans="1:17" ht="30" x14ac:dyDescent="0.2">
      <c r="A779" s="15">
        <v>776</v>
      </c>
      <c r="B779" s="15">
        <v>2385</v>
      </c>
      <c r="C779" s="232" t="s">
        <v>2926</v>
      </c>
      <c r="D779" s="16" t="s">
        <v>534</v>
      </c>
      <c r="E779" s="17" t="s">
        <v>28</v>
      </c>
      <c r="F779" s="15"/>
      <c r="G779" s="15"/>
      <c r="H779" s="15"/>
      <c r="I779" s="16" t="s">
        <v>2385</v>
      </c>
      <c r="J779" s="15"/>
      <c r="K779" s="15"/>
      <c r="L779" s="233" t="s">
        <v>339</v>
      </c>
      <c r="M779" s="16"/>
      <c r="N779" s="233" t="s">
        <v>2927</v>
      </c>
      <c r="O779" s="16" t="s">
        <v>24</v>
      </c>
      <c r="P779" s="219" t="s">
        <v>24</v>
      </c>
      <c r="Q779" s="221" t="s">
        <v>2928</v>
      </c>
    </row>
    <row r="780" spans="1:17" ht="30" x14ac:dyDescent="0.2">
      <c r="A780" s="15">
        <v>777</v>
      </c>
      <c r="B780" s="15">
        <v>2396</v>
      </c>
      <c r="C780" s="232" t="s">
        <v>2929</v>
      </c>
      <c r="D780" s="16" t="s">
        <v>62</v>
      </c>
      <c r="E780" s="17" t="s">
        <v>28</v>
      </c>
      <c r="F780" s="15"/>
      <c r="G780" s="15"/>
      <c r="H780" s="15"/>
      <c r="I780" s="16" t="s">
        <v>62</v>
      </c>
      <c r="J780" s="15"/>
      <c r="K780" s="15"/>
      <c r="L780" s="233" t="s">
        <v>339</v>
      </c>
      <c r="M780" s="16"/>
      <c r="N780" s="233" t="s">
        <v>2930</v>
      </c>
      <c r="O780" s="16" t="s">
        <v>47</v>
      </c>
      <c r="P780" s="219" t="s">
        <v>47</v>
      </c>
      <c r="Q780" s="222" t="s">
        <v>2931</v>
      </c>
    </row>
    <row r="781" spans="1:17" ht="30" x14ac:dyDescent="0.2">
      <c r="A781" s="15">
        <v>778</v>
      </c>
      <c r="B781" s="15">
        <v>2397</v>
      </c>
      <c r="C781" s="232" t="s">
        <v>2932</v>
      </c>
      <c r="D781" s="16" t="s">
        <v>660</v>
      </c>
      <c r="E781" s="17" t="s">
        <v>28</v>
      </c>
      <c r="F781" s="15"/>
      <c r="G781" s="15"/>
      <c r="H781" s="15"/>
      <c r="I781" s="16" t="s">
        <v>229</v>
      </c>
      <c r="J781" s="15"/>
      <c r="K781" s="15"/>
      <c r="L781" s="233" t="s">
        <v>460</v>
      </c>
      <c r="M781" s="16"/>
      <c r="N781" s="233" t="s">
        <v>230</v>
      </c>
      <c r="O781" s="16" t="s">
        <v>2933</v>
      </c>
      <c r="P781" s="219" t="s">
        <v>2095</v>
      </c>
      <c r="Q781" s="221" t="s">
        <v>2934</v>
      </c>
    </row>
    <row r="782" spans="1:17" ht="30" x14ac:dyDescent="0.2">
      <c r="A782" s="15">
        <v>779</v>
      </c>
      <c r="B782" s="15">
        <v>2401</v>
      </c>
      <c r="C782" s="232" t="s">
        <v>2935</v>
      </c>
      <c r="D782" s="16" t="s">
        <v>916</v>
      </c>
      <c r="E782" s="17" t="s">
        <v>28</v>
      </c>
      <c r="F782" s="15"/>
      <c r="G782" s="15"/>
      <c r="H782" s="15"/>
      <c r="I782" s="16" t="s">
        <v>2936</v>
      </c>
      <c r="J782" s="15"/>
      <c r="K782" s="15"/>
      <c r="L782" s="233" t="s">
        <v>339</v>
      </c>
      <c r="M782" s="16"/>
      <c r="N782" s="233" t="s">
        <v>2937</v>
      </c>
      <c r="O782" s="16" t="s">
        <v>24</v>
      </c>
      <c r="P782" s="219" t="s">
        <v>47</v>
      </c>
      <c r="Q782" s="222" t="s">
        <v>2938</v>
      </c>
    </row>
    <row r="783" spans="1:17" ht="30" x14ac:dyDescent="0.2">
      <c r="A783" s="15">
        <v>780</v>
      </c>
      <c r="B783" s="15">
        <v>2402</v>
      </c>
      <c r="C783" s="232" t="s">
        <v>2939</v>
      </c>
      <c r="D783" s="16" t="s">
        <v>2940</v>
      </c>
      <c r="E783" s="17" t="s">
        <v>42</v>
      </c>
      <c r="F783" s="15"/>
      <c r="G783" s="15"/>
      <c r="H783" s="15"/>
      <c r="I783" s="16" t="s">
        <v>957</v>
      </c>
      <c r="J783" s="15"/>
      <c r="K783" s="15"/>
      <c r="L783" s="233" t="s">
        <v>183</v>
      </c>
      <c r="M783" s="16"/>
      <c r="N783" s="233" t="s">
        <v>959</v>
      </c>
      <c r="O783" s="16" t="s">
        <v>960</v>
      </c>
      <c r="P783" s="219" t="s">
        <v>153</v>
      </c>
      <c r="Q783" s="221" t="s">
        <v>2941</v>
      </c>
    </row>
    <row r="784" spans="1:17" x14ac:dyDescent="0.2">
      <c r="A784" s="15">
        <v>781</v>
      </c>
      <c r="B784" s="15">
        <v>2413</v>
      </c>
      <c r="C784" s="232" t="s">
        <v>2942</v>
      </c>
      <c r="D784" s="16" t="s">
        <v>62</v>
      </c>
      <c r="E784" s="17" t="s">
        <v>20</v>
      </c>
      <c r="F784" s="15"/>
      <c r="G784" s="15"/>
      <c r="H784" s="15"/>
      <c r="I784" s="16" t="s">
        <v>2943</v>
      </c>
      <c r="J784" s="15"/>
      <c r="K784" s="15"/>
      <c r="L784" s="233" t="s">
        <v>339</v>
      </c>
      <c r="M784" s="16"/>
      <c r="N784" s="233" t="s">
        <v>2944</v>
      </c>
      <c r="O784" s="16" t="s">
        <v>47</v>
      </c>
      <c r="P784" s="219" t="s">
        <v>47</v>
      </c>
      <c r="Q784" s="222" t="s">
        <v>2945</v>
      </c>
    </row>
    <row r="785" spans="1:17" ht="30" x14ac:dyDescent="0.2">
      <c r="A785" s="15">
        <v>782</v>
      </c>
      <c r="B785" s="15">
        <v>2426</v>
      </c>
      <c r="C785" s="232" t="s">
        <v>2946</v>
      </c>
      <c r="D785" s="16" t="s">
        <v>1515</v>
      </c>
      <c r="E785" s="17" t="s">
        <v>42</v>
      </c>
      <c r="F785" s="15"/>
      <c r="G785" s="15"/>
      <c r="H785" s="15"/>
      <c r="I785" s="16" t="s">
        <v>2947</v>
      </c>
      <c r="J785" s="15"/>
      <c r="K785" s="15"/>
      <c r="L785" s="233" t="s">
        <v>339</v>
      </c>
      <c r="M785" s="16"/>
      <c r="N785" s="233" t="s">
        <v>2948</v>
      </c>
      <c r="O785" s="16" t="s">
        <v>326</v>
      </c>
      <c r="P785" s="219" t="s">
        <v>24</v>
      </c>
      <c r="Q785" s="221" t="s">
        <v>2949</v>
      </c>
    </row>
    <row r="786" spans="1:17" ht="30" x14ac:dyDescent="0.2">
      <c r="A786" s="15">
        <v>783</v>
      </c>
      <c r="B786" s="15">
        <v>2448</v>
      </c>
      <c r="C786" s="232" t="s">
        <v>2950</v>
      </c>
      <c r="D786" s="16" t="s">
        <v>2951</v>
      </c>
      <c r="E786" s="17" t="s">
        <v>42</v>
      </c>
      <c r="F786" s="15"/>
      <c r="G786" s="15"/>
      <c r="H786" s="15"/>
      <c r="I786" s="16" t="s">
        <v>2952</v>
      </c>
      <c r="J786" s="15"/>
      <c r="K786" s="15"/>
      <c r="L786" s="233" t="s">
        <v>339</v>
      </c>
      <c r="M786" s="16"/>
      <c r="N786" s="233" t="s">
        <v>2953</v>
      </c>
      <c r="O786" s="16" t="s">
        <v>326</v>
      </c>
      <c r="P786" s="219" t="s">
        <v>24</v>
      </c>
      <c r="Q786" s="222" t="s">
        <v>2954</v>
      </c>
    </row>
    <row r="787" spans="1:17" ht="30" x14ac:dyDescent="0.2">
      <c r="A787" s="15">
        <v>784</v>
      </c>
      <c r="B787" s="15">
        <v>2461</v>
      </c>
      <c r="C787" s="232" t="s">
        <v>2955</v>
      </c>
      <c r="D787" s="16" t="s">
        <v>2956</v>
      </c>
      <c r="E787" s="17" t="s">
        <v>28</v>
      </c>
      <c r="F787" s="15"/>
      <c r="G787" s="15"/>
      <c r="H787" s="15"/>
      <c r="I787" s="16" t="s">
        <v>917</v>
      </c>
      <c r="J787" s="15"/>
      <c r="K787" s="15"/>
      <c r="L787" s="233" t="s">
        <v>339</v>
      </c>
      <c r="M787" s="16"/>
      <c r="N787" s="233" t="s">
        <v>2957</v>
      </c>
      <c r="O787" s="16" t="s">
        <v>24</v>
      </c>
      <c r="P787" s="219" t="s">
        <v>153</v>
      </c>
      <c r="Q787" s="221" t="s">
        <v>2958</v>
      </c>
    </row>
    <row r="788" spans="1:17" ht="30" x14ac:dyDescent="0.2">
      <c r="A788" s="15">
        <v>785</v>
      </c>
      <c r="B788" s="15">
        <v>2466</v>
      </c>
      <c r="C788" s="232" t="s">
        <v>2959</v>
      </c>
      <c r="D788" s="16" t="s">
        <v>309</v>
      </c>
      <c r="E788" s="17" t="s">
        <v>28</v>
      </c>
      <c r="F788" s="15"/>
      <c r="G788" s="15"/>
      <c r="H788" s="15"/>
      <c r="I788" s="16" t="s">
        <v>507</v>
      </c>
      <c r="J788" s="15"/>
      <c r="K788" s="15"/>
      <c r="L788" s="233"/>
      <c r="M788" s="16"/>
      <c r="N788" s="233" t="s">
        <v>508</v>
      </c>
      <c r="O788" s="16" t="s">
        <v>24</v>
      </c>
      <c r="P788" s="219" t="s">
        <v>24</v>
      </c>
      <c r="Q788" s="222" t="s">
        <v>2960</v>
      </c>
    </row>
    <row r="789" spans="1:17" ht="30" x14ac:dyDescent="0.2">
      <c r="A789" s="15">
        <v>786</v>
      </c>
      <c r="B789" s="15">
        <v>2483</v>
      </c>
      <c r="C789" s="232" t="s">
        <v>2961</v>
      </c>
      <c r="D789" s="16" t="s">
        <v>41</v>
      </c>
      <c r="E789" s="17" t="s">
        <v>28</v>
      </c>
      <c r="F789" s="15"/>
      <c r="G789" s="15"/>
      <c r="H789" s="15"/>
      <c r="I789" s="16" t="s">
        <v>2962</v>
      </c>
      <c r="J789" s="15"/>
      <c r="K789" s="15"/>
      <c r="L789" s="233" t="s">
        <v>339</v>
      </c>
      <c r="M789" s="16"/>
      <c r="N789" s="233" t="s">
        <v>2963</v>
      </c>
      <c r="O789" s="16" t="s">
        <v>24</v>
      </c>
      <c r="P789" s="219" t="s">
        <v>47</v>
      </c>
      <c r="Q789" s="221" t="s">
        <v>2964</v>
      </c>
    </row>
    <row r="790" spans="1:17" ht="30" x14ac:dyDescent="0.2">
      <c r="A790" s="15">
        <v>787</v>
      </c>
      <c r="B790" s="15">
        <v>2488</v>
      </c>
      <c r="C790" s="232" t="s">
        <v>2965</v>
      </c>
      <c r="D790" s="16" t="s">
        <v>916</v>
      </c>
      <c r="E790" s="17" t="s">
        <v>42</v>
      </c>
      <c r="F790" s="15"/>
      <c r="G790" s="15"/>
      <c r="H790" s="15"/>
      <c r="I790" s="16" t="s">
        <v>2966</v>
      </c>
      <c r="J790" s="15"/>
      <c r="K790" s="15"/>
      <c r="L790" s="233" t="s">
        <v>339</v>
      </c>
      <c r="M790" s="16"/>
      <c r="N790" s="233" t="s">
        <v>2967</v>
      </c>
      <c r="O790" s="16" t="s">
        <v>24</v>
      </c>
      <c r="P790" s="219" t="s">
        <v>24</v>
      </c>
      <c r="Q790" s="222" t="s">
        <v>2968</v>
      </c>
    </row>
    <row r="791" spans="1:17" ht="30" x14ac:dyDescent="0.2">
      <c r="A791" s="15">
        <v>788</v>
      </c>
      <c r="B791" s="15">
        <v>2502</v>
      </c>
      <c r="C791" s="232" t="s">
        <v>2969</v>
      </c>
      <c r="D791" s="16" t="s">
        <v>1798</v>
      </c>
      <c r="E791" s="17" t="s">
        <v>28</v>
      </c>
      <c r="F791" s="15"/>
      <c r="G791" s="15"/>
      <c r="H791" s="15"/>
      <c r="I791" s="16" t="s">
        <v>1076</v>
      </c>
      <c r="J791" s="15"/>
      <c r="K791" s="15"/>
      <c r="L791" s="233" t="s">
        <v>188</v>
      </c>
      <c r="M791" s="16"/>
      <c r="N791" s="233" t="s">
        <v>1077</v>
      </c>
      <c r="O791" s="16" t="s">
        <v>24</v>
      </c>
      <c r="P791" s="219" t="s">
        <v>24</v>
      </c>
      <c r="Q791" s="221" t="s">
        <v>2970</v>
      </c>
    </row>
    <row r="792" spans="1:17" ht="45" x14ac:dyDescent="0.2">
      <c r="A792" s="15">
        <v>789</v>
      </c>
      <c r="B792" s="15">
        <v>2516</v>
      </c>
      <c r="C792" s="232" t="s">
        <v>2971</v>
      </c>
      <c r="D792" s="16" t="s">
        <v>35</v>
      </c>
      <c r="E792" s="17" t="s">
        <v>28</v>
      </c>
      <c r="F792" s="15"/>
      <c r="G792" s="15"/>
      <c r="H792" s="15"/>
      <c r="I792" s="16" t="s">
        <v>2972</v>
      </c>
      <c r="J792" s="15"/>
      <c r="K792" s="15"/>
      <c r="L792" s="233" t="s">
        <v>339</v>
      </c>
      <c r="M792" s="16"/>
      <c r="N792" s="233" t="s">
        <v>2973</v>
      </c>
      <c r="O792" s="16" t="s">
        <v>24</v>
      </c>
      <c r="P792" s="219" t="s">
        <v>47</v>
      </c>
      <c r="Q792" s="222" t="s">
        <v>2974</v>
      </c>
    </row>
    <row r="793" spans="1:17" ht="45" x14ac:dyDescent="0.2">
      <c r="A793" s="15">
        <v>790</v>
      </c>
      <c r="B793" s="15">
        <v>2561</v>
      </c>
      <c r="C793" s="232" t="s">
        <v>2975</v>
      </c>
      <c r="D793" s="16" t="s">
        <v>318</v>
      </c>
      <c r="E793" s="17" t="s">
        <v>42</v>
      </c>
      <c r="F793" s="15"/>
      <c r="G793" s="15"/>
      <c r="H793" s="15"/>
      <c r="I793" s="16" t="s">
        <v>2976</v>
      </c>
      <c r="J793" s="15"/>
      <c r="K793" s="15"/>
      <c r="L793" s="233" t="s">
        <v>339</v>
      </c>
      <c r="M793" s="16"/>
      <c r="N793" s="233" t="s">
        <v>2977</v>
      </c>
      <c r="O793" s="16" t="s">
        <v>326</v>
      </c>
      <c r="P793" s="219" t="s">
        <v>24</v>
      </c>
      <c r="Q793" s="221" t="s">
        <v>2978</v>
      </c>
    </row>
    <row r="794" spans="1:17" ht="30" x14ac:dyDescent="0.2">
      <c r="A794" s="15">
        <v>791</v>
      </c>
      <c r="B794" s="15">
        <v>2583</v>
      </c>
      <c r="C794" s="232" t="s">
        <v>2979</v>
      </c>
      <c r="D794" s="16" t="s">
        <v>534</v>
      </c>
      <c r="E794" s="17" t="s">
        <v>28</v>
      </c>
      <c r="F794" s="15"/>
      <c r="G794" s="15"/>
      <c r="H794" s="15"/>
      <c r="I794" s="16" t="s">
        <v>2980</v>
      </c>
      <c r="J794" s="15"/>
      <c r="K794" s="15"/>
      <c r="L794" s="233" t="s">
        <v>339</v>
      </c>
      <c r="M794" s="16"/>
      <c r="N794" s="233" t="s">
        <v>2981</v>
      </c>
      <c r="O794" s="16" t="s">
        <v>326</v>
      </c>
      <c r="P794" s="219" t="s">
        <v>24</v>
      </c>
      <c r="Q794" s="222" t="s">
        <v>2982</v>
      </c>
    </row>
    <row r="795" spans="1:17" ht="30" x14ac:dyDescent="0.2">
      <c r="A795" s="15">
        <v>792</v>
      </c>
      <c r="B795" s="15">
        <v>2591</v>
      </c>
      <c r="C795" s="232" t="s">
        <v>2983</v>
      </c>
      <c r="D795" s="16" t="s">
        <v>2984</v>
      </c>
      <c r="E795" s="17" t="s">
        <v>20</v>
      </c>
      <c r="F795" s="15"/>
      <c r="G795" s="15"/>
      <c r="H795" s="15"/>
      <c r="I795" s="16" t="s">
        <v>2985</v>
      </c>
      <c r="J795" s="15"/>
      <c r="K795" s="15"/>
      <c r="L795" s="233" t="s">
        <v>460</v>
      </c>
      <c r="M795" s="16"/>
      <c r="N795" s="233" t="s">
        <v>2986</v>
      </c>
      <c r="O795" s="16" t="s">
        <v>24</v>
      </c>
      <c r="P795" s="219" t="s">
        <v>24</v>
      </c>
      <c r="Q795" s="221" t="s">
        <v>2987</v>
      </c>
    </row>
    <row r="796" spans="1:17" ht="30" x14ac:dyDescent="0.2">
      <c r="A796" s="15">
        <v>793</v>
      </c>
      <c r="B796" s="15">
        <v>2593</v>
      </c>
      <c r="C796" s="232" t="s">
        <v>2988</v>
      </c>
      <c r="D796" s="16" t="s">
        <v>1531</v>
      </c>
      <c r="E796" s="17" t="s">
        <v>28</v>
      </c>
      <c r="F796" s="15"/>
      <c r="G796" s="15"/>
      <c r="H796" s="15"/>
      <c r="I796" s="16" t="s">
        <v>2989</v>
      </c>
      <c r="J796" s="15"/>
      <c r="K796" s="15"/>
      <c r="L796" s="233" t="s">
        <v>339</v>
      </c>
      <c r="M796" s="16"/>
      <c r="N796" s="233" t="s">
        <v>2990</v>
      </c>
      <c r="O796" s="16" t="s">
        <v>326</v>
      </c>
      <c r="P796" s="219" t="s">
        <v>24</v>
      </c>
      <c r="Q796" s="222" t="s">
        <v>2991</v>
      </c>
    </row>
    <row r="797" spans="1:17" ht="30" x14ac:dyDescent="0.2">
      <c r="A797" s="15">
        <v>794</v>
      </c>
      <c r="B797" s="15">
        <v>2615</v>
      </c>
      <c r="C797" s="232" t="s">
        <v>2992</v>
      </c>
      <c r="D797" s="16" t="s">
        <v>19</v>
      </c>
      <c r="E797" s="17" t="s">
        <v>28</v>
      </c>
      <c r="F797" s="15"/>
      <c r="G797" s="15"/>
      <c r="H797" s="15"/>
      <c r="I797" s="16" t="s">
        <v>2993</v>
      </c>
      <c r="J797" s="15"/>
      <c r="K797" s="15"/>
      <c r="L797" s="233" t="s">
        <v>339</v>
      </c>
      <c r="M797" s="16"/>
      <c r="N797" s="233" t="s">
        <v>2994</v>
      </c>
      <c r="O797" s="16" t="s">
        <v>24</v>
      </c>
      <c r="P797" s="219" t="s">
        <v>24</v>
      </c>
      <c r="Q797" s="221" t="s">
        <v>2995</v>
      </c>
    </row>
    <row r="798" spans="1:17" ht="30" x14ac:dyDescent="0.2">
      <c r="A798" s="15">
        <v>795</v>
      </c>
      <c r="B798" s="15">
        <v>2619</v>
      </c>
      <c r="C798" s="232" t="s">
        <v>2996</v>
      </c>
      <c r="D798" s="16" t="s">
        <v>2997</v>
      </c>
      <c r="E798" s="17" t="s">
        <v>20</v>
      </c>
      <c r="F798" s="15"/>
      <c r="G798" s="15"/>
      <c r="H798" s="15"/>
      <c r="I798" s="16" t="s">
        <v>2998</v>
      </c>
      <c r="J798" s="15"/>
      <c r="K798" s="15"/>
      <c r="L798" s="233"/>
      <c r="M798" s="16"/>
      <c r="N798" s="233" t="s">
        <v>2999</v>
      </c>
      <c r="O798" s="16" t="s">
        <v>24</v>
      </c>
      <c r="P798" s="219" t="s">
        <v>24</v>
      </c>
      <c r="Q798" s="222" t="s">
        <v>3000</v>
      </c>
    </row>
    <row r="799" spans="1:17" ht="30" x14ac:dyDescent="0.2">
      <c r="A799" s="15">
        <v>796</v>
      </c>
      <c r="B799" s="15">
        <v>2620</v>
      </c>
      <c r="C799" s="232" t="s">
        <v>3001</v>
      </c>
      <c r="D799" s="16" t="s">
        <v>62</v>
      </c>
      <c r="E799" s="17" t="s">
        <v>20</v>
      </c>
      <c r="F799" s="15"/>
      <c r="G799" s="15"/>
      <c r="H799" s="15"/>
      <c r="I799" s="16" t="s">
        <v>3002</v>
      </c>
      <c r="J799" s="15"/>
      <c r="K799" s="15"/>
      <c r="L799" s="233" t="s">
        <v>339</v>
      </c>
      <c r="M799" s="16"/>
      <c r="N799" s="233" t="s">
        <v>3003</v>
      </c>
      <c r="O799" s="16" t="s">
        <v>47</v>
      </c>
      <c r="P799" s="219" t="s">
        <v>47</v>
      </c>
      <c r="Q799" s="221" t="s">
        <v>3004</v>
      </c>
    </row>
    <row r="800" spans="1:17" ht="30" x14ac:dyDescent="0.2">
      <c r="A800" s="15">
        <v>797</v>
      </c>
      <c r="B800" s="15">
        <v>2653</v>
      </c>
      <c r="C800" s="232" t="s">
        <v>3005</v>
      </c>
      <c r="D800" s="16" t="s">
        <v>916</v>
      </c>
      <c r="E800" s="17" t="s">
        <v>28</v>
      </c>
      <c r="F800" s="15"/>
      <c r="G800" s="15"/>
      <c r="H800" s="15"/>
      <c r="I800" s="16" t="s">
        <v>3006</v>
      </c>
      <c r="J800" s="15"/>
      <c r="K800" s="15"/>
      <c r="L800" s="233" t="s">
        <v>339</v>
      </c>
      <c r="M800" s="16"/>
      <c r="N800" s="233" t="s">
        <v>3007</v>
      </c>
      <c r="O800" s="16" t="s">
        <v>3008</v>
      </c>
      <c r="P800" s="219" t="s">
        <v>47</v>
      </c>
      <c r="Q800" s="222" t="s">
        <v>3009</v>
      </c>
    </row>
    <row r="801" spans="1:17" ht="30" x14ac:dyDescent="0.2">
      <c r="A801" s="15">
        <v>798</v>
      </c>
      <c r="B801" s="15">
        <v>2661</v>
      </c>
      <c r="C801" s="232" t="s">
        <v>3010</v>
      </c>
      <c r="D801" s="16" t="s">
        <v>283</v>
      </c>
      <c r="E801" s="17" t="s">
        <v>28</v>
      </c>
      <c r="F801" s="15"/>
      <c r="G801" s="15"/>
      <c r="H801" s="15"/>
      <c r="I801" s="16" t="s">
        <v>3011</v>
      </c>
      <c r="J801" s="15"/>
      <c r="K801" s="15"/>
      <c r="L801" s="233" t="s">
        <v>339</v>
      </c>
      <c r="M801" s="16"/>
      <c r="N801" s="233" t="s">
        <v>3012</v>
      </c>
      <c r="O801" s="16" t="s">
        <v>363</v>
      </c>
      <c r="P801" s="219" t="s">
        <v>363</v>
      </c>
      <c r="Q801" s="221" t="s">
        <v>3013</v>
      </c>
    </row>
    <row r="802" spans="1:17" ht="30" x14ac:dyDescent="0.2">
      <c r="A802" s="15">
        <v>799</v>
      </c>
      <c r="B802" s="15">
        <v>2667</v>
      </c>
      <c r="C802" s="232" t="s">
        <v>3014</v>
      </c>
      <c r="D802" s="16" t="s">
        <v>166</v>
      </c>
      <c r="E802" s="17" t="s">
        <v>20</v>
      </c>
      <c r="F802" s="15"/>
      <c r="G802" s="15"/>
      <c r="H802" s="15"/>
      <c r="I802" s="16" t="s">
        <v>3015</v>
      </c>
      <c r="J802" s="15"/>
      <c r="K802" s="15"/>
      <c r="L802" s="233" t="s">
        <v>183</v>
      </c>
      <c r="M802" s="16"/>
      <c r="N802" s="233" t="s">
        <v>3016</v>
      </c>
      <c r="O802" s="16" t="s">
        <v>47</v>
      </c>
      <c r="P802" s="219" t="s">
        <v>47</v>
      </c>
      <c r="Q802" s="222" t="s">
        <v>3017</v>
      </c>
    </row>
    <row r="803" spans="1:17" ht="30" x14ac:dyDescent="0.2">
      <c r="A803" s="15">
        <v>800</v>
      </c>
      <c r="B803" s="15">
        <v>2672</v>
      </c>
      <c r="C803" s="232" t="s">
        <v>3018</v>
      </c>
      <c r="D803" s="16" t="s">
        <v>19</v>
      </c>
      <c r="E803" s="17" t="s">
        <v>28</v>
      </c>
      <c r="F803" s="15"/>
      <c r="G803" s="15"/>
      <c r="H803" s="15"/>
      <c r="I803" s="16" t="s">
        <v>3019</v>
      </c>
      <c r="J803" s="15"/>
      <c r="K803" s="15"/>
      <c r="L803" s="233"/>
      <c r="M803" s="16"/>
      <c r="N803" s="233" t="s">
        <v>3020</v>
      </c>
      <c r="O803" s="16" t="s">
        <v>24</v>
      </c>
      <c r="P803" s="219" t="s">
        <v>24</v>
      </c>
      <c r="Q803" s="221" t="s">
        <v>3021</v>
      </c>
    </row>
    <row r="804" spans="1:17" x14ac:dyDescent="0.2">
      <c r="A804" s="15">
        <v>801</v>
      </c>
      <c r="B804" s="15">
        <v>2703</v>
      </c>
      <c r="C804" s="232" t="s">
        <v>3022</v>
      </c>
      <c r="D804" s="16" t="s">
        <v>62</v>
      </c>
      <c r="E804" s="17" t="s">
        <v>20</v>
      </c>
      <c r="F804" s="15"/>
      <c r="G804" s="15"/>
      <c r="H804" s="15"/>
      <c r="I804" s="16" t="s">
        <v>3023</v>
      </c>
      <c r="J804" s="15"/>
      <c r="K804" s="15"/>
      <c r="L804" s="233" t="s">
        <v>339</v>
      </c>
      <c r="M804" s="16"/>
      <c r="N804" s="233" t="s">
        <v>3024</v>
      </c>
      <c r="O804" s="16" t="s">
        <v>47</v>
      </c>
      <c r="P804" s="219" t="s">
        <v>47</v>
      </c>
      <c r="Q804" s="222" t="s">
        <v>3025</v>
      </c>
    </row>
    <row r="805" spans="1:17" ht="30" x14ac:dyDescent="0.2">
      <c r="A805" s="15">
        <v>802</v>
      </c>
      <c r="B805" s="15">
        <v>2704</v>
      </c>
      <c r="C805" s="232" t="s">
        <v>3026</v>
      </c>
      <c r="D805" s="16" t="s">
        <v>166</v>
      </c>
      <c r="E805" s="17" t="s">
        <v>20</v>
      </c>
      <c r="F805" s="15"/>
      <c r="G805" s="15"/>
      <c r="H805" s="15"/>
      <c r="I805" s="16" t="s">
        <v>3027</v>
      </c>
      <c r="J805" s="15"/>
      <c r="K805" s="15"/>
      <c r="L805" s="233" t="s">
        <v>1159</v>
      </c>
      <c r="M805" s="16"/>
      <c r="N805" s="233" t="s">
        <v>3028</v>
      </c>
      <c r="O805" s="16" t="s">
        <v>47</v>
      </c>
      <c r="P805" s="219" t="s">
        <v>47</v>
      </c>
      <c r="Q805" s="221" t="s">
        <v>3029</v>
      </c>
    </row>
    <row r="806" spans="1:17" ht="30" x14ac:dyDescent="0.2">
      <c r="A806" s="15">
        <v>803</v>
      </c>
      <c r="B806" s="15">
        <v>2751</v>
      </c>
      <c r="C806" s="232" t="s">
        <v>3030</v>
      </c>
      <c r="D806" s="16" t="s">
        <v>1472</v>
      </c>
      <c r="E806" s="17" t="s">
        <v>42</v>
      </c>
      <c r="F806" s="15"/>
      <c r="G806" s="15"/>
      <c r="H806" s="15"/>
      <c r="I806" s="16" t="s">
        <v>3031</v>
      </c>
      <c r="J806" s="15"/>
      <c r="K806" s="15"/>
      <c r="L806" s="233" t="s">
        <v>339</v>
      </c>
      <c r="M806" s="16"/>
      <c r="N806" s="233" t="s">
        <v>3032</v>
      </c>
      <c r="O806" s="16" t="s">
        <v>326</v>
      </c>
      <c r="P806" s="219" t="s">
        <v>24</v>
      </c>
      <c r="Q806" s="222" t="s">
        <v>3033</v>
      </c>
    </row>
    <row r="807" spans="1:17" ht="30" x14ac:dyDescent="0.2">
      <c r="A807" s="15">
        <v>804</v>
      </c>
      <c r="B807" s="15">
        <v>2770</v>
      </c>
      <c r="C807" s="232" t="s">
        <v>3034</v>
      </c>
      <c r="D807" s="16" t="s">
        <v>309</v>
      </c>
      <c r="E807" s="17" t="s">
        <v>28</v>
      </c>
      <c r="F807" s="15"/>
      <c r="G807" s="15"/>
      <c r="H807" s="15"/>
      <c r="I807" s="16" t="s">
        <v>1042</v>
      </c>
      <c r="J807" s="15"/>
      <c r="K807" s="15"/>
      <c r="L807" s="233" t="s">
        <v>339</v>
      </c>
      <c r="M807" s="16"/>
      <c r="N807" s="233" t="s">
        <v>3035</v>
      </c>
      <c r="O807" s="16" t="s">
        <v>341</v>
      </c>
      <c r="P807" s="219" t="s">
        <v>24</v>
      </c>
      <c r="Q807" s="221" t="s">
        <v>3036</v>
      </c>
    </row>
    <row r="808" spans="1:17" ht="30" x14ac:dyDescent="0.2">
      <c r="A808" s="15">
        <v>805</v>
      </c>
      <c r="B808" s="15">
        <v>2788</v>
      </c>
      <c r="C808" s="232" t="s">
        <v>3037</v>
      </c>
      <c r="D808" s="16" t="s">
        <v>387</v>
      </c>
      <c r="E808" s="17" t="s">
        <v>20</v>
      </c>
      <c r="F808" s="15"/>
      <c r="G808" s="15"/>
      <c r="H808" s="15"/>
      <c r="I808" s="16" t="s">
        <v>748</v>
      </c>
      <c r="J808" s="15"/>
      <c r="K808" s="15"/>
      <c r="L808" s="233" t="s">
        <v>460</v>
      </c>
      <c r="M808" s="16"/>
      <c r="N808" s="233" t="s">
        <v>750</v>
      </c>
      <c r="O808" s="16" t="s">
        <v>24</v>
      </c>
      <c r="P808" s="219" t="s">
        <v>24</v>
      </c>
      <c r="Q808" s="222" t="s">
        <v>3038</v>
      </c>
    </row>
    <row r="809" spans="1:17" ht="30" x14ac:dyDescent="0.2">
      <c r="A809" s="15">
        <v>806</v>
      </c>
      <c r="B809" s="15">
        <v>2801</v>
      </c>
      <c r="C809" s="232" t="s">
        <v>3039</v>
      </c>
      <c r="D809" s="16" t="s">
        <v>1258</v>
      </c>
      <c r="E809" s="17" t="s">
        <v>42</v>
      </c>
      <c r="F809" s="15"/>
      <c r="G809" s="15"/>
      <c r="H809" s="15"/>
      <c r="I809" s="16" t="s">
        <v>3040</v>
      </c>
      <c r="J809" s="15"/>
      <c r="K809" s="15"/>
      <c r="L809" s="233" t="s">
        <v>339</v>
      </c>
      <c r="M809" s="16"/>
      <c r="N809" s="233" t="s">
        <v>3041</v>
      </c>
      <c r="O809" s="16" t="s">
        <v>3042</v>
      </c>
      <c r="P809" s="219" t="s">
        <v>1604</v>
      </c>
      <c r="Q809" s="221" t="s">
        <v>3043</v>
      </c>
    </row>
    <row r="810" spans="1:17" ht="30" x14ac:dyDescent="0.2">
      <c r="A810" s="15">
        <v>807</v>
      </c>
      <c r="B810" s="15">
        <v>2840</v>
      </c>
      <c r="C810" s="232" t="s">
        <v>3044</v>
      </c>
      <c r="D810" s="16" t="s">
        <v>98</v>
      </c>
      <c r="E810" s="17" t="s">
        <v>28</v>
      </c>
      <c r="F810" s="15"/>
      <c r="G810" s="15"/>
      <c r="H810" s="15"/>
      <c r="I810" s="16" t="s">
        <v>3045</v>
      </c>
      <c r="J810" s="15"/>
      <c r="K810" s="15"/>
      <c r="L810" s="233" t="s">
        <v>339</v>
      </c>
      <c r="M810" s="16"/>
      <c r="N810" s="233" t="s">
        <v>3046</v>
      </c>
      <c r="O810" s="16" t="s">
        <v>24</v>
      </c>
      <c r="P810" s="219" t="s">
        <v>47</v>
      </c>
      <c r="Q810" s="222" t="s">
        <v>3047</v>
      </c>
    </row>
    <row r="811" spans="1:17" ht="30" x14ac:dyDescent="0.2">
      <c r="A811" s="15">
        <v>808</v>
      </c>
      <c r="B811" s="15">
        <v>2858</v>
      </c>
      <c r="C811" s="232" t="s">
        <v>3048</v>
      </c>
      <c r="D811" s="16" t="s">
        <v>500</v>
      </c>
      <c r="E811" s="17" t="s">
        <v>42</v>
      </c>
      <c r="F811" s="15"/>
      <c r="G811" s="15"/>
      <c r="H811" s="15"/>
      <c r="I811" s="16" t="s">
        <v>3049</v>
      </c>
      <c r="J811" s="15"/>
      <c r="K811" s="15"/>
      <c r="L811" s="233" t="s">
        <v>339</v>
      </c>
      <c r="M811" s="16"/>
      <c r="N811" s="233" t="s">
        <v>3050</v>
      </c>
      <c r="O811" s="16" t="s">
        <v>24</v>
      </c>
      <c r="P811" s="219" t="s">
        <v>24</v>
      </c>
      <c r="Q811" s="221" t="s">
        <v>3051</v>
      </c>
    </row>
    <row r="812" spans="1:17" ht="30" x14ac:dyDescent="0.2">
      <c r="A812" s="15">
        <v>809</v>
      </c>
      <c r="B812" s="15">
        <v>2860</v>
      </c>
      <c r="C812" s="232" t="s">
        <v>3052</v>
      </c>
      <c r="D812" s="16" t="s">
        <v>376</v>
      </c>
      <c r="E812" s="17" t="s">
        <v>28</v>
      </c>
      <c r="F812" s="15"/>
      <c r="G812" s="15"/>
      <c r="H812" s="15"/>
      <c r="I812" s="16" t="s">
        <v>3053</v>
      </c>
      <c r="J812" s="15"/>
      <c r="K812" s="15"/>
      <c r="L812" s="233" t="s">
        <v>339</v>
      </c>
      <c r="M812" s="16"/>
      <c r="N812" s="233" t="s">
        <v>3054</v>
      </c>
      <c r="O812" s="16" t="s">
        <v>326</v>
      </c>
      <c r="P812" s="219" t="s">
        <v>47</v>
      </c>
      <c r="Q812" s="222" t="s">
        <v>3055</v>
      </c>
    </row>
    <row r="813" spans="1:17" x14ac:dyDescent="0.2">
      <c r="A813" s="15">
        <v>810</v>
      </c>
      <c r="B813" s="15">
        <v>2879</v>
      </c>
      <c r="C813" s="232" t="s">
        <v>3056</v>
      </c>
      <c r="D813" s="16" t="s">
        <v>796</v>
      </c>
      <c r="E813" s="17" t="s">
        <v>20</v>
      </c>
      <c r="F813" s="15"/>
      <c r="G813" s="15"/>
      <c r="H813" s="15"/>
      <c r="I813" s="16" t="s">
        <v>3057</v>
      </c>
      <c r="J813" s="15"/>
      <c r="K813" s="15"/>
      <c r="L813" s="233" t="s">
        <v>339</v>
      </c>
      <c r="M813" s="16"/>
      <c r="N813" s="233" t="s">
        <v>3058</v>
      </c>
      <c r="O813" s="16" t="s">
        <v>47</v>
      </c>
      <c r="P813" s="219" t="s">
        <v>47</v>
      </c>
      <c r="Q813" s="221" t="s">
        <v>3059</v>
      </c>
    </row>
    <row r="814" spans="1:17" ht="30" x14ac:dyDescent="0.2">
      <c r="A814" s="15">
        <v>811</v>
      </c>
      <c r="B814" s="15">
        <v>2906</v>
      </c>
      <c r="C814" s="232" t="s">
        <v>3060</v>
      </c>
      <c r="D814" s="16" t="s">
        <v>283</v>
      </c>
      <c r="E814" s="17" t="s">
        <v>28</v>
      </c>
      <c r="F814" s="15"/>
      <c r="G814" s="15"/>
      <c r="H814" s="15"/>
      <c r="I814" s="16" t="s">
        <v>3061</v>
      </c>
      <c r="J814" s="15"/>
      <c r="K814" s="15"/>
      <c r="L814" s="233" t="s">
        <v>339</v>
      </c>
      <c r="M814" s="16"/>
      <c r="N814" s="233" t="s">
        <v>3062</v>
      </c>
      <c r="O814" s="16" t="s">
        <v>363</v>
      </c>
      <c r="P814" s="219" t="s">
        <v>47</v>
      </c>
      <c r="Q814" s="222" t="s">
        <v>3063</v>
      </c>
    </row>
    <row r="815" spans="1:17" ht="45" x14ac:dyDescent="0.2">
      <c r="A815" s="15">
        <v>812</v>
      </c>
      <c r="B815" s="15">
        <v>2910</v>
      </c>
      <c r="C815" s="232" t="s">
        <v>3064</v>
      </c>
      <c r="D815" s="16" t="s">
        <v>19</v>
      </c>
      <c r="E815" s="17" t="s">
        <v>28</v>
      </c>
      <c r="F815" s="15"/>
      <c r="G815" s="15"/>
      <c r="H815" s="15"/>
      <c r="I815" s="16" t="s">
        <v>3065</v>
      </c>
      <c r="J815" s="15"/>
      <c r="K815" s="15"/>
      <c r="L815" s="233" t="s">
        <v>339</v>
      </c>
      <c r="M815" s="16"/>
      <c r="N815" s="233" t="s">
        <v>3066</v>
      </c>
      <c r="O815" s="16" t="s">
        <v>326</v>
      </c>
      <c r="P815" s="219" t="s">
        <v>24</v>
      </c>
      <c r="Q815" s="221" t="s">
        <v>3067</v>
      </c>
    </row>
    <row r="816" spans="1:17" ht="30" x14ac:dyDescent="0.2">
      <c r="A816" s="15">
        <v>813</v>
      </c>
      <c r="B816" s="15">
        <v>2943</v>
      </c>
      <c r="C816" s="232" t="s">
        <v>3068</v>
      </c>
      <c r="D816" s="16" t="s">
        <v>283</v>
      </c>
      <c r="E816" s="17" t="s">
        <v>28</v>
      </c>
      <c r="F816" s="15"/>
      <c r="G816" s="15"/>
      <c r="H816" s="15"/>
      <c r="I816" s="16" t="s">
        <v>3069</v>
      </c>
      <c r="J816" s="15"/>
      <c r="K816" s="15"/>
      <c r="L816" s="233" t="s">
        <v>339</v>
      </c>
      <c r="M816" s="16"/>
      <c r="N816" s="233" t="s">
        <v>3070</v>
      </c>
      <c r="O816" s="16" t="s">
        <v>326</v>
      </c>
      <c r="P816" s="219" t="s">
        <v>47</v>
      </c>
      <c r="Q816" s="222" t="s">
        <v>3071</v>
      </c>
    </row>
    <row r="817" spans="1:17" ht="30" x14ac:dyDescent="0.2">
      <c r="A817" s="15">
        <v>814</v>
      </c>
      <c r="B817" s="15">
        <v>2946</v>
      </c>
      <c r="C817" s="232" t="s">
        <v>3072</v>
      </c>
      <c r="D817" s="16" t="s">
        <v>283</v>
      </c>
      <c r="E817" s="17" t="s">
        <v>20</v>
      </c>
      <c r="F817" s="15"/>
      <c r="G817" s="15"/>
      <c r="H817" s="15"/>
      <c r="I817" s="16" t="s">
        <v>3073</v>
      </c>
      <c r="J817" s="15"/>
      <c r="K817" s="15"/>
      <c r="L817" s="233" t="s">
        <v>339</v>
      </c>
      <c r="M817" s="16"/>
      <c r="N817" s="233" t="s">
        <v>3074</v>
      </c>
      <c r="O817" s="16" t="s">
        <v>363</v>
      </c>
      <c r="P817" s="219" t="s">
        <v>47</v>
      </c>
      <c r="Q817" s="221" t="s">
        <v>3075</v>
      </c>
    </row>
    <row r="818" spans="1:17" ht="30" x14ac:dyDescent="0.2">
      <c r="A818" s="15">
        <v>815</v>
      </c>
      <c r="B818" s="15">
        <v>2965</v>
      </c>
      <c r="C818" s="232" t="s">
        <v>3076</v>
      </c>
      <c r="D818" s="16" t="s">
        <v>19</v>
      </c>
      <c r="E818" s="17" t="s">
        <v>20</v>
      </c>
      <c r="F818" s="15"/>
      <c r="G818" s="15"/>
      <c r="H818" s="15"/>
      <c r="I818" s="16" t="s">
        <v>3077</v>
      </c>
      <c r="J818" s="15"/>
      <c r="K818" s="15"/>
      <c r="L818" s="233" t="s">
        <v>339</v>
      </c>
      <c r="M818" s="16"/>
      <c r="N818" s="233" t="s">
        <v>3078</v>
      </c>
      <c r="O818" s="16" t="s">
        <v>341</v>
      </c>
      <c r="P818" s="219" t="s">
        <v>341</v>
      </c>
      <c r="Q818" s="222" t="s">
        <v>3079</v>
      </c>
    </row>
    <row r="819" spans="1:17" ht="30" x14ac:dyDescent="0.2">
      <c r="A819" s="15">
        <v>816</v>
      </c>
      <c r="B819" s="15">
        <v>2970</v>
      </c>
      <c r="C819" s="232" t="s">
        <v>3080</v>
      </c>
      <c r="D819" s="16" t="s">
        <v>166</v>
      </c>
      <c r="E819" s="17" t="s">
        <v>20</v>
      </c>
      <c r="F819" s="15"/>
      <c r="G819" s="15"/>
      <c r="H819" s="15"/>
      <c r="I819" s="16" t="s">
        <v>652</v>
      </c>
      <c r="J819" s="15"/>
      <c r="K819" s="15"/>
      <c r="L819" s="233" t="s">
        <v>460</v>
      </c>
      <c r="M819" s="16"/>
      <c r="N819" s="233" t="s">
        <v>654</v>
      </c>
      <c r="O819" s="16" t="s">
        <v>341</v>
      </c>
      <c r="P819" s="219" t="s">
        <v>47</v>
      </c>
      <c r="Q819" s="221" t="s">
        <v>3081</v>
      </c>
    </row>
    <row r="820" spans="1:17" ht="30" x14ac:dyDescent="0.2">
      <c r="A820" s="15">
        <v>817</v>
      </c>
      <c r="B820" s="15">
        <v>2972</v>
      </c>
      <c r="C820" s="232" t="s">
        <v>3082</v>
      </c>
      <c r="D820" s="16" t="s">
        <v>41</v>
      </c>
      <c r="E820" s="17" t="s">
        <v>42</v>
      </c>
      <c r="F820" s="15"/>
      <c r="G820" s="15"/>
      <c r="H820" s="15"/>
      <c r="I820" s="16" t="s">
        <v>512</v>
      </c>
      <c r="J820" s="15"/>
      <c r="K820" s="15"/>
      <c r="L820" s="233" t="s">
        <v>460</v>
      </c>
      <c r="M820" s="16"/>
      <c r="N820" s="233" t="s">
        <v>513</v>
      </c>
      <c r="O820" s="16" t="s">
        <v>24</v>
      </c>
      <c r="P820" s="219" t="s">
        <v>47</v>
      </c>
      <c r="Q820" s="222" t="s">
        <v>3083</v>
      </c>
    </row>
    <row r="821" spans="1:17" ht="30" x14ac:dyDescent="0.2">
      <c r="A821" s="15">
        <v>818</v>
      </c>
      <c r="B821" s="15">
        <v>2976</v>
      </c>
      <c r="C821" s="232" t="s">
        <v>3084</v>
      </c>
      <c r="D821" s="16" t="s">
        <v>2395</v>
      </c>
      <c r="E821" s="17" t="s">
        <v>28</v>
      </c>
      <c r="F821" s="15"/>
      <c r="G821" s="15"/>
      <c r="H821" s="15"/>
      <c r="I821" s="16" t="s">
        <v>3085</v>
      </c>
      <c r="J821" s="15"/>
      <c r="K821" s="15"/>
      <c r="L821" s="233" t="s">
        <v>339</v>
      </c>
      <c r="M821" s="16"/>
      <c r="N821" s="233" t="s">
        <v>3086</v>
      </c>
      <c r="O821" s="16" t="s">
        <v>3087</v>
      </c>
      <c r="P821" s="219" t="s">
        <v>3088</v>
      </c>
      <c r="Q821" s="221" t="s">
        <v>3089</v>
      </c>
    </row>
    <row r="822" spans="1:17" ht="30" x14ac:dyDescent="0.2">
      <c r="A822" s="15">
        <v>819</v>
      </c>
      <c r="B822" s="15">
        <v>3010</v>
      </c>
      <c r="C822" s="232" t="s">
        <v>3090</v>
      </c>
      <c r="D822" s="16" t="s">
        <v>318</v>
      </c>
      <c r="E822" s="17" t="s">
        <v>20</v>
      </c>
      <c r="F822" s="15"/>
      <c r="G822" s="15"/>
      <c r="H822" s="15"/>
      <c r="I822" s="16" t="s">
        <v>3091</v>
      </c>
      <c r="J822" s="15"/>
      <c r="K822" s="15"/>
      <c r="L822" s="233" t="s">
        <v>339</v>
      </c>
      <c r="M822" s="16"/>
      <c r="N822" s="233" t="s">
        <v>3092</v>
      </c>
      <c r="O822" s="16" t="s">
        <v>24</v>
      </c>
      <c r="P822" s="219" t="s">
        <v>47</v>
      </c>
      <c r="Q822" s="222" t="s">
        <v>3093</v>
      </c>
    </row>
    <row r="823" spans="1:17" ht="45" x14ac:dyDescent="0.2">
      <c r="A823" s="15">
        <v>820</v>
      </c>
      <c r="B823" s="15">
        <v>3013</v>
      </c>
      <c r="C823" s="232" t="s">
        <v>3094</v>
      </c>
      <c r="D823" s="16" t="s">
        <v>41</v>
      </c>
      <c r="E823" s="17" t="s">
        <v>42</v>
      </c>
      <c r="F823" s="15"/>
      <c r="G823" s="15"/>
      <c r="H823" s="15"/>
      <c r="I823" s="16" t="s">
        <v>3095</v>
      </c>
      <c r="J823" s="15"/>
      <c r="K823" s="15"/>
      <c r="L823" s="233" t="s">
        <v>339</v>
      </c>
      <c r="M823" s="16"/>
      <c r="N823" s="233" t="s">
        <v>3096</v>
      </c>
      <c r="O823" s="16" t="s">
        <v>326</v>
      </c>
      <c r="P823" s="219" t="s">
        <v>24</v>
      </c>
      <c r="Q823" s="221" t="s">
        <v>3097</v>
      </c>
    </row>
    <row r="824" spans="1:17" ht="30" x14ac:dyDescent="0.2">
      <c r="A824" s="15">
        <v>821</v>
      </c>
      <c r="B824" s="15">
        <v>3026</v>
      </c>
      <c r="C824" s="232" t="s">
        <v>3098</v>
      </c>
      <c r="D824" s="16" t="s">
        <v>19</v>
      </c>
      <c r="E824" s="17" t="s">
        <v>28</v>
      </c>
      <c r="F824" s="15"/>
      <c r="G824" s="15"/>
      <c r="H824" s="15"/>
      <c r="I824" s="16" t="s">
        <v>3099</v>
      </c>
      <c r="J824" s="15"/>
      <c r="K824" s="15"/>
      <c r="L824" s="233" t="s">
        <v>339</v>
      </c>
      <c r="M824" s="16"/>
      <c r="N824" s="233" t="s">
        <v>3100</v>
      </c>
      <c r="O824" s="16" t="s">
        <v>24</v>
      </c>
      <c r="P824" s="219" t="s">
        <v>24</v>
      </c>
      <c r="Q824" s="222" t="s">
        <v>3101</v>
      </c>
    </row>
    <row r="825" spans="1:17" ht="30" x14ac:dyDescent="0.2">
      <c r="A825" s="15">
        <v>822</v>
      </c>
      <c r="B825" s="15">
        <v>3030</v>
      </c>
      <c r="C825" s="232" t="s">
        <v>3102</v>
      </c>
      <c r="D825" s="16" t="s">
        <v>283</v>
      </c>
      <c r="E825" s="17" t="s">
        <v>28</v>
      </c>
      <c r="F825" s="15"/>
      <c r="G825" s="15"/>
      <c r="H825" s="15"/>
      <c r="I825" s="16" t="s">
        <v>3103</v>
      </c>
      <c r="J825" s="15"/>
      <c r="K825" s="15"/>
      <c r="L825" s="233" t="s">
        <v>460</v>
      </c>
      <c r="M825" s="16"/>
      <c r="N825" s="233" t="s">
        <v>3104</v>
      </c>
      <c r="O825" s="16" t="s">
        <v>81</v>
      </c>
      <c r="P825" s="219" t="s">
        <v>81</v>
      </c>
      <c r="Q825" s="221" t="s">
        <v>3105</v>
      </c>
    </row>
    <row r="826" spans="1:17" ht="30" x14ac:dyDescent="0.2">
      <c r="A826" s="15">
        <v>823</v>
      </c>
      <c r="B826" s="15">
        <v>3040</v>
      </c>
      <c r="C826" s="232" t="s">
        <v>3106</v>
      </c>
      <c r="D826" s="16" t="s">
        <v>309</v>
      </c>
      <c r="E826" s="17" t="s">
        <v>28</v>
      </c>
      <c r="F826" s="15"/>
      <c r="G826" s="15"/>
      <c r="H826" s="15"/>
      <c r="I826" s="16" t="s">
        <v>3107</v>
      </c>
      <c r="J826" s="15"/>
      <c r="K826" s="15"/>
      <c r="L826" s="233" t="s">
        <v>460</v>
      </c>
      <c r="M826" s="16"/>
      <c r="N826" s="233" t="s">
        <v>3108</v>
      </c>
      <c r="O826" s="16" t="s">
        <v>24</v>
      </c>
      <c r="P826" s="219" t="s">
        <v>24</v>
      </c>
      <c r="Q826" s="222" t="s">
        <v>3109</v>
      </c>
    </row>
    <row r="827" spans="1:17" ht="30" x14ac:dyDescent="0.2">
      <c r="A827" s="15">
        <v>824</v>
      </c>
      <c r="B827" s="15">
        <v>3074</v>
      </c>
      <c r="C827" s="232" t="s">
        <v>3110</v>
      </c>
      <c r="D827" s="16" t="s">
        <v>376</v>
      </c>
      <c r="E827" s="17" t="s">
        <v>20</v>
      </c>
      <c r="F827" s="15"/>
      <c r="G827" s="15"/>
      <c r="H827" s="15"/>
      <c r="I827" s="16" t="s">
        <v>3111</v>
      </c>
      <c r="J827" s="15"/>
      <c r="K827" s="15"/>
      <c r="L827" s="233" t="s">
        <v>460</v>
      </c>
      <c r="M827" s="16"/>
      <c r="N827" s="233" t="s">
        <v>3112</v>
      </c>
      <c r="O827" s="16" t="s">
        <v>326</v>
      </c>
      <c r="P827" s="219" t="s">
        <v>47</v>
      </c>
      <c r="Q827" s="221" t="s">
        <v>3113</v>
      </c>
    </row>
    <row r="828" spans="1:17" ht="30" x14ac:dyDescent="0.2">
      <c r="A828" s="15">
        <v>825</v>
      </c>
      <c r="B828" s="15">
        <v>3075</v>
      </c>
      <c r="C828" s="232" t="s">
        <v>3114</v>
      </c>
      <c r="D828" s="16" t="s">
        <v>1531</v>
      </c>
      <c r="E828" s="17" t="s">
        <v>28</v>
      </c>
      <c r="F828" s="15"/>
      <c r="G828" s="15"/>
      <c r="H828" s="15"/>
      <c r="I828" s="16" t="s">
        <v>2192</v>
      </c>
      <c r="J828" s="15"/>
      <c r="K828" s="15"/>
      <c r="L828" s="233" t="s">
        <v>339</v>
      </c>
      <c r="M828" s="16"/>
      <c r="N828" s="233" t="s">
        <v>3115</v>
      </c>
      <c r="O828" s="16" t="s">
        <v>326</v>
      </c>
      <c r="P828" s="219" t="s">
        <v>47</v>
      </c>
      <c r="Q828" s="222" t="s">
        <v>3116</v>
      </c>
    </row>
    <row r="829" spans="1:17" ht="30" x14ac:dyDescent="0.2">
      <c r="A829" s="15">
        <v>826</v>
      </c>
      <c r="B829" s="15">
        <v>3129</v>
      </c>
      <c r="C829" s="232" t="s">
        <v>3117</v>
      </c>
      <c r="D829" s="16" t="s">
        <v>309</v>
      </c>
      <c r="E829" s="17" t="s">
        <v>28</v>
      </c>
      <c r="F829" s="15"/>
      <c r="G829" s="15"/>
      <c r="H829" s="15"/>
      <c r="I829" s="16" t="s">
        <v>3118</v>
      </c>
      <c r="J829" s="15"/>
      <c r="K829" s="15"/>
      <c r="L829" s="233" t="s">
        <v>339</v>
      </c>
      <c r="M829" s="16"/>
      <c r="N829" s="233" t="s">
        <v>3119</v>
      </c>
      <c r="O829" s="16" t="s">
        <v>3120</v>
      </c>
      <c r="P829" s="219" t="s">
        <v>3121</v>
      </c>
      <c r="Q829" s="221" t="s">
        <v>3122</v>
      </c>
    </row>
    <row r="830" spans="1:17" ht="30" x14ac:dyDescent="0.2">
      <c r="A830" s="15">
        <v>827</v>
      </c>
      <c r="B830" s="15">
        <v>3130</v>
      </c>
      <c r="C830" s="232" t="s">
        <v>3123</v>
      </c>
      <c r="D830" s="16" t="s">
        <v>309</v>
      </c>
      <c r="E830" s="17" t="s">
        <v>42</v>
      </c>
      <c r="F830" s="15"/>
      <c r="G830" s="15"/>
      <c r="H830" s="15"/>
      <c r="I830" s="16" t="s">
        <v>3124</v>
      </c>
      <c r="J830" s="15"/>
      <c r="K830" s="15"/>
      <c r="L830" s="233" t="s">
        <v>339</v>
      </c>
      <c r="M830" s="16"/>
      <c r="N830" s="233" t="s">
        <v>3125</v>
      </c>
      <c r="O830" s="16" t="s">
        <v>3121</v>
      </c>
      <c r="P830" s="219" t="s">
        <v>3121</v>
      </c>
      <c r="Q830" s="222" t="s">
        <v>3126</v>
      </c>
    </row>
    <row r="831" spans="1:17" ht="30" x14ac:dyDescent="0.2">
      <c r="A831" s="15">
        <v>828</v>
      </c>
      <c r="B831" s="15">
        <v>3163</v>
      </c>
      <c r="C831" s="232" t="s">
        <v>3127</v>
      </c>
      <c r="D831" s="16" t="s">
        <v>387</v>
      </c>
      <c r="E831" s="17" t="s">
        <v>28</v>
      </c>
      <c r="F831" s="15"/>
      <c r="G831" s="15"/>
      <c r="H831" s="15"/>
      <c r="I831" s="16" t="s">
        <v>748</v>
      </c>
      <c r="J831" s="15"/>
      <c r="K831" s="15"/>
      <c r="L831" s="233" t="s">
        <v>460</v>
      </c>
      <c r="M831" s="16"/>
      <c r="N831" s="233" t="s">
        <v>750</v>
      </c>
      <c r="O831" s="16" t="s">
        <v>24</v>
      </c>
      <c r="P831" s="219" t="s">
        <v>24</v>
      </c>
      <c r="Q831" s="221" t="s">
        <v>3128</v>
      </c>
    </row>
    <row r="832" spans="1:17" ht="30" x14ac:dyDescent="0.2">
      <c r="A832" s="15">
        <v>829</v>
      </c>
      <c r="B832" s="15">
        <v>3201</v>
      </c>
      <c r="C832" s="232" t="s">
        <v>3129</v>
      </c>
      <c r="D832" s="16" t="s">
        <v>309</v>
      </c>
      <c r="E832" s="17" t="s">
        <v>28</v>
      </c>
      <c r="F832" s="15"/>
      <c r="G832" s="15"/>
      <c r="H832" s="15"/>
      <c r="I832" s="16" t="s">
        <v>3130</v>
      </c>
      <c r="J832" s="15"/>
      <c r="K832" s="15"/>
      <c r="L832" s="233" t="s">
        <v>339</v>
      </c>
      <c r="M832" s="16"/>
      <c r="N832" s="233" t="s">
        <v>3131</v>
      </c>
      <c r="O832" s="16" t="s">
        <v>24</v>
      </c>
      <c r="P832" s="219" t="s">
        <v>47</v>
      </c>
      <c r="Q832" s="222" t="s">
        <v>3132</v>
      </c>
    </row>
    <row r="833" spans="1:17" ht="30" x14ac:dyDescent="0.2">
      <c r="A833" s="15">
        <v>830</v>
      </c>
      <c r="B833" s="15">
        <v>3212</v>
      </c>
      <c r="C833" s="232" t="s">
        <v>3133</v>
      </c>
      <c r="D833" s="16" t="s">
        <v>283</v>
      </c>
      <c r="E833" s="17" t="s">
        <v>28</v>
      </c>
      <c r="F833" s="15"/>
      <c r="G833" s="15"/>
      <c r="H833" s="15"/>
      <c r="I833" s="16" t="s">
        <v>3134</v>
      </c>
      <c r="J833" s="15"/>
      <c r="K833" s="15"/>
      <c r="L833" s="233" t="s">
        <v>339</v>
      </c>
      <c r="M833" s="16"/>
      <c r="N833" s="233" t="s">
        <v>3135</v>
      </c>
      <c r="O833" s="16" t="s">
        <v>363</v>
      </c>
      <c r="P833" s="219" t="s">
        <v>363</v>
      </c>
      <c r="Q833" s="221" t="s">
        <v>3136</v>
      </c>
    </row>
    <row r="834" spans="1:17" ht="30" x14ac:dyDescent="0.2">
      <c r="A834" s="15">
        <v>831</v>
      </c>
      <c r="B834" s="15">
        <v>3225</v>
      </c>
      <c r="C834" s="232" t="s">
        <v>3137</v>
      </c>
      <c r="D834" s="16" t="s">
        <v>360</v>
      </c>
      <c r="E834" s="17" t="s">
        <v>42</v>
      </c>
      <c r="F834" s="15"/>
      <c r="G834" s="15"/>
      <c r="H834" s="15"/>
      <c r="I834" s="16" t="s">
        <v>3138</v>
      </c>
      <c r="J834" s="15"/>
      <c r="K834" s="15"/>
      <c r="L834" s="233" t="s">
        <v>339</v>
      </c>
      <c r="M834" s="16"/>
      <c r="N834" s="233" t="s">
        <v>3139</v>
      </c>
      <c r="O834" s="16" t="s">
        <v>341</v>
      </c>
      <c r="P834" s="219" t="s">
        <v>24</v>
      </c>
      <c r="Q834" s="222" t="s">
        <v>3140</v>
      </c>
    </row>
    <row r="835" spans="1:17" ht="45" x14ac:dyDescent="0.2">
      <c r="A835" s="15">
        <v>832</v>
      </c>
      <c r="B835" s="15">
        <v>3296</v>
      </c>
      <c r="C835" s="232" t="s">
        <v>3141</v>
      </c>
      <c r="D835" s="16" t="s">
        <v>295</v>
      </c>
      <c r="E835" s="17" t="s">
        <v>28</v>
      </c>
      <c r="F835" s="15"/>
      <c r="G835" s="15"/>
      <c r="H835" s="15"/>
      <c r="I835" s="16" t="s">
        <v>3142</v>
      </c>
      <c r="J835" s="15"/>
      <c r="K835" s="15"/>
      <c r="L835" s="233" t="s">
        <v>339</v>
      </c>
      <c r="M835" s="16"/>
      <c r="N835" s="233" t="s">
        <v>3143</v>
      </c>
      <c r="O835" s="16" t="s">
        <v>3144</v>
      </c>
      <c r="P835" s="219" t="s">
        <v>47</v>
      </c>
      <c r="Q835" s="221" t="s">
        <v>3145</v>
      </c>
    </row>
    <row r="836" spans="1:17" ht="45" x14ac:dyDescent="0.2">
      <c r="A836" s="15">
        <v>833</v>
      </c>
      <c r="B836" s="15">
        <v>3314</v>
      </c>
      <c r="C836" s="232" t="s">
        <v>3146</v>
      </c>
      <c r="D836" s="16" t="s">
        <v>376</v>
      </c>
      <c r="E836" s="17" t="s">
        <v>20</v>
      </c>
      <c r="F836" s="15"/>
      <c r="G836" s="15"/>
      <c r="H836" s="15"/>
      <c r="I836" s="16" t="s">
        <v>3147</v>
      </c>
      <c r="J836" s="15"/>
      <c r="K836" s="15"/>
      <c r="L836" s="233" t="s">
        <v>339</v>
      </c>
      <c r="M836" s="16"/>
      <c r="N836" s="233" t="s">
        <v>3148</v>
      </c>
      <c r="O836" s="16" t="s">
        <v>24</v>
      </c>
      <c r="P836" s="219" t="s">
        <v>47</v>
      </c>
      <c r="Q836" s="222" t="s">
        <v>3149</v>
      </c>
    </row>
    <row r="837" spans="1:17" ht="30" x14ac:dyDescent="0.2">
      <c r="A837" s="15">
        <v>834</v>
      </c>
      <c r="B837" s="15">
        <v>3315</v>
      </c>
      <c r="C837" s="232" t="s">
        <v>3150</v>
      </c>
      <c r="D837" s="16" t="s">
        <v>376</v>
      </c>
      <c r="E837" s="17" t="s">
        <v>28</v>
      </c>
      <c r="F837" s="15"/>
      <c r="G837" s="15"/>
      <c r="H837" s="15"/>
      <c r="I837" s="16" t="s">
        <v>3147</v>
      </c>
      <c r="J837" s="15"/>
      <c r="K837" s="15"/>
      <c r="L837" s="233" t="s">
        <v>339</v>
      </c>
      <c r="M837" s="16"/>
      <c r="N837" s="233" t="s">
        <v>3151</v>
      </c>
      <c r="O837" s="16" t="s">
        <v>24</v>
      </c>
      <c r="P837" s="219" t="s">
        <v>47</v>
      </c>
      <c r="Q837" s="221" t="s">
        <v>3152</v>
      </c>
    </row>
    <row r="838" spans="1:17" ht="30" x14ac:dyDescent="0.2">
      <c r="A838" s="15">
        <v>835</v>
      </c>
      <c r="B838" s="15">
        <v>3371</v>
      </c>
      <c r="C838" s="232" t="s">
        <v>3153</v>
      </c>
      <c r="D838" s="16" t="s">
        <v>19</v>
      </c>
      <c r="E838" s="17" t="s">
        <v>28</v>
      </c>
      <c r="F838" s="15"/>
      <c r="G838" s="15"/>
      <c r="H838" s="15"/>
      <c r="I838" s="16" t="s">
        <v>3154</v>
      </c>
      <c r="J838" s="15"/>
      <c r="K838" s="15"/>
      <c r="L838" s="233" t="s">
        <v>339</v>
      </c>
      <c r="M838" s="16"/>
      <c r="N838" s="233" t="s">
        <v>3155</v>
      </c>
      <c r="O838" s="16" t="s">
        <v>24</v>
      </c>
      <c r="P838" s="219" t="s">
        <v>24</v>
      </c>
      <c r="Q838" s="222" t="s">
        <v>3156</v>
      </c>
    </row>
    <row r="839" spans="1:17" x14ac:dyDescent="0.2">
      <c r="A839" s="15">
        <v>836</v>
      </c>
      <c r="B839" s="15">
        <v>3379</v>
      </c>
      <c r="C839" s="232" t="s">
        <v>3157</v>
      </c>
      <c r="D839" s="16" t="s">
        <v>376</v>
      </c>
      <c r="E839" s="17" t="s">
        <v>20</v>
      </c>
      <c r="F839" s="15"/>
      <c r="G839" s="15"/>
      <c r="H839" s="15"/>
      <c r="I839" s="16" t="s">
        <v>3158</v>
      </c>
      <c r="J839" s="15"/>
      <c r="K839" s="15"/>
      <c r="L839" s="233" t="s">
        <v>339</v>
      </c>
      <c r="M839" s="16"/>
      <c r="N839" s="233" t="s">
        <v>3159</v>
      </c>
      <c r="O839" s="16" t="s">
        <v>24</v>
      </c>
      <c r="P839" s="219" t="s">
        <v>24</v>
      </c>
      <c r="Q839" s="221" t="s">
        <v>3160</v>
      </c>
    </row>
    <row r="840" spans="1:17" ht="30" x14ac:dyDescent="0.2">
      <c r="A840" s="15">
        <v>837</v>
      </c>
      <c r="B840" s="15">
        <v>3381</v>
      </c>
      <c r="C840" s="232" t="s">
        <v>3161</v>
      </c>
      <c r="D840" s="16" t="s">
        <v>3162</v>
      </c>
      <c r="E840" s="17" t="s">
        <v>28</v>
      </c>
      <c r="F840" s="15"/>
      <c r="G840" s="15"/>
      <c r="H840" s="15"/>
      <c r="I840" s="16" t="s">
        <v>3163</v>
      </c>
      <c r="J840" s="15"/>
      <c r="K840" s="15"/>
      <c r="L840" s="233" t="s">
        <v>339</v>
      </c>
      <c r="M840" s="16"/>
      <c r="N840" s="233" t="s">
        <v>3164</v>
      </c>
      <c r="O840" s="16" t="s">
        <v>24</v>
      </c>
      <c r="P840" s="219" t="s">
        <v>153</v>
      </c>
      <c r="Q840" s="222" t="s">
        <v>3165</v>
      </c>
    </row>
    <row r="841" spans="1:17" ht="30" x14ac:dyDescent="0.2">
      <c r="A841" s="15">
        <v>838</v>
      </c>
      <c r="B841" s="15">
        <v>3408</v>
      </c>
      <c r="C841" s="232" t="s">
        <v>3166</v>
      </c>
      <c r="D841" s="16" t="s">
        <v>3167</v>
      </c>
      <c r="E841" s="17" t="s">
        <v>28</v>
      </c>
      <c r="F841" s="15"/>
      <c r="G841" s="15"/>
      <c r="H841" s="15"/>
      <c r="I841" s="16" t="s">
        <v>3168</v>
      </c>
      <c r="J841" s="15"/>
      <c r="K841" s="15"/>
      <c r="L841" s="233" t="s">
        <v>339</v>
      </c>
      <c r="M841" s="16"/>
      <c r="N841" s="233" t="s">
        <v>3169</v>
      </c>
      <c r="O841" s="16" t="s">
        <v>3170</v>
      </c>
      <c r="P841" s="219" t="s">
        <v>24</v>
      </c>
      <c r="Q841" s="221" t="s">
        <v>3171</v>
      </c>
    </row>
    <row r="842" spans="1:17" ht="30" x14ac:dyDescent="0.2">
      <c r="A842" s="15">
        <v>839</v>
      </c>
      <c r="B842" s="15">
        <v>3418</v>
      </c>
      <c r="C842" s="232" t="s">
        <v>3172</v>
      </c>
      <c r="D842" s="16" t="s">
        <v>19</v>
      </c>
      <c r="E842" s="17" t="s">
        <v>28</v>
      </c>
      <c r="F842" s="15"/>
      <c r="G842" s="15"/>
      <c r="H842" s="15"/>
      <c r="I842" s="16" t="s">
        <v>3173</v>
      </c>
      <c r="J842" s="15"/>
      <c r="K842" s="15"/>
      <c r="L842" s="233" t="s">
        <v>339</v>
      </c>
      <c r="M842" s="16"/>
      <c r="N842" s="233" t="s">
        <v>3174</v>
      </c>
      <c r="O842" s="16" t="s">
        <v>363</v>
      </c>
      <c r="P842" s="219" t="s">
        <v>24</v>
      </c>
      <c r="Q842" s="222" t="s">
        <v>3175</v>
      </c>
    </row>
    <row r="843" spans="1:17" ht="30" x14ac:dyDescent="0.2">
      <c r="A843" s="15">
        <v>840</v>
      </c>
      <c r="B843" s="15">
        <v>3432</v>
      </c>
      <c r="C843" s="232" t="s">
        <v>3176</v>
      </c>
      <c r="D843" s="16" t="s">
        <v>376</v>
      </c>
      <c r="E843" s="17" t="s">
        <v>20</v>
      </c>
      <c r="F843" s="15"/>
      <c r="G843" s="15"/>
      <c r="H843" s="15"/>
      <c r="I843" s="16" t="s">
        <v>3177</v>
      </c>
      <c r="J843" s="15"/>
      <c r="K843" s="15"/>
      <c r="L843" s="233" t="s">
        <v>339</v>
      </c>
      <c r="M843" s="16"/>
      <c r="N843" s="233" t="s">
        <v>3178</v>
      </c>
      <c r="O843" s="16" t="s">
        <v>24</v>
      </c>
      <c r="P843" s="219" t="s">
        <v>47</v>
      </c>
      <c r="Q843" s="221" t="s">
        <v>3179</v>
      </c>
    </row>
    <row r="844" spans="1:17" ht="45" x14ac:dyDescent="0.2">
      <c r="A844" s="15">
        <v>841</v>
      </c>
      <c r="B844" s="15">
        <v>3434</v>
      </c>
      <c r="C844" s="232" t="s">
        <v>3180</v>
      </c>
      <c r="D844" s="16" t="s">
        <v>3181</v>
      </c>
      <c r="E844" s="17" t="s">
        <v>28</v>
      </c>
      <c r="F844" s="15"/>
      <c r="G844" s="15"/>
      <c r="H844" s="15"/>
      <c r="I844" s="16" t="s">
        <v>3182</v>
      </c>
      <c r="J844" s="15"/>
      <c r="K844" s="15"/>
      <c r="L844" s="233" t="s">
        <v>339</v>
      </c>
      <c r="M844" s="16"/>
      <c r="N844" s="233" t="s">
        <v>3183</v>
      </c>
      <c r="O844" s="16" t="s">
        <v>1370</v>
      </c>
      <c r="P844" s="219" t="s">
        <v>47</v>
      </c>
      <c r="Q844" s="222" t="s">
        <v>3184</v>
      </c>
    </row>
    <row r="845" spans="1:17" ht="30" x14ac:dyDescent="0.2">
      <c r="A845" s="15">
        <v>842</v>
      </c>
      <c r="B845" s="15">
        <v>3453</v>
      </c>
      <c r="C845" s="232" t="s">
        <v>3185</v>
      </c>
      <c r="D845" s="16" t="s">
        <v>376</v>
      </c>
      <c r="E845" s="17" t="s">
        <v>28</v>
      </c>
      <c r="F845" s="15"/>
      <c r="G845" s="15"/>
      <c r="H845" s="15"/>
      <c r="I845" s="16" t="s">
        <v>3186</v>
      </c>
      <c r="J845" s="15"/>
      <c r="K845" s="15"/>
      <c r="L845" s="233" t="s">
        <v>339</v>
      </c>
      <c r="M845" s="16"/>
      <c r="N845" s="233" t="s">
        <v>3187</v>
      </c>
      <c r="O845" s="16" t="s">
        <v>3144</v>
      </c>
      <c r="P845" s="219" t="s">
        <v>47</v>
      </c>
      <c r="Q845" s="221" t="s">
        <v>3188</v>
      </c>
    </row>
    <row r="846" spans="1:17" ht="30" x14ac:dyDescent="0.2">
      <c r="A846" s="15">
        <v>843</v>
      </c>
      <c r="B846" s="15">
        <v>3454</v>
      </c>
      <c r="C846" s="232" t="s">
        <v>3189</v>
      </c>
      <c r="D846" s="16" t="s">
        <v>376</v>
      </c>
      <c r="E846" s="17" t="s">
        <v>42</v>
      </c>
      <c r="F846" s="15"/>
      <c r="G846" s="15"/>
      <c r="H846" s="15"/>
      <c r="I846" s="16" t="s">
        <v>3190</v>
      </c>
      <c r="J846" s="15"/>
      <c r="K846" s="15"/>
      <c r="L846" s="233" t="s">
        <v>339</v>
      </c>
      <c r="M846" s="16"/>
      <c r="N846" s="233" t="s">
        <v>3191</v>
      </c>
      <c r="O846" s="16" t="s">
        <v>326</v>
      </c>
      <c r="P846" s="219" t="s">
        <v>24</v>
      </c>
      <c r="Q846" s="222" t="s">
        <v>3192</v>
      </c>
    </row>
    <row r="847" spans="1:17" ht="30" x14ac:dyDescent="0.2">
      <c r="A847" s="15">
        <v>844</v>
      </c>
      <c r="B847" s="15">
        <v>3462</v>
      </c>
      <c r="C847" s="232" t="s">
        <v>3193</v>
      </c>
      <c r="D847" s="16" t="s">
        <v>1531</v>
      </c>
      <c r="E847" s="17" t="s">
        <v>28</v>
      </c>
      <c r="F847" s="15"/>
      <c r="G847" s="15"/>
      <c r="H847" s="15"/>
      <c r="I847" s="16" t="s">
        <v>3194</v>
      </c>
      <c r="J847" s="15"/>
      <c r="K847" s="15"/>
      <c r="L847" s="233" t="s">
        <v>339</v>
      </c>
      <c r="M847" s="16"/>
      <c r="N847" s="233" t="s">
        <v>3195</v>
      </c>
      <c r="O847" s="16" t="s">
        <v>3196</v>
      </c>
      <c r="P847" s="219" t="s">
        <v>363</v>
      </c>
      <c r="Q847" s="221" t="s">
        <v>3197</v>
      </c>
    </row>
    <row r="848" spans="1:17" ht="30" x14ac:dyDescent="0.2">
      <c r="A848" s="15">
        <v>845</v>
      </c>
      <c r="B848" s="15">
        <v>3483</v>
      </c>
      <c r="C848" s="232" t="s">
        <v>3198</v>
      </c>
      <c r="D848" s="16" t="s">
        <v>376</v>
      </c>
      <c r="E848" s="17" t="s">
        <v>20</v>
      </c>
      <c r="F848" s="15"/>
      <c r="G848" s="15"/>
      <c r="H848" s="15"/>
      <c r="I848" s="16" t="s">
        <v>3199</v>
      </c>
      <c r="J848" s="15"/>
      <c r="K848" s="15"/>
      <c r="L848" s="233" t="s">
        <v>339</v>
      </c>
      <c r="M848" s="16"/>
      <c r="N848" s="233" t="s">
        <v>3200</v>
      </c>
      <c r="O848" s="16" t="s">
        <v>1175</v>
      </c>
      <c r="P848" s="219" t="s">
        <v>24</v>
      </c>
      <c r="Q848" s="222" t="s">
        <v>3201</v>
      </c>
    </row>
    <row r="849" spans="1:17" ht="30" x14ac:dyDescent="0.2">
      <c r="A849" s="15">
        <v>846</v>
      </c>
      <c r="B849" s="15">
        <v>3488</v>
      </c>
      <c r="C849" s="232" t="s">
        <v>3202</v>
      </c>
      <c r="D849" s="16" t="s">
        <v>19</v>
      </c>
      <c r="E849" s="17" t="s">
        <v>28</v>
      </c>
      <c r="F849" s="15"/>
      <c r="G849" s="15"/>
      <c r="H849" s="15"/>
      <c r="I849" s="16" t="s">
        <v>3203</v>
      </c>
      <c r="J849" s="15"/>
      <c r="K849" s="15"/>
      <c r="L849" s="233" t="s">
        <v>339</v>
      </c>
      <c r="M849" s="16"/>
      <c r="N849" s="233" t="s">
        <v>3204</v>
      </c>
      <c r="O849" s="16" t="s">
        <v>326</v>
      </c>
      <c r="P849" s="219" t="s">
        <v>24</v>
      </c>
      <c r="Q849" s="221" t="s">
        <v>3205</v>
      </c>
    </row>
    <row r="850" spans="1:17" ht="30" x14ac:dyDescent="0.2">
      <c r="A850" s="15">
        <v>847</v>
      </c>
      <c r="B850" s="15">
        <v>3507</v>
      </c>
      <c r="C850" s="232" t="s">
        <v>3206</v>
      </c>
      <c r="D850" s="16" t="s">
        <v>318</v>
      </c>
      <c r="E850" s="17" t="s">
        <v>20</v>
      </c>
      <c r="F850" s="15"/>
      <c r="G850" s="15"/>
      <c r="H850" s="15"/>
      <c r="I850" s="16" t="s">
        <v>3207</v>
      </c>
      <c r="J850" s="15"/>
      <c r="K850" s="15"/>
      <c r="L850" s="233" t="s">
        <v>339</v>
      </c>
      <c r="M850" s="16"/>
      <c r="N850" s="233" t="s">
        <v>3208</v>
      </c>
      <c r="O850" s="16" t="s">
        <v>341</v>
      </c>
      <c r="P850" s="219" t="s">
        <v>47</v>
      </c>
      <c r="Q850" s="222" t="s">
        <v>3209</v>
      </c>
    </row>
    <row r="851" spans="1:17" ht="30" x14ac:dyDescent="0.2">
      <c r="A851" s="15">
        <v>848</v>
      </c>
      <c r="B851" s="15">
        <v>3510</v>
      </c>
      <c r="C851" s="232" t="s">
        <v>3210</v>
      </c>
      <c r="D851" s="16" t="s">
        <v>318</v>
      </c>
      <c r="E851" s="17" t="s">
        <v>42</v>
      </c>
      <c r="F851" s="15"/>
      <c r="G851" s="15"/>
      <c r="H851" s="15"/>
      <c r="I851" s="16" t="s">
        <v>3211</v>
      </c>
      <c r="J851" s="15"/>
      <c r="K851" s="15"/>
      <c r="L851" s="233" t="s">
        <v>339</v>
      </c>
      <c r="M851" s="16"/>
      <c r="N851" s="233" t="s">
        <v>3212</v>
      </c>
      <c r="O851" s="16" t="s">
        <v>326</v>
      </c>
      <c r="P851" s="219" t="s">
        <v>24</v>
      </c>
      <c r="Q851" s="221" t="s">
        <v>3213</v>
      </c>
    </row>
    <row r="852" spans="1:17" ht="30" x14ac:dyDescent="0.2">
      <c r="A852" s="15">
        <v>849</v>
      </c>
      <c r="B852" s="15">
        <v>3567</v>
      </c>
      <c r="C852" s="232" t="s">
        <v>3214</v>
      </c>
      <c r="D852" s="16" t="s">
        <v>283</v>
      </c>
      <c r="E852" s="17" t="s">
        <v>28</v>
      </c>
      <c r="F852" s="15"/>
      <c r="G852" s="15"/>
      <c r="H852" s="15"/>
      <c r="I852" s="16" t="s">
        <v>3215</v>
      </c>
      <c r="J852" s="15"/>
      <c r="K852" s="15"/>
      <c r="L852" s="233" t="s">
        <v>339</v>
      </c>
      <c r="M852" s="16"/>
      <c r="N852" s="233" t="s">
        <v>3216</v>
      </c>
      <c r="O852" s="16" t="s">
        <v>3217</v>
      </c>
      <c r="P852" s="219" t="s">
        <v>3218</v>
      </c>
      <c r="Q852" s="222" t="s">
        <v>3219</v>
      </c>
    </row>
    <row r="853" spans="1:17" ht="30" x14ac:dyDescent="0.2">
      <c r="A853" s="15">
        <v>850</v>
      </c>
      <c r="B853" s="15">
        <v>3600</v>
      </c>
      <c r="C853" s="232" t="s">
        <v>3220</v>
      </c>
      <c r="D853" s="16" t="s">
        <v>2562</v>
      </c>
      <c r="E853" s="17" t="s">
        <v>42</v>
      </c>
      <c r="F853" s="15"/>
      <c r="G853" s="15"/>
      <c r="H853" s="15"/>
      <c r="I853" s="16" t="s">
        <v>3221</v>
      </c>
      <c r="J853" s="15"/>
      <c r="K853" s="15"/>
      <c r="L853" s="233" t="s">
        <v>339</v>
      </c>
      <c r="M853" s="16"/>
      <c r="N853" s="233" t="s">
        <v>3222</v>
      </c>
      <c r="O853" s="16" t="s">
        <v>3223</v>
      </c>
      <c r="P853" s="219" t="s">
        <v>649</v>
      </c>
      <c r="Q853" s="221" t="s">
        <v>3224</v>
      </c>
    </row>
    <row r="854" spans="1:17" ht="30" x14ac:dyDescent="0.2">
      <c r="A854" s="15">
        <v>851</v>
      </c>
      <c r="B854" s="15">
        <v>3629</v>
      </c>
      <c r="C854" s="232" t="s">
        <v>3225</v>
      </c>
      <c r="D854" s="16" t="s">
        <v>1198</v>
      </c>
      <c r="E854" s="17" t="s">
        <v>28</v>
      </c>
      <c r="F854" s="15"/>
      <c r="G854" s="15"/>
      <c r="H854" s="15"/>
      <c r="I854" s="16" t="s">
        <v>3226</v>
      </c>
      <c r="J854" s="15"/>
      <c r="K854" s="15"/>
      <c r="L854" s="233" t="s">
        <v>339</v>
      </c>
      <c r="M854" s="16"/>
      <c r="N854" s="233" t="s">
        <v>3227</v>
      </c>
      <c r="O854" s="16" t="s">
        <v>894</v>
      </c>
      <c r="P854" s="219" t="s">
        <v>24</v>
      </c>
      <c r="Q854" s="222" t="s">
        <v>3228</v>
      </c>
    </row>
    <row r="855" spans="1:17" ht="30" x14ac:dyDescent="0.2">
      <c r="A855" s="15">
        <v>852</v>
      </c>
      <c r="B855" s="15">
        <v>3634</v>
      </c>
      <c r="C855" s="232" t="s">
        <v>3229</v>
      </c>
      <c r="D855" s="16" t="s">
        <v>1472</v>
      </c>
      <c r="E855" s="17" t="s">
        <v>28</v>
      </c>
      <c r="F855" s="15"/>
      <c r="G855" s="15"/>
      <c r="H855" s="15"/>
      <c r="I855" s="16" t="s">
        <v>3230</v>
      </c>
      <c r="J855" s="15"/>
      <c r="K855" s="15"/>
      <c r="L855" s="233" t="s">
        <v>339</v>
      </c>
      <c r="M855" s="16"/>
      <c r="N855" s="233" t="s">
        <v>3231</v>
      </c>
      <c r="O855" s="16" t="s">
        <v>24</v>
      </c>
      <c r="P855" s="219" t="s">
        <v>24</v>
      </c>
      <c r="Q855" s="221" t="s">
        <v>3232</v>
      </c>
    </row>
    <row r="856" spans="1:17" ht="30" x14ac:dyDescent="0.2">
      <c r="A856" s="15">
        <v>853</v>
      </c>
      <c r="B856" s="15">
        <v>3637</v>
      </c>
      <c r="C856" s="232" t="s">
        <v>3233</v>
      </c>
      <c r="D856" s="16" t="s">
        <v>376</v>
      </c>
      <c r="E856" s="17" t="s">
        <v>20</v>
      </c>
      <c r="F856" s="15"/>
      <c r="G856" s="15"/>
      <c r="H856" s="15"/>
      <c r="I856" s="16" t="s">
        <v>3234</v>
      </c>
      <c r="J856" s="15"/>
      <c r="K856" s="15"/>
      <c r="L856" s="233" t="s">
        <v>339</v>
      </c>
      <c r="M856" s="16"/>
      <c r="N856" s="233" t="s">
        <v>3235</v>
      </c>
      <c r="O856" s="16" t="s">
        <v>24</v>
      </c>
      <c r="P856" s="219" t="s">
        <v>47</v>
      </c>
      <c r="Q856" s="222" t="s">
        <v>3236</v>
      </c>
    </row>
    <row r="857" spans="1:17" ht="30" x14ac:dyDescent="0.2">
      <c r="A857" s="15">
        <v>854</v>
      </c>
      <c r="B857" s="15">
        <v>3650</v>
      </c>
      <c r="C857" s="232" t="s">
        <v>3237</v>
      </c>
      <c r="D857" s="16" t="s">
        <v>1198</v>
      </c>
      <c r="E857" s="17" t="s">
        <v>28</v>
      </c>
      <c r="F857" s="15"/>
      <c r="G857" s="15"/>
      <c r="H857" s="15"/>
      <c r="I857" s="16" t="s">
        <v>3238</v>
      </c>
      <c r="J857" s="15"/>
      <c r="K857" s="15"/>
      <c r="L857" s="233" t="s">
        <v>339</v>
      </c>
      <c r="M857" s="16"/>
      <c r="N857" s="233" t="s">
        <v>3239</v>
      </c>
      <c r="O857" s="16" t="s">
        <v>1845</v>
      </c>
      <c r="P857" s="219" t="s">
        <v>648</v>
      </c>
      <c r="Q857" s="221" t="s">
        <v>3240</v>
      </c>
    </row>
    <row r="858" spans="1:17" ht="30" x14ac:dyDescent="0.2">
      <c r="A858" s="15">
        <v>855</v>
      </c>
      <c r="B858" s="15">
        <v>3651</v>
      </c>
      <c r="C858" s="232" t="s">
        <v>3241</v>
      </c>
      <c r="D858" s="16" t="s">
        <v>1198</v>
      </c>
      <c r="E858" s="17" t="s">
        <v>42</v>
      </c>
      <c r="F858" s="15"/>
      <c r="G858" s="15"/>
      <c r="H858" s="15"/>
      <c r="I858" s="16" t="s">
        <v>3242</v>
      </c>
      <c r="J858" s="15"/>
      <c r="K858" s="15"/>
      <c r="L858" s="233" t="s">
        <v>339</v>
      </c>
      <c r="M858" s="16"/>
      <c r="N858" s="233" t="s">
        <v>3243</v>
      </c>
      <c r="O858" s="16" t="s">
        <v>3244</v>
      </c>
      <c r="P858" s="219" t="s">
        <v>2832</v>
      </c>
      <c r="Q858" s="222" t="s">
        <v>3245</v>
      </c>
    </row>
    <row r="859" spans="1:17" ht="30" x14ac:dyDescent="0.2">
      <c r="A859" s="15">
        <v>856</v>
      </c>
      <c r="B859" s="15">
        <v>3652</v>
      </c>
      <c r="C859" s="232" t="s">
        <v>3246</v>
      </c>
      <c r="D859" s="16" t="s">
        <v>309</v>
      </c>
      <c r="E859" s="17" t="s">
        <v>28</v>
      </c>
      <c r="F859" s="15"/>
      <c r="G859" s="15"/>
      <c r="H859" s="15"/>
      <c r="I859" s="16" t="s">
        <v>3247</v>
      </c>
      <c r="J859" s="15"/>
      <c r="K859" s="15"/>
      <c r="L859" s="233" t="s">
        <v>339</v>
      </c>
      <c r="M859" s="16"/>
      <c r="N859" s="233" t="s">
        <v>3248</v>
      </c>
      <c r="O859" s="16" t="s">
        <v>24</v>
      </c>
      <c r="P859" s="219" t="s">
        <v>24</v>
      </c>
      <c r="Q859" s="221" t="s">
        <v>3249</v>
      </c>
    </row>
    <row r="860" spans="1:17" ht="30" x14ac:dyDescent="0.2">
      <c r="A860" s="15">
        <v>857</v>
      </c>
      <c r="B860" s="15">
        <v>3655</v>
      </c>
      <c r="C860" s="232" t="s">
        <v>3250</v>
      </c>
      <c r="D860" s="16" t="s">
        <v>660</v>
      </c>
      <c r="E860" s="17" t="s">
        <v>42</v>
      </c>
      <c r="F860" s="15"/>
      <c r="G860" s="15"/>
      <c r="H860" s="15"/>
      <c r="I860" s="16" t="s">
        <v>3251</v>
      </c>
      <c r="J860" s="15"/>
      <c r="K860" s="15"/>
      <c r="L860" s="233" t="s">
        <v>339</v>
      </c>
      <c r="M860" s="16"/>
      <c r="N860" s="233" t="s">
        <v>3252</v>
      </c>
      <c r="O860" s="16" t="s">
        <v>3253</v>
      </c>
      <c r="P860" s="219" t="s">
        <v>24</v>
      </c>
      <c r="Q860" s="222" t="s">
        <v>3254</v>
      </c>
    </row>
    <row r="861" spans="1:17" ht="30" x14ac:dyDescent="0.2">
      <c r="A861" s="15">
        <v>858</v>
      </c>
      <c r="B861" s="15">
        <v>3660</v>
      </c>
      <c r="C861" s="232" t="s">
        <v>3255</v>
      </c>
      <c r="D861" s="16" t="s">
        <v>318</v>
      </c>
      <c r="E861" s="17" t="s">
        <v>28</v>
      </c>
      <c r="F861" s="15"/>
      <c r="G861" s="15"/>
      <c r="H861" s="15"/>
      <c r="I861" s="16" t="s">
        <v>3256</v>
      </c>
      <c r="J861" s="15"/>
      <c r="K861" s="15"/>
      <c r="L861" s="233" t="s">
        <v>339</v>
      </c>
      <c r="M861" s="16"/>
      <c r="N861" s="233" t="s">
        <v>3257</v>
      </c>
      <c r="O861" s="16" t="s">
        <v>24</v>
      </c>
      <c r="P861" s="219" t="s">
        <v>24</v>
      </c>
      <c r="Q861" s="221" t="s">
        <v>3258</v>
      </c>
    </row>
    <row r="862" spans="1:17" ht="30" x14ac:dyDescent="0.2">
      <c r="A862" s="15">
        <v>859</v>
      </c>
      <c r="B862" s="15">
        <v>3661</v>
      </c>
      <c r="C862" s="232" t="s">
        <v>3259</v>
      </c>
      <c r="D862" s="16" t="s">
        <v>318</v>
      </c>
      <c r="E862" s="17" t="s">
        <v>42</v>
      </c>
      <c r="F862" s="15"/>
      <c r="G862" s="15"/>
      <c r="H862" s="15"/>
      <c r="I862" s="16" t="s">
        <v>3260</v>
      </c>
      <c r="J862" s="15"/>
      <c r="K862" s="15"/>
      <c r="L862" s="233" t="s">
        <v>339</v>
      </c>
      <c r="M862" s="16"/>
      <c r="N862" s="233" t="s">
        <v>3261</v>
      </c>
      <c r="O862" s="16" t="s">
        <v>341</v>
      </c>
      <c r="P862" s="219" t="s">
        <v>24</v>
      </c>
      <c r="Q862" s="222" t="s">
        <v>3262</v>
      </c>
    </row>
    <row r="863" spans="1:17" ht="30" x14ac:dyDescent="0.2">
      <c r="A863" s="15">
        <v>860</v>
      </c>
      <c r="B863" s="15">
        <v>3666</v>
      </c>
      <c r="C863" s="232" t="s">
        <v>3263</v>
      </c>
      <c r="D863" s="16" t="s">
        <v>1873</v>
      </c>
      <c r="E863" s="17" t="s">
        <v>42</v>
      </c>
      <c r="F863" s="15"/>
      <c r="G863" s="15"/>
      <c r="H863" s="15"/>
      <c r="I863" s="16" t="s">
        <v>3264</v>
      </c>
      <c r="J863" s="15"/>
      <c r="K863" s="15"/>
      <c r="L863" s="233" t="s">
        <v>339</v>
      </c>
      <c r="M863" s="16"/>
      <c r="N863" s="233" t="s">
        <v>3265</v>
      </c>
      <c r="O863" s="16" t="s">
        <v>24</v>
      </c>
      <c r="P863" s="219" t="s">
        <v>47</v>
      </c>
      <c r="Q863" s="221" t="s">
        <v>3266</v>
      </c>
    </row>
    <row r="864" spans="1:17" ht="30" x14ac:dyDescent="0.2">
      <c r="A864" s="15">
        <v>861</v>
      </c>
      <c r="B864" s="15">
        <v>3713</v>
      </c>
      <c r="C864" s="232" t="s">
        <v>3267</v>
      </c>
      <c r="D864" s="16" t="s">
        <v>611</v>
      </c>
      <c r="E864" s="17" t="s">
        <v>28</v>
      </c>
      <c r="F864" s="15"/>
      <c r="G864" s="15"/>
      <c r="H864" s="15"/>
      <c r="I864" s="16" t="s">
        <v>2622</v>
      </c>
      <c r="J864" s="15"/>
      <c r="K864" s="15"/>
      <c r="L864" s="233" t="s">
        <v>339</v>
      </c>
      <c r="M864" s="16"/>
      <c r="N864" s="233" t="s">
        <v>3268</v>
      </c>
      <c r="O864" s="16" t="s">
        <v>24</v>
      </c>
      <c r="P864" s="219" t="s">
        <v>24</v>
      </c>
      <c r="Q864" s="222" t="s">
        <v>3269</v>
      </c>
    </row>
    <row r="865" spans="1:17" ht="30" x14ac:dyDescent="0.2">
      <c r="A865" s="15">
        <v>862</v>
      </c>
      <c r="B865" s="15">
        <v>3714</v>
      </c>
      <c r="C865" s="232" t="s">
        <v>3270</v>
      </c>
      <c r="D865" s="16" t="s">
        <v>611</v>
      </c>
      <c r="E865" s="17" t="s">
        <v>28</v>
      </c>
      <c r="F865" s="15"/>
      <c r="G865" s="15"/>
      <c r="H865" s="15"/>
      <c r="I865" s="16" t="s">
        <v>2622</v>
      </c>
      <c r="J865" s="15"/>
      <c r="K865" s="15"/>
      <c r="L865" s="233" t="s">
        <v>339</v>
      </c>
      <c r="M865" s="16"/>
      <c r="N865" s="233" t="s">
        <v>3271</v>
      </c>
      <c r="O865" s="16" t="s">
        <v>24</v>
      </c>
      <c r="P865" s="219" t="s">
        <v>24</v>
      </c>
      <c r="Q865" s="221" t="s">
        <v>3272</v>
      </c>
    </row>
    <row r="866" spans="1:17" ht="30" x14ac:dyDescent="0.2">
      <c r="A866" s="15">
        <v>863</v>
      </c>
      <c r="B866" s="15">
        <v>3719</v>
      </c>
      <c r="C866" s="232" t="s">
        <v>3273</v>
      </c>
      <c r="D866" s="16" t="s">
        <v>84</v>
      </c>
      <c r="E866" s="17" t="s">
        <v>28</v>
      </c>
      <c r="F866" s="15"/>
      <c r="G866" s="15"/>
      <c r="H866" s="15"/>
      <c r="I866" s="16" t="s">
        <v>3274</v>
      </c>
      <c r="J866" s="15"/>
      <c r="K866" s="15"/>
      <c r="L866" s="233" t="s">
        <v>339</v>
      </c>
      <c r="M866" s="16"/>
      <c r="N866" s="233" t="s">
        <v>3275</v>
      </c>
      <c r="O866" s="16" t="s">
        <v>24</v>
      </c>
      <c r="P866" s="219" t="s">
        <v>24</v>
      </c>
      <c r="Q866" s="222" t="s">
        <v>3276</v>
      </c>
    </row>
    <row r="867" spans="1:17" ht="30" x14ac:dyDescent="0.2">
      <c r="A867" s="15">
        <v>864</v>
      </c>
      <c r="B867" s="15">
        <v>3720</v>
      </c>
      <c r="C867" s="232" t="s">
        <v>3277</v>
      </c>
      <c r="D867" s="16" t="s">
        <v>376</v>
      </c>
      <c r="E867" s="17" t="s">
        <v>28</v>
      </c>
      <c r="F867" s="15"/>
      <c r="G867" s="15"/>
      <c r="H867" s="15"/>
      <c r="I867" s="16" t="s">
        <v>192</v>
      </c>
      <c r="J867" s="15"/>
      <c r="K867" s="15"/>
      <c r="L867" s="233" t="s">
        <v>339</v>
      </c>
      <c r="M867" s="16"/>
      <c r="N867" s="233" t="s">
        <v>3278</v>
      </c>
      <c r="O867" s="16" t="s">
        <v>24</v>
      </c>
      <c r="P867" s="219" t="s">
        <v>24</v>
      </c>
      <c r="Q867" s="221" t="s">
        <v>3279</v>
      </c>
    </row>
    <row r="868" spans="1:17" ht="30" x14ac:dyDescent="0.2">
      <c r="A868" s="15">
        <v>865</v>
      </c>
      <c r="B868" s="15">
        <v>3721</v>
      </c>
      <c r="C868" s="232" t="s">
        <v>3280</v>
      </c>
      <c r="D868" s="16" t="s">
        <v>84</v>
      </c>
      <c r="E868" s="17" t="s">
        <v>42</v>
      </c>
      <c r="F868" s="15"/>
      <c r="G868" s="15"/>
      <c r="H868" s="15"/>
      <c r="I868" s="16" t="s">
        <v>3281</v>
      </c>
      <c r="J868" s="15"/>
      <c r="K868" s="15"/>
      <c r="L868" s="233" t="s">
        <v>339</v>
      </c>
      <c r="M868" s="16"/>
      <c r="N868" s="233" t="s">
        <v>3282</v>
      </c>
      <c r="O868" s="16" t="s">
        <v>24</v>
      </c>
      <c r="P868" s="219" t="s">
        <v>24</v>
      </c>
      <c r="Q868" s="222" t="s">
        <v>3283</v>
      </c>
    </row>
    <row r="869" spans="1:17" ht="30" x14ac:dyDescent="0.2">
      <c r="A869" s="15">
        <v>866</v>
      </c>
      <c r="B869" s="15">
        <v>3733</v>
      </c>
      <c r="C869" s="232" t="s">
        <v>3284</v>
      </c>
      <c r="D869" s="16" t="s">
        <v>376</v>
      </c>
      <c r="E869" s="17" t="s">
        <v>28</v>
      </c>
      <c r="F869" s="15"/>
      <c r="G869" s="15"/>
      <c r="H869" s="15"/>
      <c r="I869" s="16" t="s">
        <v>2806</v>
      </c>
      <c r="J869" s="15"/>
      <c r="K869" s="15"/>
      <c r="L869" s="233" t="s">
        <v>339</v>
      </c>
      <c r="M869" s="16"/>
      <c r="N869" s="233" t="s">
        <v>3285</v>
      </c>
      <c r="O869" s="16" t="s">
        <v>326</v>
      </c>
      <c r="P869" s="219" t="s">
        <v>47</v>
      </c>
      <c r="Q869" s="221" t="s">
        <v>3286</v>
      </c>
    </row>
    <row r="870" spans="1:17" ht="30" x14ac:dyDescent="0.2">
      <c r="A870" s="15">
        <v>867</v>
      </c>
      <c r="B870" s="15">
        <v>3740</v>
      </c>
      <c r="C870" s="232" t="s">
        <v>3287</v>
      </c>
      <c r="D870" s="16" t="s">
        <v>19</v>
      </c>
      <c r="E870" s="17" t="s">
        <v>20</v>
      </c>
      <c r="F870" s="15"/>
      <c r="G870" s="15"/>
      <c r="H870" s="15"/>
      <c r="I870" s="16" t="s">
        <v>3288</v>
      </c>
      <c r="J870" s="15"/>
      <c r="K870" s="15"/>
      <c r="L870" s="233" t="s">
        <v>339</v>
      </c>
      <c r="M870" s="16"/>
      <c r="N870" s="233" t="s">
        <v>3289</v>
      </c>
      <c r="O870" s="16" t="s">
        <v>24</v>
      </c>
      <c r="P870" s="219" t="s">
        <v>24</v>
      </c>
      <c r="Q870" s="222" t="s">
        <v>3290</v>
      </c>
    </row>
    <row r="871" spans="1:17" ht="30" x14ac:dyDescent="0.2">
      <c r="A871" s="15">
        <v>868</v>
      </c>
      <c r="B871" s="15">
        <v>3752</v>
      </c>
      <c r="C871" s="232" t="s">
        <v>3291</v>
      </c>
      <c r="D871" s="16" t="s">
        <v>376</v>
      </c>
      <c r="E871" s="17" t="s">
        <v>28</v>
      </c>
      <c r="F871" s="15"/>
      <c r="G871" s="15"/>
      <c r="H871" s="15"/>
      <c r="I871" s="16" t="s">
        <v>3292</v>
      </c>
      <c r="J871" s="15"/>
      <c r="K871" s="15"/>
      <c r="L871" s="233" t="s">
        <v>339</v>
      </c>
      <c r="M871" s="16"/>
      <c r="N871" s="233" t="s">
        <v>3293</v>
      </c>
      <c r="O871" s="16" t="s">
        <v>24</v>
      </c>
      <c r="P871" s="219" t="s">
        <v>24</v>
      </c>
      <c r="Q871" s="221" t="s">
        <v>3294</v>
      </c>
    </row>
    <row r="872" spans="1:17" ht="30" x14ac:dyDescent="0.2">
      <c r="A872" s="15">
        <v>869</v>
      </c>
      <c r="B872" s="15">
        <v>3761</v>
      </c>
      <c r="C872" s="232" t="s">
        <v>3295</v>
      </c>
      <c r="D872" s="16" t="s">
        <v>19</v>
      </c>
      <c r="E872" s="17" t="s">
        <v>28</v>
      </c>
      <c r="F872" s="15"/>
      <c r="G872" s="15"/>
      <c r="H872" s="15"/>
      <c r="I872" s="16" t="s">
        <v>3296</v>
      </c>
      <c r="J872" s="15"/>
      <c r="K872" s="15"/>
      <c r="L872" s="233" t="s">
        <v>339</v>
      </c>
      <c r="M872" s="16"/>
      <c r="N872" s="233" t="s">
        <v>3297</v>
      </c>
      <c r="O872" s="16" t="s">
        <v>24</v>
      </c>
      <c r="P872" s="219" t="s">
        <v>24</v>
      </c>
      <c r="Q872" s="222" t="s">
        <v>3298</v>
      </c>
    </row>
    <row r="873" spans="1:17" ht="30" x14ac:dyDescent="0.2">
      <c r="A873" s="15">
        <v>870</v>
      </c>
      <c r="B873" s="15">
        <v>3785</v>
      </c>
      <c r="C873" s="232" t="s">
        <v>3299</v>
      </c>
      <c r="D873" s="16" t="s">
        <v>41</v>
      </c>
      <c r="E873" s="17" t="s">
        <v>42</v>
      </c>
      <c r="F873" s="15"/>
      <c r="G873" s="15"/>
      <c r="H873" s="15"/>
      <c r="I873" s="16" t="s">
        <v>3300</v>
      </c>
      <c r="J873" s="15"/>
      <c r="K873" s="15"/>
      <c r="L873" s="233" t="s">
        <v>339</v>
      </c>
      <c r="M873" s="16"/>
      <c r="N873" s="233" t="s">
        <v>3301</v>
      </c>
      <c r="O873" s="16" t="s">
        <v>326</v>
      </c>
      <c r="P873" s="219" t="s">
        <v>24</v>
      </c>
      <c r="Q873" s="221" t="s">
        <v>3302</v>
      </c>
    </row>
    <row r="874" spans="1:17" ht="30" x14ac:dyDescent="0.2">
      <c r="A874" s="15">
        <v>871</v>
      </c>
      <c r="B874" s="15">
        <v>3795</v>
      </c>
      <c r="C874" s="232" t="s">
        <v>3303</v>
      </c>
      <c r="D874" s="16" t="s">
        <v>916</v>
      </c>
      <c r="E874" s="17" t="s">
        <v>28</v>
      </c>
      <c r="F874" s="15"/>
      <c r="G874" s="15"/>
      <c r="H874" s="15"/>
      <c r="I874" s="16" t="s">
        <v>917</v>
      </c>
      <c r="J874" s="15"/>
      <c r="K874" s="15"/>
      <c r="L874" s="233" t="s">
        <v>339</v>
      </c>
      <c r="M874" s="16"/>
      <c r="N874" s="233" t="s">
        <v>3304</v>
      </c>
      <c r="O874" s="16" t="s">
        <v>24</v>
      </c>
      <c r="P874" s="219" t="s">
        <v>24</v>
      </c>
      <c r="Q874" s="222" t="s">
        <v>3305</v>
      </c>
    </row>
    <row r="875" spans="1:17" ht="30" x14ac:dyDescent="0.2">
      <c r="A875" s="15">
        <v>872</v>
      </c>
      <c r="B875" s="15">
        <v>3796</v>
      </c>
      <c r="C875" s="232" t="s">
        <v>3306</v>
      </c>
      <c r="D875" s="16" t="s">
        <v>309</v>
      </c>
      <c r="E875" s="17" t="s">
        <v>28</v>
      </c>
      <c r="F875" s="15"/>
      <c r="G875" s="15"/>
      <c r="H875" s="15"/>
      <c r="I875" s="16" t="s">
        <v>3307</v>
      </c>
      <c r="J875" s="15"/>
      <c r="K875" s="15"/>
      <c r="L875" s="233" t="s">
        <v>339</v>
      </c>
      <c r="M875" s="16"/>
      <c r="N875" s="233" t="s">
        <v>3308</v>
      </c>
      <c r="O875" s="16" t="s">
        <v>24</v>
      </c>
      <c r="P875" s="219" t="s">
        <v>24</v>
      </c>
      <c r="Q875" s="221" t="s">
        <v>3309</v>
      </c>
    </row>
    <row r="876" spans="1:17" ht="30" x14ac:dyDescent="0.2">
      <c r="A876" s="15">
        <v>873</v>
      </c>
      <c r="B876" s="15">
        <v>3806</v>
      </c>
      <c r="C876" s="232" t="s">
        <v>3310</v>
      </c>
      <c r="D876" s="16" t="s">
        <v>660</v>
      </c>
      <c r="E876" s="17" t="s">
        <v>42</v>
      </c>
      <c r="F876" s="15"/>
      <c r="G876" s="15"/>
      <c r="H876" s="15"/>
      <c r="I876" s="16" t="s">
        <v>3311</v>
      </c>
      <c r="J876" s="15"/>
      <c r="K876" s="15"/>
      <c r="L876" s="233" t="s">
        <v>339</v>
      </c>
      <c r="M876" s="16"/>
      <c r="N876" s="233" t="s">
        <v>3312</v>
      </c>
      <c r="O876" s="16" t="s">
        <v>2884</v>
      </c>
      <c r="P876" s="219" t="s">
        <v>47</v>
      </c>
      <c r="Q876" s="222" t="s">
        <v>3313</v>
      </c>
    </row>
    <row r="877" spans="1:17" ht="30" x14ac:dyDescent="0.2">
      <c r="A877" s="15">
        <v>874</v>
      </c>
      <c r="B877" s="15">
        <v>3828</v>
      </c>
      <c r="C877" s="232" t="s">
        <v>3314</v>
      </c>
      <c r="D877" s="16" t="s">
        <v>3315</v>
      </c>
      <c r="E877" s="17" t="s">
        <v>28</v>
      </c>
      <c r="F877" s="15"/>
      <c r="G877" s="15"/>
      <c r="H877" s="15"/>
      <c r="I877" s="16" t="s">
        <v>1473</v>
      </c>
      <c r="J877" s="15"/>
      <c r="K877" s="15"/>
      <c r="L877" s="233" t="s">
        <v>339</v>
      </c>
      <c r="M877" s="16"/>
      <c r="N877" s="233" t="s">
        <v>3316</v>
      </c>
      <c r="O877" s="16" t="s">
        <v>24</v>
      </c>
      <c r="P877" s="219" t="s">
        <v>24</v>
      </c>
      <c r="Q877" s="221" t="s">
        <v>3317</v>
      </c>
    </row>
    <row r="878" spans="1:17" ht="30" x14ac:dyDescent="0.2">
      <c r="A878" s="15">
        <v>875</v>
      </c>
      <c r="B878" s="15">
        <v>3857</v>
      </c>
      <c r="C878" s="232" t="s">
        <v>3318</v>
      </c>
      <c r="D878" s="16" t="s">
        <v>318</v>
      </c>
      <c r="E878" s="17" t="s">
        <v>28</v>
      </c>
      <c r="F878" s="15"/>
      <c r="G878" s="15"/>
      <c r="H878" s="15"/>
      <c r="I878" s="16" t="s">
        <v>3319</v>
      </c>
      <c r="J878" s="15"/>
      <c r="K878" s="15"/>
      <c r="L878" s="233" t="s">
        <v>339</v>
      </c>
      <c r="M878" s="16"/>
      <c r="N878" s="233" t="s">
        <v>3320</v>
      </c>
      <c r="O878" s="16" t="s">
        <v>326</v>
      </c>
      <c r="P878" s="219" t="s">
        <v>47</v>
      </c>
      <c r="Q878" s="222" t="s">
        <v>3321</v>
      </c>
    </row>
    <row r="879" spans="1:17" ht="30" x14ac:dyDescent="0.2">
      <c r="A879" s="15">
        <v>876</v>
      </c>
      <c r="B879" s="15">
        <v>3863</v>
      </c>
      <c r="C879" s="232" t="s">
        <v>3322</v>
      </c>
      <c r="D879" s="16" t="s">
        <v>1873</v>
      </c>
      <c r="E879" s="17" t="s">
        <v>28</v>
      </c>
      <c r="F879" s="15"/>
      <c r="G879" s="15"/>
      <c r="H879" s="15"/>
      <c r="I879" s="16" t="s">
        <v>3323</v>
      </c>
      <c r="J879" s="15"/>
      <c r="K879" s="15"/>
      <c r="L879" s="233" t="s">
        <v>339</v>
      </c>
      <c r="M879" s="16"/>
      <c r="N879" s="233" t="s">
        <v>3324</v>
      </c>
      <c r="O879" s="16" t="s">
        <v>24</v>
      </c>
      <c r="P879" s="219" t="s">
        <v>47</v>
      </c>
      <c r="Q879" s="221" t="s">
        <v>3325</v>
      </c>
    </row>
    <row r="880" spans="1:17" ht="30" x14ac:dyDescent="0.2">
      <c r="A880" s="15">
        <v>877</v>
      </c>
      <c r="B880" s="15">
        <v>3872</v>
      </c>
      <c r="C880" s="232" t="s">
        <v>3326</v>
      </c>
      <c r="D880" s="16" t="s">
        <v>309</v>
      </c>
      <c r="E880" s="17" t="s">
        <v>28</v>
      </c>
      <c r="F880" s="15"/>
      <c r="G880" s="15"/>
      <c r="H880" s="15"/>
      <c r="I880" s="16" t="s">
        <v>3327</v>
      </c>
      <c r="J880" s="15"/>
      <c r="K880" s="15"/>
      <c r="L880" s="233" t="s">
        <v>339</v>
      </c>
      <c r="M880" s="16"/>
      <c r="N880" s="233" t="s">
        <v>3328</v>
      </c>
      <c r="O880" s="16" t="s">
        <v>341</v>
      </c>
      <c r="P880" s="219" t="s">
        <v>341</v>
      </c>
      <c r="Q880" s="222" t="s">
        <v>3329</v>
      </c>
    </row>
    <row r="881" spans="1:17" ht="30" x14ac:dyDescent="0.2">
      <c r="A881" s="15">
        <v>878</v>
      </c>
      <c r="B881" s="15">
        <v>3914</v>
      </c>
      <c r="C881" s="232" t="s">
        <v>3330</v>
      </c>
      <c r="D881" s="16" t="s">
        <v>318</v>
      </c>
      <c r="E881" s="17" t="s">
        <v>28</v>
      </c>
      <c r="F881" s="15"/>
      <c r="G881" s="15"/>
      <c r="H881" s="15"/>
      <c r="I881" s="16" t="s">
        <v>3331</v>
      </c>
      <c r="J881" s="15"/>
      <c r="K881" s="15"/>
      <c r="L881" s="233" t="s">
        <v>339</v>
      </c>
      <c r="M881" s="16"/>
      <c r="N881" s="233" t="s">
        <v>3332</v>
      </c>
      <c r="O881" s="16" t="s">
        <v>24</v>
      </c>
      <c r="P881" s="219" t="s">
        <v>24</v>
      </c>
      <c r="Q881" s="221" t="s">
        <v>3333</v>
      </c>
    </row>
    <row r="882" spans="1:17" ht="30" x14ac:dyDescent="0.2">
      <c r="A882" s="15">
        <v>879</v>
      </c>
      <c r="B882" s="15">
        <v>3920</v>
      </c>
      <c r="C882" s="232" t="s">
        <v>3334</v>
      </c>
      <c r="D882" s="16" t="s">
        <v>376</v>
      </c>
      <c r="E882" s="17" t="s">
        <v>42</v>
      </c>
      <c r="F882" s="15"/>
      <c r="G882" s="15"/>
      <c r="H882" s="15"/>
      <c r="I882" s="16" t="s">
        <v>3335</v>
      </c>
      <c r="J882" s="15"/>
      <c r="K882" s="15"/>
      <c r="L882" s="233" t="s">
        <v>339</v>
      </c>
      <c r="M882" s="16"/>
      <c r="N882" s="233" t="s">
        <v>3336</v>
      </c>
      <c r="O882" s="16" t="s">
        <v>326</v>
      </c>
      <c r="P882" s="219" t="s">
        <v>24</v>
      </c>
      <c r="Q882" s="222" t="s">
        <v>3337</v>
      </c>
    </row>
    <row r="883" spans="1:17" ht="30" x14ac:dyDescent="0.2">
      <c r="A883" s="15">
        <v>880</v>
      </c>
      <c r="B883" s="15">
        <v>3928</v>
      </c>
      <c r="C883" s="232" t="s">
        <v>3338</v>
      </c>
      <c r="D883" s="16" t="s">
        <v>41</v>
      </c>
      <c r="E883" s="17" t="s">
        <v>42</v>
      </c>
      <c r="F883" s="15"/>
      <c r="G883" s="15"/>
      <c r="H883" s="15"/>
      <c r="I883" s="16" t="s">
        <v>3339</v>
      </c>
      <c r="J883" s="15"/>
      <c r="K883" s="15"/>
      <c r="L883" s="233" t="s">
        <v>339</v>
      </c>
      <c r="M883" s="16"/>
      <c r="N883" s="233" t="s">
        <v>3340</v>
      </c>
      <c r="O883" s="16" t="s">
        <v>1845</v>
      </c>
      <c r="P883" s="219" t="s">
        <v>648</v>
      </c>
      <c r="Q883" s="221" t="s">
        <v>3341</v>
      </c>
    </row>
  </sheetData>
  <autoFilter ref="A3:Q3" xr:uid="{00000000-0001-0000-0200-000000000000}"/>
  <mergeCells count="1">
    <mergeCell ref="A1:M2"/>
  </mergeCells>
  <dataValidations count="1">
    <dataValidation type="list" allowBlank="1" error="Pick from the list" prompt="Mark your progress" sqref="F4:F1200" xr:uid="{00000000-0002-0000-0200-000000000000}">
      <formula1>"✅ Solved,🔁 Retry,🚧 In Progress"</formula1>
    </dataValidation>
  </dataValidations>
  <hyperlinks>
    <hyperlink ref="Q4" r:id="rId1" xr:uid="{00000000-0004-0000-0200-000000000000}"/>
    <hyperlink ref="Q5" r:id="rId2" xr:uid="{00000000-0004-0000-0200-000001000000}"/>
    <hyperlink ref="Q6" r:id="rId3" xr:uid="{00000000-0004-0000-0200-000002000000}"/>
    <hyperlink ref="Q7" r:id="rId4" xr:uid="{00000000-0004-0000-0200-000003000000}"/>
    <hyperlink ref="Q8" r:id="rId5" xr:uid="{00000000-0004-0000-0200-000004000000}"/>
    <hyperlink ref="Q9" r:id="rId6" xr:uid="{00000000-0004-0000-0200-000005000000}"/>
    <hyperlink ref="Q10" r:id="rId7" xr:uid="{00000000-0004-0000-0200-000006000000}"/>
    <hyperlink ref="Q11" r:id="rId8" xr:uid="{00000000-0004-0000-0200-000007000000}"/>
    <hyperlink ref="Q12" r:id="rId9" xr:uid="{00000000-0004-0000-0200-000008000000}"/>
    <hyperlink ref="Q13" r:id="rId10" xr:uid="{00000000-0004-0000-0200-000009000000}"/>
    <hyperlink ref="Q14" r:id="rId11" xr:uid="{00000000-0004-0000-0200-00000A000000}"/>
    <hyperlink ref="Q15" r:id="rId12" xr:uid="{00000000-0004-0000-0200-00000B000000}"/>
    <hyperlink ref="Q16" r:id="rId13" xr:uid="{00000000-0004-0000-0200-00000C000000}"/>
    <hyperlink ref="Q17" r:id="rId14" xr:uid="{00000000-0004-0000-0200-00000D000000}"/>
    <hyperlink ref="Q18" r:id="rId15" xr:uid="{00000000-0004-0000-0200-00000E000000}"/>
    <hyperlink ref="Q19" r:id="rId16" xr:uid="{00000000-0004-0000-0200-00000F000000}"/>
    <hyperlink ref="Q20" r:id="rId17" xr:uid="{00000000-0004-0000-0200-000010000000}"/>
    <hyperlink ref="Q21" r:id="rId18" xr:uid="{00000000-0004-0000-0200-000011000000}"/>
    <hyperlink ref="Q22" r:id="rId19" xr:uid="{00000000-0004-0000-0200-000012000000}"/>
    <hyperlink ref="Q23" r:id="rId20" xr:uid="{00000000-0004-0000-0200-000013000000}"/>
    <hyperlink ref="Q24" r:id="rId21" xr:uid="{00000000-0004-0000-0200-000014000000}"/>
    <hyperlink ref="Q25" r:id="rId22" xr:uid="{00000000-0004-0000-0200-000015000000}"/>
    <hyperlink ref="Q26" r:id="rId23" xr:uid="{00000000-0004-0000-0200-000016000000}"/>
    <hyperlink ref="Q27" r:id="rId24" xr:uid="{00000000-0004-0000-0200-000017000000}"/>
    <hyperlink ref="Q28" r:id="rId25" xr:uid="{00000000-0004-0000-0200-000018000000}"/>
    <hyperlink ref="Q29" r:id="rId26" xr:uid="{00000000-0004-0000-0200-000019000000}"/>
    <hyperlink ref="Q30" r:id="rId27" xr:uid="{00000000-0004-0000-0200-00001A000000}"/>
    <hyperlink ref="Q31" r:id="rId28" xr:uid="{00000000-0004-0000-0200-00001B000000}"/>
    <hyperlink ref="Q32" r:id="rId29" xr:uid="{00000000-0004-0000-0200-00001C000000}"/>
    <hyperlink ref="Q33" r:id="rId30" xr:uid="{00000000-0004-0000-0200-00001D000000}"/>
    <hyperlink ref="Q34" r:id="rId31" xr:uid="{00000000-0004-0000-0200-00001E000000}"/>
    <hyperlink ref="Q35" r:id="rId32" xr:uid="{00000000-0004-0000-0200-00001F000000}"/>
    <hyperlink ref="Q36" r:id="rId33" xr:uid="{00000000-0004-0000-0200-000020000000}"/>
    <hyperlink ref="Q37" r:id="rId34" xr:uid="{00000000-0004-0000-0200-000021000000}"/>
    <hyperlink ref="Q38" r:id="rId35" xr:uid="{00000000-0004-0000-0200-000022000000}"/>
    <hyperlink ref="Q39" r:id="rId36" xr:uid="{00000000-0004-0000-0200-000023000000}"/>
    <hyperlink ref="Q40" r:id="rId37" xr:uid="{00000000-0004-0000-0200-000024000000}"/>
    <hyperlink ref="Q41" r:id="rId38" xr:uid="{00000000-0004-0000-0200-000025000000}"/>
    <hyperlink ref="Q42" r:id="rId39" xr:uid="{00000000-0004-0000-0200-000026000000}"/>
    <hyperlink ref="Q43" r:id="rId40" xr:uid="{00000000-0004-0000-0200-000027000000}"/>
    <hyperlink ref="Q44" r:id="rId41" xr:uid="{00000000-0004-0000-0200-000028000000}"/>
    <hyperlink ref="Q45" r:id="rId42" xr:uid="{00000000-0004-0000-0200-000029000000}"/>
    <hyperlink ref="Q46" r:id="rId43" xr:uid="{00000000-0004-0000-0200-00002A000000}"/>
    <hyperlink ref="Q47" r:id="rId44" xr:uid="{00000000-0004-0000-0200-00002B000000}"/>
    <hyperlink ref="Q48" r:id="rId45" xr:uid="{00000000-0004-0000-0200-00002C000000}"/>
    <hyperlink ref="Q49" r:id="rId46" xr:uid="{00000000-0004-0000-0200-00002D000000}"/>
    <hyperlink ref="Q50" r:id="rId47" xr:uid="{00000000-0004-0000-0200-00002E000000}"/>
    <hyperlink ref="Q51" r:id="rId48" xr:uid="{00000000-0004-0000-0200-00002F000000}"/>
    <hyperlink ref="Q52" r:id="rId49" xr:uid="{00000000-0004-0000-0200-000030000000}"/>
    <hyperlink ref="Q53" r:id="rId50" xr:uid="{00000000-0004-0000-0200-000031000000}"/>
    <hyperlink ref="Q54" r:id="rId51" xr:uid="{00000000-0004-0000-0200-000032000000}"/>
    <hyperlink ref="Q55" r:id="rId52" xr:uid="{00000000-0004-0000-0200-000033000000}"/>
    <hyperlink ref="Q56" r:id="rId53" xr:uid="{00000000-0004-0000-0200-000034000000}"/>
    <hyperlink ref="Q57" r:id="rId54" xr:uid="{00000000-0004-0000-0200-000035000000}"/>
    <hyperlink ref="Q58" r:id="rId55" xr:uid="{00000000-0004-0000-0200-000036000000}"/>
    <hyperlink ref="Q59" r:id="rId56" xr:uid="{00000000-0004-0000-0200-000037000000}"/>
    <hyperlink ref="Q60" r:id="rId57" xr:uid="{00000000-0004-0000-0200-000038000000}"/>
    <hyperlink ref="Q61" r:id="rId58" xr:uid="{00000000-0004-0000-0200-000039000000}"/>
    <hyperlink ref="Q62" r:id="rId59" xr:uid="{00000000-0004-0000-0200-00003A000000}"/>
    <hyperlink ref="Q63" r:id="rId60" xr:uid="{00000000-0004-0000-0200-00003B000000}"/>
    <hyperlink ref="Q64" r:id="rId61" xr:uid="{00000000-0004-0000-0200-00003C000000}"/>
    <hyperlink ref="Q65" r:id="rId62" xr:uid="{00000000-0004-0000-0200-00003D000000}"/>
    <hyperlink ref="Q66" r:id="rId63" xr:uid="{00000000-0004-0000-0200-00003E000000}"/>
    <hyperlink ref="Q67" r:id="rId64" xr:uid="{00000000-0004-0000-0200-00003F000000}"/>
    <hyperlink ref="Q68" r:id="rId65" xr:uid="{00000000-0004-0000-0200-000040000000}"/>
    <hyperlink ref="Q69" r:id="rId66" xr:uid="{00000000-0004-0000-0200-000041000000}"/>
    <hyperlink ref="Q70" r:id="rId67" xr:uid="{00000000-0004-0000-0200-000042000000}"/>
    <hyperlink ref="Q71" r:id="rId68" xr:uid="{00000000-0004-0000-0200-000043000000}"/>
    <hyperlink ref="Q72" r:id="rId69" xr:uid="{00000000-0004-0000-0200-000044000000}"/>
    <hyperlink ref="Q73" r:id="rId70" xr:uid="{00000000-0004-0000-0200-000045000000}"/>
    <hyperlink ref="Q74" r:id="rId71" xr:uid="{00000000-0004-0000-0200-000046000000}"/>
    <hyperlink ref="Q75" r:id="rId72" xr:uid="{00000000-0004-0000-0200-000047000000}"/>
    <hyperlink ref="Q76" r:id="rId73" xr:uid="{00000000-0004-0000-0200-000048000000}"/>
    <hyperlink ref="Q77" r:id="rId74" xr:uid="{00000000-0004-0000-0200-000049000000}"/>
    <hyperlink ref="Q78" r:id="rId75" xr:uid="{00000000-0004-0000-0200-00004A000000}"/>
    <hyperlink ref="Q79" r:id="rId76" xr:uid="{00000000-0004-0000-0200-00004B000000}"/>
    <hyperlink ref="Q80" r:id="rId77" xr:uid="{00000000-0004-0000-0200-00004C000000}"/>
    <hyperlink ref="Q81" r:id="rId78" xr:uid="{00000000-0004-0000-0200-00004D000000}"/>
    <hyperlink ref="Q82" r:id="rId79" xr:uid="{00000000-0004-0000-0200-00004E000000}"/>
    <hyperlink ref="Q83" r:id="rId80" xr:uid="{00000000-0004-0000-0200-00004F000000}"/>
    <hyperlink ref="Q84" r:id="rId81" xr:uid="{00000000-0004-0000-0200-000050000000}"/>
    <hyperlink ref="Q85" r:id="rId82" xr:uid="{00000000-0004-0000-0200-000051000000}"/>
    <hyperlink ref="Q86" r:id="rId83" xr:uid="{00000000-0004-0000-0200-000052000000}"/>
    <hyperlink ref="Q87" r:id="rId84" xr:uid="{00000000-0004-0000-0200-000053000000}"/>
    <hyperlink ref="Q88" r:id="rId85" xr:uid="{00000000-0004-0000-0200-000054000000}"/>
    <hyperlink ref="Q89" r:id="rId86" xr:uid="{00000000-0004-0000-0200-000055000000}"/>
    <hyperlink ref="Q90" r:id="rId87" xr:uid="{00000000-0004-0000-0200-000056000000}"/>
    <hyperlink ref="Q91" r:id="rId88" xr:uid="{00000000-0004-0000-0200-000057000000}"/>
    <hyperlink ref="Q92" r:id="rId89" xr:uid="{00000000-0004-0000-0200-000058000000}"/>
    <hyperlink ref="Q93" r:id="rId90" xr:uid="{00000000-0004-0000-0200-000059000000}"/>
    <hyperlink ref="Q94" r:id="rId91" xr:uid="{00000000-0004-0000-0200-00005A000000}"/>
    <hyperlink ref="Q95" r:id="rId92" xr:uid="{00000000-0004-0000-0200-00005B000000}"/>
    <hyperlink ref="Q96" r:id="rId93" xr:uid="{00000000-0004-0000-0200-00005C000000}"/>
    <hyperlink ref="Q97" r:id="rId94" xr:uid="{00000000-0004-0000-0200-00005D000000}"/>
    <hyperlink ref="Q98" r:id="rId95" xr:uid="{00000000-0004-0000-0200-00005E000000}"/>
    <hyperlink ref="Q99" r:id="rId96" xr:uid="{00000000-0004-0000-0200-00005F000000}"/>
    <hyperlink ref="Q100" r:id="rId97" xr:uid="{00000000-0004-0000-0200-000060000000}"/>
    <hyperlink ref="Q101" r:id="rId98" xr:uid="{00000000-0004-0000-0200-000061000000}"/>
    <hyperlink ref="Q102" r:id="rId99" xr:uid="{00000000-0004-0000-0200-000062000000}"/>
    <hyperlink ref="Q103" r:id="rId100" xr:uid="{00000000-0004-0000-0200-000063000000}"/>
    <hyperlink ref="Q104" r:id="rId101" xr:uid="{00000000-0004-0000-0200-000064000000}"/>
    <hyperlink ref="Q105" r:id="rId102" xr:uid="{00000000-0004-0000-0200-000065000000}"/>
    <hyperlink ref="Q106" r:id="rId103" xr:uid="{00000000-0004-0000-0200-000066000000}"/>
    <hyperlink ref="Q107" r:id="rId104" xr:uid="{00000000-0004-0000-0200-000067000000}"/>
    <hyperlink ref="Q108" r:id="rId105" xr:uid="{00000000-0004-0000-0200-000068000000}"/>
    <hyperlink ref="Q109" r:id="rId106" xr:uid="{00000000-0004-0000-0200-000069000000}"/>
    <hyperlink ref="Q110" r:id="rId107" xr:uid="{00000000-0004-0000-0200-00006A000000}"/>
    <hyperlink ref="Q111" r:id="rId108" xr:uid="{00000000-0004-0000-0200-00006B000000}"/>
    <hyperlink ref="Q112" r:id="rId109" xr:uid="{00000000-0004-0000-0200-00006C000000}"/>
    <hyperlink ref="Q113" r:id="rId110" xr:uid="{00000000-0004-0000-0200-00006D000000}"/>
    <hyperlink ref="Q114" r:id="rId111" xr:uid="{00000000-0004-0000-0200-00006E000000}"/>
    <hyperlink ref="Q115" r:id="rId112" xr:uid="{00000000-0004-0000-0200-00006F000000}"/>
    <hyperlink ref="Q116" r:id="rId113" xr:uid="{00000000-0004-0000-0200-000070000000}"/>
    <hyperlink ref="Q117" r:id="rId114" xr:uid="{00000000-0004-0000-0200-000071000000}"/>
    <hyperlink ref="Q118" r:id="rId115" xr:uid="{00000000-0004-0000-0200-000072000000}"/>
    <hyperlink ref="Q119" r:id="rId116" xr:uid="{00000000-0004-0000-0200-000073000000}"/>
    <hyperlink ref="Q120" r:id="rId117" xr:uid="{00000000-0004-0000-0200-000074000000}"/>
    <hyperlink ref="Q121" r:id="rId118" xr:uid="{00000000-0004-0000-0200-000075000000}"/>
    <hyperlink ref="Q122" r:id="rId119" xr:uid="{00000000-0004-0000-0200-000076000000}"/>
    <hyperlink ref="Q123" r:id="rId120" xr:uid="{00000000-0004-0000-0200-000077000000}"/>
    <hyperlink ref="Q124" r:id="rId121" xr:uid="{00000000-0004-0000-0200-000078000000}"/>
    <hyperlink ref="Q125" r:id="rId122" xr:uid="{00000000-0004-0000-0200-000079000000}"/>
    <hyperlink ref="Q126" r:id="rId123" xr:uid="{00000000-0004-0000-0200-00007A000000}"/>
    <hyperlink ref="Q127" r:id="rId124" xr:uid="{00000000-0004-0000-0200-00007B000000}"/>
    <hyperlink ref="Q128" r:id="rId125" xr:uid="{00000000-0004-0000-0200-00007C000000}"/>
    <hyperlink ref="Q129" r:id="rId126" xr:uid="{00000000-0004-0000-0200-00007D000000}"/>
    <hyperlink ref="Q130" r:id="rId127" xr:uid="{00000000-0004-0000-0200-00007E000000}"/>
    <hyperlink ref="Q131" r:id="rId128" xr:uid="{00000000-0004-0000-0200-00007F000000}"/>
    <hyperlink ref="Q132" r:id="rId129" xr:uid="{00000000-0004-0000-0200-000080000000}"/>
    <hyperlink ref="Q133" r:id="rId130" xr:uid="{00000000-0004-0000-0200-000081000000}"/>
    <hyperlink ref="Q134" r:id="rId131" xr:uid="{00000000-0004-0000-0200-000082000000}"/>
    <hyperlink ref="Q135" r:id="rId132" xr:uid="{00000000-0004-0000-0200-000083000000}"/>
    <hyperlink ref="Q136" r:id="rId133" xr:uid="{00000000-0004-0000-0200-000084000000}"/>
    <hyperlink ref="Q137" r:id="rId134" xr:uid="{00000000-0004-0000-0200-000085000000}"/>
    <hyperlink ref="Q138" r:id="rId135" xr:uid="{00000000-0004-0000-0200-000086000000}"/>
    <hyperlink ref="Q139" r:id="rId136" xr:uid="{00000000-0004-0000-0200-000087000000}"/>
    <hyperlink ref="Q140" r:id="rId137" xr:uid="{00000000-0004-0000-0200-000088000000}"/>
    <hyperlink ref="Q141" r:id="rId138" xr:uid="{00000000-0004-0000-0200-000089000000}"/>
    <hyperlink ref="Q142" r:id="rId139" xr:uid="{00000000-0004-0000-0200-00008A000000}"/>
    <hyperlink ref="Q143" r:id="rId140" xr:uid="{00000000-0004-0000-0200-00008B000000}"/>
    <hyperlink ref="Q144" r:id="rId141" xr:uid="{00000000-0004-0000-0200-00008C000000}"/>
    <hyperlink ref="Q145" r:id="rId142" xr:uid="{00000000-0004-0000-0200-00008D000000}"/>
    <hyperlink ref="Q146" r:id="rId143" xr:uid="{00000000-0004-0000-0200-00008E000000}"/>
    <hyperlink ref="Q147" r:id="rId144" xr:uid="{00000000-0004-0000-0200-00008F000000}"/>
    <hyperlink ref="Q148" r:id="rId145" xr:uid="{00000000-0004-0000-0200-000090000000}"/>
    <hyperlink ref="Q149" r:id="rId146" xr:uid="{00000000-0004-0000-0200-000091000000}"/>
    <hyperlink ref="Q150" r:id="rId147" xr:uid="{00000000-0004-0000-0200-000092000000}"/>
    <hyperlink ref="Q151" r:id="rId148" xr:uid="{00000000-0004-0000-0200-000093000000}"/>
    <hyperlink ref="Q152" r:id="rId149" xr:uid="{00000000-0004-0000-0200-000094000000}"/>
    <hyperlink ref="Q153" r:id="rId150" xr:uid="{00000000-0004-0000-0200-000095000000}"/>
    <hyperlink ref="Q154" r:id="rId151" xr:uid="{00000000-0004-0000-0200-000096000000}"/>
    <hyperlink ref="Q155" r:id="rId152" xr:uid="{00000000-0004-0000-0200-000097000000}"/>
    <hyperlink ref="Q156" r:id="rId153" xr:uid="{00000000-0004-0000-0200-000098000000}"/>
    <hyperlink ref="Q157" r:id="rId154" xr:uid="{00000000-0004-0000-0200-000099000000}"/>
    <hyperlink ref="Q158" r:id="rId155" xr:uid="{00000000-0004-0000-0200-00009A000000}"/>
    <hyperlink ref="Q159" r:id="rId156" xr:uid="{00000000-0004-0000-0200-00009B000000}"/>
    <hyperlink ref="Q160" r:id="rId157" xr:uid="{00000000-0004-0000-0200-00009C000000}"/>
    <hyperlink ref="Q161" r:id="rId158" xr:uid="{00000000-0004-0000-0200-00009D000000}"/>
    <hyperlink ref="Q162" r:id="rId159" xr:uid="{00000000-0004-0000-0200-00009E000000}"/>
    <hyperlink ref="Q163" r:id="rId160" xr:uid="{00000000-0004-0000-0200-00009F000000}"/>
    <hyperlink ref="Q164" r:id="rId161" xr:uid="{00000000-0004-0000-0200-0000A0000000}"/>
    <hyperlink ref="Q165" r:id="rId162" xr:uid="{00000000-0004-0000-0200-0000A1000000}"/>
    <hyperlink ref="Q166" r:id="rId163" xr:uid="{00000000-0004-0000-0200-0000A2000000}"/>
    <hyperlink ref="Q167" r:id="rId164" xr:uid="{00000000-0004-0000-0200-0000A3000000}"/>
    <hyperlink ref="Q168" r:id="rId165" xr:uid="{00000000-0004-0000-0200-0000A4000000}"/>
    <hyperlink ref="Q169" r:id="rId166" xr:uid="{00000000-0004-0000-0200-0000A5000000}"/>
    <hyperlink ref="Q170" r:id="rId167" xr:uid="{00000000-0004-0000-0200-0000A6000000}"/>
    <hyperlink ref="Q171" r:id="rId168" xr:uid="{00000000-0004-0000-0200-0000A7000000}"/>
    <hyperlink ref="Q172" r:id="rId169" xr:uid="{00000000-0004-0000-0200-0000A8000000}"/>
    <hyperlink ref="Q173" r:id="rId170" xr:uid="{00000000-0004-0000-0200-0000A9000000}"/>
    <hyperlink ref="Q174" r:id="rId171" xr:uid="{00000000-0004-0000-0200-0000AA000000}"/>
    <hyperlink ref="Q175" r:id="rId172" xr:uid="{00000000-0004-0000-0200-0000AB000000}"/>
    <hyperlink ref="Q176" r:id="rId173" xr:uid="{00000000-0004-0000-0200-0000AC000000}"/>
    <hyperlink ref="Q177" r:id="rId174" xr:uid="{00000000-0004-0000-0200-0000AD000000}"/>
    <hyperlink ref="Q178" r:id="rId175" xr:uid="{00000000-0004-0000-0200-0000AE000000}"/>
    <hyperlink ref="Q179" r:id="rId176" xr:uid="{00000000-0004-0000-0200-0000AF000000}"/>
    <hyperlink ref="Q180" r:id="rId177" xr:uid="{00000000-0004-0000-0200-0000B0000000}"/>
    <hyperlink ref="Q181" r:id="rId178" xr:uid="{00000000-0004-0000-0200-0000B1000000}"/>
    <hyperlink ref="Q182" r:id="rId179" xr:uid="{00000000-0004-0000-0200-0000B2000000}"/>
    <hyperlink ref="Q183" r:id="rId180" xr:uid="{00000000-0004-0000-0200-0000B3000000}"/>
    <hyperlink ref="Q184" r:id="rId181" xr:uid="{00000000-0004-0000-0200-0000B4000000}"/>
    <hyperlink ref="Q185" r:id="rId182" xr:uid="{00000000-0004-0000-0200-0000B5000000}"/>
    <hyperlink ref="Q186" r:id="rId183" xr:uid="{00000000-0004-0000-0200-0000B6000000}"/>
    <hyperlink ref="Q187" r:id="rId184" xr:uid="{00000000-0004-0000-0200-0000B7000000}"/>
    <hyperlink ref="Q188" r:id="rId185" xr:uid="{00000000-0004-0000-0200-0000B8000000}"/>
    <hyperlink ref="Q189" r:id="rId186" xr:uid="{00000000-0004-0000-0200-0000B9000000}"/>
    <hyperlink ref="Q190" r:id="rId187" xr:uid="{00000000-0004-0000-0200-0000BA000000}"/>
    <hyperlink ref="Q191" r:id="rId188" xr:uid="{00000000-0004-0000-0200-0000BB000000}"/>
    <hyperlink ref="Q192" r:id="rId189" xr:uid="{00000000-0004-0000-0200-0000BC000000}"/>
    <hyperlink ref="Q193" r:id="rId190" xr:uid="{00000000-0004-0000-0200-0000BD000000}"/>
    <hyperlink ref="Q194" r:id="rId191" xr:uid="{00000000-0004-0000-0200-0000BE000000}"/>
    <hyperlink ref="Q195" r:id="rId192" xr:uid="{00000000-0004-0000-0200-0000BF000000}"/>
    <hyperlink ref="Q196" r:id="rId193" xr:uid="{00000000-0004-0000-0200-0000C0000000}"/>
    <hyperlink ref="Q197" r:id="rId194" xr:uid="{00000000-0004-0000-0200-0000C1000000}"/>
    <hyperlink ref="Q198" r:id="rId195" xr:uid="{00000000-0004-0000-0200-0000C2000000}"/>
    <hyperlink ref="Q199" r:id="rId196" xr:uid="{00000000-0004-0000-0200-0000C3000000}"/>
    <hyperlink ref="Q200" r:id="rId197" xr:uid="{00000000-0004-0000-0200-0000C4000000}"/>
    <hyperlink ref="Q201" r:id="rId198" xr:uid="{00000000-0004-0000-0200-0000C5000000}"/>
    <hyperlink ref="Q202" r:id="rId199" xr:uid="{00000000-0004-0000-0200-0000C6000000}"/>
    <hyperlink ref="Q203" r:id="rId200" xr:uid="{00000000-0004-0000-0200-0000C7000000}"/>
    <hyperlink ref="Q204" r:id="rId201" xr:uid="{00000000-0004-0000-0200-0000C8000000}"/>
    <hyperlink ref="Q205" r:id="rId202" xr:uid="{00000000-0004-0000-0200-0000C9000000}"/>
    <hyperlink ref="Q206" r:id="rId203" xr:uid="{00000000-0004-0000-0200-0000CA000000}"/>
    <hyperlink ref="Q207" r:id="rId204" xr:uid="{00000000-0004-0000-0200-0000CB000000}"/>
    <hyperlink ref="Q208" r:id="rId205" xr:uid="{00000000-0004-0000-0200-0000CC000000}"/>
    <hyperlink ref="Q209" r:id="rId206" xr:uid="{00000000-0004-0000-0200-0000CD000000}"/>
    <hyperlink ref="Q210" r:id="rId207" xr:uid="{00000000-0004-0000-0200-0000CE000000}"/>
    <hyperlink ref="Q211" r:id="rId208" xr:uid="{00000000-0004-0000-0200-0000CF000000}"/>
    <hyperlink ref="Q212" r:id="rId209" xr:uid="{00000000-0004-0000-0200-0000D0000000}"/>
    <hyperlink ref="Q213" r:id="rId210" xr:uid="{00000000-0004-0000-0200-0000D1000000}"/>
    <hyperlink ref="Q214" r:id="rId211" xr:uid="{00000000-0004-0000-0200-0000D2000000}"/>
    <hyperlink ref="Q215" r:id="rId212" xr:uid="{00000000-0004-0000-0200-0000D3000000}"/>
    <hyperlink ref="Q216" r:id="rId213" xr:uid="{00000000-0004-0000-0200-0000D4000000}"/>
    <hyperlink ref="Q217" r:id="rId214" xr:uid="{00000000-0004-0000-0200-0000D5000000}"/>
    <hyperlink ref="Q218" r:id="rId215" xr:uid="{00000000-0004-0000-0200-0000D6000000}"/>
    <hyperlink ref="Q219" r:id="rId216" xr:uid="{00000000-0004-0000-0200-0000D7000000}"/>
    <hyperlink ref="Q220" r:id="rId217" xr:uid="{00000000-0004-0000-0200-0000D8000000}"/>
    <hyperlink ref="Q221" r:id="rId218" xr:uid="{00000000-0004-0000-0200-0000D9000000}"/>
    <hyperlink ref="Q222" r:id="rId219" xr:uid="{00000000-0004-0000-0200-0000DA000000}"/>
    <hyperlink ref="Q223" r:id="rId220" xr:uid="{00000000-0004-0000-0200-0000DB000000}"/>
    <hyperlink ref="Q224" r:id="rId221" xr:uid="{00000000-0004-0000-0200-0000DC000000}"/>
    <hyperlink ref="Q225" r:id="rId222" xr:uid="{00000000-0004-0000-0200-0000DD000000}"/>
    <hyperlink ref="Q226" r:id="rId223" xr:uid="{00000000-0004-0000-0200-0000DE000000}"/>
    <hyperlink ref="Q227" r:id="rId224" xr:uid="{00000000-0004-0000-0200-0000DF000000}"/>
    <hyperlink ref="Q228" r:id="rId225" xr:uid="{00000000-0004-0000-0200-0000E0000000}"/>
    <hyperlink ref="Q229" r:id="rId226" xr:uid="{00000000-0004-0000-0200-0000E1000000}"/>
    <hyperlink ref="Q230" r:id="rId227" xr:uid="{00000000-0004-0000-0200-0000E2000000}"/>
    <hyperlink ref="Q231" r:id="rId228" xr:uid="{00000000-0004-0000-0200-0000E3000000}"/>
    <hyperlink ref="Q232" r:id="rId229" xr:uid="{00000000-0004-0000-0200-0000E4000000}"/>
    <hyperlink ref="Q233" r:id="rId230" xr:uid="{00000000-0004-0000-0200-0000E5000000}"/>
    <hyperlink ref="Q234" r:id="rId231" xr:uid="{00000000-0004-0000-0200-0000E6000000}"/>
    <hyperlink ref="Q235" r:id="rId232" xr:uid="{00000000-0004-0000-0200-0000E7000000}"/>
    <hyperlink ref="Q236" r:id="rId233" xr:uid="{00000000-0004-0000-0200-0000E8000000}"/>
    <hyperlink ref="Q237" r:id="rId234" xr:uid="{00000000-0004-0000-0200-0000E9000000}"/>
    <hyperlink ref="Q238" r:id="rId235" xr:uid="{00000000-0004-0000-0200-0000EA000000}"/>
    <hyperlink ref="Q239" r:id="rId236" xr:uid="{00000000-0004-0000-0200-0000EB000000}"/>
    <hyperlink ref="Q240" r:id="rId237" xr:uid="{00000000-0004-0000-0200-0000EC000000}"/>
    <hyperlink ref="Q241" r:id="rId238" xr:uid="{00000000-0004-0000-0200-0000ED000000}"/>
    <hyperlink ref="Q242" r:id="rId239" xr:uid="{00000000-0004-0000-0200-0000EE000000}"/>
    <hyperlink ref="Q243" r:id="rId240" xr:uid="{00000000-0004-0000-0200-0000EF000000}"/>
    <hyperlink ref="Q244" r:id="rId241" xr:uid="{00000000-0004-0000-0200-0000F0000000}"/>
    <hyperlink ref="Q245" r:id="rId242" xr:uid="{00000000-0004-0000-0200-0000F1000000}"/>
    <hyperlink ref="Q246" r:id="rId243" xr:uid="{00000000-0004-0000-0200-0000F2000000}"/>
    <hyperlink ref="Q247" r:id="rId244" xr:uid="{00000000-0004-0000-0200-0000F3000000}"/>
    <hyperlink ref="Q248" r:id="rId245" xr:uid="{00000000-0004-0000-0200-0000F4000000}"/>
    <hyperlink ref="Q249" r:id="rId246" xr:uid="{00000000-0004-0000-0200-0000F5000000}"/>
    <hyperlink ref="Q250" r:id="rId247" xr:uid="{00000000-0004-0000-0200-0000F6000000}"/>
    <hyperlink ref="Q251" r:id="rId248" xr:uid="{00000000-0004-0000-0200-0000F7000000}"/>
    <hyperlink ref="Q252" r:id="rId249" xr:uid="{00000000-0004-0000-0200-0000F8000000}"/>
    <hyperlink ref="Q253" r:id="rId250" xr:uid="{00000000-0004-0000-0200-0000F9000000}"/>
    <hyperlink ref="Q254" r:id="rId251" xr:uid="{00000000-0004-0000-0200-0000FA000000}"/>
    <hyperlink ref="Q255" r:id="rId252" xr:uid="{00000000-0004-0000-0200-0000FB000000}"/>
    <hyperlink ref="Q256" r:id="rId253" xr:uid="{00000000-0004-0000-0200-0000FC000000}"/>
    <hyperlink ref="Q257" r:id="rId254" xr:uid="{00000000-0004-0000-0200-0000FD000000}"/>
    <hyperlink ref="Q258" r:id="rId255" xr:uid="{00000000-0004-0000-0200-0000FE000000}"/>
    <hyperlink ref="Q259" r:id="rId256" xr:uid="{00000000-0004-0000-0200-0000FF000000}"/>
    <hyperlink ref="Q260" r:id="rId257" xr:uid="{00000000-0004-0000-0200-000000010000}"/>
    <hyperlink ref="Q261" r:id="rId258" xr:uid="{00000000-0004-0000-0200-000001010000}"/>
    <hyperlink ref="Q262" r:id="rId259" xr:uid="{00000000-0004-0000-0200-000002010000}"/>
    <hyperlink ref="Q263" r:id="rId260" xr:uid="{00000000-0004-0000-0200-000003010000}"/>
    <hyperlink ref="Q264" r:id="rId261" xr:uid="{00000000-0004-0000-0200-000004010000}"/>
    <hyperlink ref="Q265" r:id="rId262" xr:uid="{00000000-0004-0000-0200-000005010000}"/>
    <hyperlink ref="Q266" r:id="rId263" xr:uid="{00000000-0004-0000-0200-000006010000}"/>
    <hyperlink ref="Q267" r:id="rId264" xr:uid="{00000000-0004-0000-0200-000007010000}"/>
    <hyperlink ref="Q268" r:id="rId265" xr:uid="{00000000-0004-0000-0200-000008010000}"/>
    <hyperlink ref="Q269" r:id="rId266" xr:uid="{00000000-0004-0000-0200-000009010000}"/>
    <hyperlink ref="Q270" r:id="rId267" xr:uid="{00000000-0004-0000-0200-00000A010000}"/>
    <hyperlink ref="Q271" r:id="rId268" xr:uid="{00000000-0004-0000-0200-00000B010000}"/>
    <hyperlink ref="Q272" r:id="rId269" xr:uid="{00000000-0004-0000-0200-00000C010000}"/>
    <hyperlink ref="Q273" r:id="rId270" xr:uid="{00000000-0004-0000-0200-00000D010000}"/>
    <hyperlink ref="Q274" r:id="rId271" xr:uid="{00000000-0004-0000-0200-00000E010000}"/>
    <hyperlink ref="Q275" r:id="rId272" xr:uid="{00000000-0004-0000-0200-00000F010000}"/>
    <hyperlink ref="Q276" r:id="rId273" xr:uid="{00000000-0004-0000-0200-000010010000}"/>
    <hyperlink ref="Q277" r:id="rId274" xr:uid="{00000000-0004-0000-0200-000011010000}"/>
    <hyperlink ref="Q278" r:id="rId275" xr:uid="{00000000-0004-0000-0200-000012010000}"/>
    <hyperlink ref="Q279" r:id="rId276" xr:uid="{00000000-0004-0000-0200-000013010000}"/>
    <hyperlink ref="Q280" r:id="rId277" xr:uid="{00000000-0004-0000-0200-000014010000}"/>
    <hyperlink ref="Q281" r:id="rId278" xr:uid="{00000000-0004-0000-0200-000015010000}"/>
    <hyperlink ref="Q282" r:id="rId279" xr:uid="{00000000-0004-0000-0200-000016010000}"/>
    <hyperlink ref="Q283" r:id="rId280" xr:uid="{00000000-0004-0000-0200-000017010000}"/>
    <hyperlink ref="Q284" r:id="rId281" xr:uid="{00000000-0004-0000-0200-000018010000}"/>
    <hyperlink ref="Q285" r:id="rId282" xr:uid="{00000000-0004-0000-0200-000019010000}"/>
    <hyperlink ref="Q286" r:id="rId283" xr:uid="{00000000-0004-0000-0200-00001A010000}"/>
    <hyperlink ref="Q287" r:id="rId284" xr:uid="{00000000-0004-0000-0200-00001B010000}"/>
    <hyperlink ref="Q288" r:id="rId285" xr:uid="{00000000-0004-0000-0200-00001C010000}"/>
    <hyperlink ref="Q289" r:id="rId286" xr:uid="{00000000-0004-0000-0200-00001D010000}"/>
    <hyperlink ref="Q290" r:id="rId287" xr:uid="{00000000-0004-0000-0200-00001E010000}"/>
    <hyperlink ref="Q291" r:id="rId288" xr:uid="{00000000-0004-0000-0200-00001F010000}"/>
    <hyperlink ref="Q292" r:id="rId289" xr:uid="{00000000-0004-0000-0200-000020010000}"/>
    <hyperlink ref="Q293" r:id="rId290" xr:uid="{00000000-0004-0000-0200-000021010000}"/>
    <hyperlink ref="Q294" r:id="rId291" xr:uid="{00000000-0004-0000-0200-000022010000}"/>
    <hyperlink ref="Q295" r:id="rId292" xr:uid="{00000000-0004-0000-0200-000023010000}"/>
    <hyperlink ref="Q296" r:id="rId293" xr:uid="{00000000-0004-0000-0200-000024010000}"/>
    <hyperlink ref="Q297" r:id="rId294" xr:uid="{00000000-0004-0000-0200-000025010000}"/>
    <hyperlink ref="Q298" r:id="rId295" xr:uid="{00000000-0004-0000-0200-000026010000}"/>
    <hyperlink ref="Q299" r:id="rId296" xr:uid="{00000000-0004-0000-0200-000027010000}"/>
    <hyperlink ref="Q300" r:id="rId297" xr:uid="{00000000-0004-0000-0200-000028010000}"/>
    <hyperlink ref="Q301" r:id="rId298" xr:uid="{00000000-0004-0000-0200-000029010000}"/>
    <hyperlink ref="Q302" r:id="rId299" xr:uid="{00000000-0004-0000-0200-00002A010000}"/>
    <hyperlink ref="Q303" r:id="rId300" xr:uid="{00000000-0004-0000-0200-00002B010000}"/>
    <hyperlink ref="Q304" r:id="rId301" xr:uid="{00000000-0004-0000-0200-00002C010000}"/>
    <hyperlink ref="Q305" r:id="rId302" xr:uid="{00000000-0004-0000-0200-00002D010000}"/>
    <hyperlink ref="Q306" r:id="rId303" xr:uid="{00000000-0004-0000-0200-00002E010000}"/>
    <hyperlink ref="Q307" r:id="rId304" xr:uid="{00000000-0004-0000-0200-00002F010000}"/>
    <hyperlink ref="Q308" r:id="rId305" xr:uid="{00000000-0004-0000-0200-000030010000}"/>
    <hyperlink ref="Q309" r:id="rId306" xr:uid="{00000000-0004-0000-0200-000031010000}"/>
    <hyperlink ref="Q310" r:id="rId307" xr:uid="{00000000-0004-0000-0200-000032010000}"/>
    <hyperlink ref="Q311" r:id="rId308" xr:uid="{00000000-0004-0000-0200-000033010000}"/>
    <hyperlink ref="Q312" r:id="rId309" xr:uid="{00000000-0004-0000-0200-000034010000}"/>
    <hyperlink ref="Q313" r:id="rId310" xr:uid="{00000000-0004-0000-0200-000035010000}"/>
    <hyperlink ref="Q314" r:id="rId311" xr:uid="{00000000-0004-0000-0200-000036010000}"/>
    <hyperlink ref="Q315" r:id="rId312" xr:uid="{00000000-0004-0000-0200-000037010000}"/>
    <hyperlink ref="Q316" r:id="rId313" xr:uid="{00000000-0004-0000-0200-000038010000}"/>
    <hyperlink ref="Q317" r:id="rId314" xr:uid="{00000000-0004-0000-0200-000039010000}"/>
    <hyperlink ref="Q318" r:id="rId315" xr:uid="{00000000-0004-0000-0200-00003A010000}"/>
    <hyperlink ref="Q319" r:id="rId316" xr:uid="{00000000-0004-0000-0200-00003B010000}"/>
    <hyperlink ref="Q320" r:id="rId317" xr:uid="{00000000-0004-0000-0200-00003C010000}"/>
    <hyperlink ref="Q321" r:id="rId318" xr:uid="{00000000-0004-0000-0200-00003D010000}"/>
    <hyperlink ref="Q322" r:id="rId319" xr:uid="{00000000-0004-0000-0200-00003E010000}"/>
    <hyperlink ref="Q323" r:id="rId320" xr:uid="{00000000-0004-0000-0200-00003F010000}"/>
    <hyperlink ref="Q324" r:id="rId321" xr:uid="{00000000-0004-0000-0200-000040010000}"/>
    <hyperlink ref="Q325" r:id="rId322" xr:uid="{00000000-0004-0000-0200-000041010000}"/>
    <hyperlink ref="Q326" r:id="rId323" xr:uid="{00000000-0004-0000-0200-000042010000}"/>
    <hyperlink ref="Q327" r:id="rId324" xr:uid="{00000000-0004-0000-0200-000043010000}"/>
    <hyperlink ref="Q328" r:id="rId325" xr:uid="{00000000-0004-0000-0200-000044010000}"/>
    <hyperlink ref="Q329" r:id="rId326" xr:uid="{00000000-0004-0000-0200-000045010000}"/>
    <hyperlink ref="Q330" r:id="rId327" xr:uid="{00000000-0004-0000-0200-000046010000}"/>
    <hyperlink ref="Q331" r:id="rId328" xr:uid="{00000000-0004-0000-0200-000047010000}"/>
    <hyperlink ref="Q332" r:id="rId329" xr:uid="{00000000-0004-0000-0200-000048010000}"/>
    <hyperlink ref="Q333" r:id="rId330" xr:uid="{00000000-0004-0000-0200-000049010000}"/>
    <hyperlink ref="Q334" r:id="rId331" xr:uid="{00000000-0004-0000-0200-00004A010000}"/>
    <hyperlink ref="Q335" r:id="rId332" xr:uid="{00000000-0004-0000-0200-00004B010000}"/>
    <hyperlink ref="Q336" r:id="rId333" xr:uid="{00000000-0004-0000-0200-00004C010000}"/>
    <hyperlink ref="Q337" r:id="rId334" xr:uid="{00000000-0004-0000-0200-00004D010000}"/>
    <hyperlink ref="Q338" r:id="rId335" xr:uid="{00000000-0004-0000-0200-00004E010000}"/>
    <hyperlink ref="Q339" r:id="rId336" xr:uid="{00000000-0004-0000-0200-00004F010000}"/>
    <hyperlink ref="Q340" r:id="rId337" xr:uid="{00000000-0004-0000-0200-000050010000}"/>
    <hyperlink ref="Q341" r:id="rId338" xr:uid="{00000000-0004-0000-0200-000051010000}"/>
    <hyperlink ref="Q342" r:id="rId339" xr:uid="{00000000-0004-0000-0200-000052010000}"/>
    <hyperlink ref="Q343" r:id="rId340" xr:uid="{00000000-0004-0000-0200-000053010000}"/>
    <hyperlink ref="Q344" r:id="rId341" xr:uid="{00000000-0004-0000-0200-000054010000}"/>
    <hyperlink ref="Q345" r:id="rId342" xr:uid="{00000000-0004-0000-0200-000055010000}"/>
    <hyperlink ref="Q346" r:id="rId343" xr:uid="{00000000-0004-0000-0200-000056010000}"/>
    <hyperlink ref="Q347" r:id="rId344" xr:uid="{00000000-0004-0000-0200-000057010000}"/>
    <hyperlink ref="Q348" r:id="rId345" xr:uid="{00000000-0004-0000-0200-000058010000}"/>
    <hyperlink ref="Q349" r:id="rId346" xr:uid="{00000000-0004-0000-0200-000059010000}"/>
    <hyperlink ref="Q350" r:id="rId347" xr:uid="{00000000-0004-0000-0200-00005A010000}"/>
    <hyperlink ref="Q351" r:id="rId348" xr:uid="{00000000-0004-0000-0200-00005B010000}"/>
    <hyperlink ref="Q352" r:id="rId349" xr:uid="{00000000-0004-0000-0200-00005C010000}"/>
    <hyperlink ref="Q353" r:id="rId350" xr:uid="{00000000-0004-0000-0200-00005D010000}"/>
    <hyperlink ref="Q354" r:id="rId351" xr:uid="{00000000-0004-0000-0200-00005E010000}"/>
    <hyperlink ref="Q355" r:id="rId352" xr:uid="{00000000-0004-0000-0200-00005F010000}"/>
    <hyperlink ref="Q356" r:id="rId353" xr:uid="{00000000-0004-0000-0200-000060010000}"/>
    <hyperlink ref="Q357" r:id="rId354" xr:uid="{00000000-0004-0000-0200-000061010000}"/>
    <hyperlink ref="Q358" r:id="rId355" xr:uid="{00000000-0004-0000-0200-000062010000}"/>
    <hyperlink ref="Q359" r:id="rId356" xr:uid="{00000000-0004-0000-0200-000063010000}"/>
    <hyperlink ref="Q360" r:id="rId357" xr:uid="{00000000-0004-0000-0200-000064010000}"/>
    <hyperlink ref="Q361" r:id="rId358" xr:uid="{00000000-0004-0000-0200-000065010000}"/>
    <hyperlink ref="Q362" r:id="rId359" xr:uid="{00000000-0004-0000-0200-000066010000}"/>
    <hyperlink ref="Q363" r:id="rId360" xr:uid="{00000000-0004-0000-0200-000067010000}"/>
    <hyperlink ref="Q364" r:id="rId361" xr:uid="{00000000-0004-0000-0200-000068010000}"/>
    <hyperlink ref="Q365" r:id="rId362" xr:uid="{00000000-0004-0000-0200-000069010000}"/>
    <hyperlink ref="Q366" r:id="rId363" xr:uid="{00000000-0004-0000-0200-00006A010000}"/>
    <hyperlink ref="Q367" r:id="rId364" xr:uid="{00000000-0004-0000-0200-00006B010000}"/>
    <hyperlink ref="Q368" r:id="rId365" xr:uid="{00000000-0004-0000-0200-00006C010000}"/>
    <hyperlink ref="Q369" r:id="rId366" xr:uid="{00000000-0004-0000-0200-00006D010000}"/>
    <hyperlink ref="Q370" r:id="rId367" xr:uid="{00000000-0004-0000-0200-00006E010000}"/>
    <hyperlink ref="Q371" r:id="rId368" xr:uid="{00000000-0004-0000-0200-00006F010000}"/>
    <hyperlink ref="Q372" r:id="rId369" xr:uid="{00000000-0004-0000-0200-000070010000}"/>
    <hyperlink ref="Q373" r:id="rId370" xr:uid="{00000000-0004-0000-0200-000071010000}"/>
    <hyperlink ref="Q374" r:id="rId371" xr:uid="{00000000-0004-0000-0200-000072010000}"/>
    <hyperlink ref="Q375" r:id="rId372" xr:uid="{00000000-0004-0000-0200-000073010000}"/>
    <hyperlink ref="Q376" r:id="rId373" xr:uid="{00000000-0004-0000-0200-000074010000}"/>
    <hyperlink ref="Q377" r:id="rId374" xr:uid="{00000000-0004-0000-0200-000075010000}"/>
    <hyperlink ref="Q378" r:id="rId375" xr:uid="{00000000-0004-0000-0200-000076010000}"/>
    <hyperlink ref="Q379" r:id="rId376" xr:uid="{00000000-0004-0000-0200-000077010000}"/>
    <hyperlink ref="Q380" r:id="rId377" xr:uid="{00000000-0004-0000-0200-000078010000}"/>
    <hyperlink ref="Q381" r:id="rId378" xr:uid="{00000000-0004-0000-0200-000079010000}"/>
    <hyperlink ref="Q382" r:id="rId379" xr:uid="{00000000-0004-0000-0200-00007A010000}"/>
    <hyperlink ref="Q383" r:id="rId380" xr:uid="{00000000-0004-0000-0200-00007B010000}"/>
    <hyperlink ref="Q384" r:id="rId381" xr:uid="{00000000-0004-0000-0200-00007C010000}"/>
    <hyperlink ref="Q385" r:id="rId382" xr:uid="{00000000-0004-0000-0200-00007D010000}"/>
    <hyperlink ref="Q386" r:id="rId383" xr:uid="{00000000-0004-0000-0200-00007E010000}"/>
    <hyperlink ref="Q387" r:id="rId384" xr:uid="{00000000-0004-0000-0200-00007F010000}"/>
    <hyperlink ref="Q388" r:id="rId385" xr:uid="{00000000-0004-0000-0200-000080010000}"/>
    <hyperlink ref="Q389" r:id="rId386" xr:uid="{00000000-0004-0000-0200-000081010000}"/>
    <hyperlink ref="Q390" r:id="rId387" xr:uid="{00000000-0004-0000-0200-000082010000}"/>
    <hyperlink ref="Q391" r:id="rId388" xr:uid="{00000000-0004-0000-0200-000083010000}"/>
    <hyperlink ref="Q392" r:id="rId389" xr:uid="{00000000-0004-0000-0200-000084010000}"/>
    <hyperlink ref="Q393" r:id="rId390" xr:uid="{00000000-0004-0000-0200-000085010000}"/>
    <hyperlink ref="Q394" r:id="rId391" xr:uid="{00000000-0004-0000-0200-000086010000}"/>
    <hyperlink ref="Q395" r:id="rId392" xr:uid="{00000000-0004-0000-0200-000087010000}"/>
    <hyperlink ref="Q396" r:id="rId393" xr:uid="{00000000-0004-0000-0200-000088010000}"/>
    <hyperlink ref="Q397" r:id="rId394" xr:uid="{00000000-0004-0000-0200-000089010000}"/>
    <hyperlink ref="Q398" r:id="rId395" xr:uid="{00000000-0004-0000-0200-00008A010000}"/>
    <hyperlink ref="Q399" r:id="rId396" xr:uid="{00000000-0004-0000-0200-00008B010000}"/>
    <hyperlink ref="Q400" r:id="rId397" xr:uid="{00000000-0004-0000-0200-00008C010000}"/>
    <hyperlink ref="Q401" r:id="rId398" xr:uid="{00000000-0004-0000-0200-00008D010000}"/>
    <hyperlink ref="Q402" r:id="rId399" xr:uid="{00000000-0004-0000-0200-00008E010000}"/>
    <hyperlink ref="Q403" r:id="rId400" xr:uid="{00000000-0004-0000-0200-00008F010000}"/>
    <hyperlink ref="Q404" r:id="rId401" xr:uid="{00000000-0004-0000-0200-000090010000}"/>
    <hyperlink ref="Q405" r:id="rId402" xr:uid="{00000000-0004-0000-0200-000091010000}"/>
    <hyperlink ref="Q406" r:id="rId403" xr:uid="{00000000-0004-0000-0200-000092010000}"/>
    <hyperlink ref="Q407" r:id="rId404" xr:uid="{00000000-0004-0000-0200-000093010000}"/>
    <hyperlink ref="Q408" r:id="rId405" xr:uid="{00000000-0004-0000-0200-000094010000}"/>
    <hyperlink ref="Q409" r:id="rId406" xr:uid="{00000000-0004-0000-0200-000095010000}"/>
    <hyperlink ref="Q410" r:id="rId407" xr:uid="{00000000-0004-0000-0200-000096010000}"/>
    <hyperlink ref="Q411" r:id="rId408" xr:uid="{00000000-0004-0000-0200-000097010000}"/>
    <hyperlink ref="Q412" r:id="rId409" xr:uid="{00000000-0004-0000-0200-000098010000}"/>
    <hyperlink ref="Q413" r:id="rId410" xr:uid="{00000000-0004-0000-0200-000099010000}"/>
    <hyperlink ref="Q414" r:id="rId411" xr:uid="{00000000-0004-0000-0200-00009A010000}"/>
    <hyperlink ref="Q415" r:id="rId412" xr:uid="{00000000-0004-0000-0200-00009B010000}"/>
    <hyperlink ref="Q416" r:id="rId413" xr:uid="{00000000-0004-0000-0200-00009C010000}"/>
    <hyperlink ref="Q417" r:id="rId414" xr:uid="{00000000-0004-0000-0200-00009D010000}"/>
    <hyperlink ref="Q418" r:id="rId415" xr:uid="{00000000-0004-0000-0200-00009E010000}"/>
    <hyperlink ref="Q419" r:id="rId416" xr:uid="{00000000-0004-0000-0200-00009F010000}"/>
    <hyperlink ref="Q420" r:id="rId417" xr:uid="{00000000-0004-0000-0200-0000A0010000}"/>
    <hyperlink ref="Q421" r:id="rId418" xr:uid="{00000000-0004-0000-0200-0000A1010000}"/>
    <hyperlink ref="Q422" r:id="rId419" xr:uid="{00000000-0004-0000-0200-0000A2010000}"/>
    <hyperlink ref="Q423" r:id="rId420" xr:uid="{00000000-0004-0000-0200-0000A3010000}"/>
    <hyperlink ref="Q424" r:id="rId421" xr:uid="{00000000-0004-0000-0200-0000A4010000}"/>
    <hyperlink ref="Q425" r:id="rId422" xr:uid="{00000000-0004-0000-0200-0000A5010000}"/>
    <hyperlink ref="Q426" r:id="rId423" xr:uid="{00000000-0004-0000-0200-0000A6010000}"/>
    <hyperlink ref="Q427" r:id="rId424" xr:uid="{00000000-0004-0000-0200-0000A7010000}"/>
    <hyperlink ref="Q428" r:id="rId425" xr:uid="{00000000-0004-0000-0200-0000A8010000}"/>
    <hyperlink ref="Q429" r:id="rId426" xr:uid="{00000000-0004-0000-0200-0000A9010000}"/>
    <hyperlink ref="Q430" r:id="rId427" xr:uid="{00000000-0004-0000-0200-0000AA010000}"/>
    <hyperlink ref="Q431" r:id="rId428" xr:uid="{00000000-0004-0000-0200-0000AB010000}"/>
    <hyperlink ref="Q432" r:id="rId429" xr:uid="{00000000-0004-0000-0200-0000AC010000}"/>
    <hyperlink ref="Q433" r:id="rId430" xr:uid="{00000000-0004-0000-0200-0000AD010000}"/>
    <hyperlink ref="Q434" r:id="rId431" xr:uid="{00000000-0004-0000-0200-0000AE010000}"/>
    <hyperlink ref="Q435" r:id="rId432" xr:uid="{00000000-0004-0000-0200-0000AF010000}"/>
    <hyperlink ref="Q436" r:id="rId433" xr:uid="{00000000-0004-0000-0200-0000B0010000}"/>
    <hyperlink ref="Q437" r:id="rId434" xr:uid="{00000000-0004-0000-0200-0000B1010000}"/>
    <hyperlink ref="Q438" r:id="rId435" xr:uid="{00000000-0004-0000-0200-0000B2010000}"/>
    <hyperlink ref="Q439" r:id="rId436" xr:uid="{00000000-0004-0000-0200-0000B3010000}"/>
    <hyperlink ref="Q440" r:id="rId437" xr:uid="{00000000-0004-0000-0200-0000B4010000}"/>
    <hyperlink ref="Q441" r:id="rId438" xr:uid="{00000000-0004-0000-0200-0000B5010000}"/>
    <hyperlink ref="Q442" r:id="rId439" xr:uid="{00000000-0004-0000-0200-0000B6010000}"/>
    <hyperlink ref="Q443" r:id="rId440" xr:uid="{00000000-0004-0000-0200-0000B7010000}"/>
    <hyperlink ref="Q444" r:id="rId441" xr:uid="{00000000-0004-0000-0200-0000B8010000}"/>
    <hyperlink ref="Q445" r:id="rId442" xr:uid="{00000000-0004-0000-0200-0000B9010000}"/>
    <hyperlink ref="Q446" r:id="rId443" xr:uid="{00000000-0004-0000-0200-0000BA010000}"/>
    <hyperlink ref="Q447" r:id="rId444" xr:uid="{00000000-0004-0000-0200-0000BB010000}"/>
    <hyperlink ref="Q448" r:id="rId445" xr:uid="{00000000-0004-0000-0200-0000BC010000}"/>
    <hyperlink ref="Q449" r:id="rId446" xr:uid="{00000000-0004-0000-0200-0000BD010000}"/>
    <hyperlink ref="Q450" r:id="rId447" xr:uid="{00000000-0004-0000-0200-0000BE010000}"/>
    <hyperlink ref="Q451" r:id="rId448" xr:uid="{00000000-0004-0000-0200-0000BF010000}"/>
    <hyperlink ref="Q452" r:id="rId449" xr:uid="{00000000-0004-0000-0200-0000C0010000}"/>
    <hyperlink ref="Q453" r:id="rId450" xr:uid="{00000000-0004-0000-0200-0000C1010000}"/>
    <hyperlink ref="Q454" r:id="rId451" xr:uid="{00000000-0004-0000-0200-0000C2010000}"/>
    <hyperlink ref="Q455" r:id="rId452" xr:uid="{00000000-0004-0000-0200-0000C3010000}"/>
    <hyperlink ref="Q456" r:id="rId453" xr:uid="{00000000-0004-0000-0200-0000C4010000}"/>
    <hyperlink ref="Q457" r:id="rId454" xr:uid="{00000000-0004-0000-0200-0000C5010000}"/>
    <hyperlink ref="Q458" r:id="rId455" xr:uid="{00000000-0004-0000-0200-0000C6010000}"/>
    <hyperlink ref="Q459" r:id="rId456" xr:uid="{00000000-0004-0000-0200-0000C7010000}"/>
    <hyperlink ref="Q460" r:id="rId457" xr:uid="{00000000-0004-0000-0200-0000C8010000}"/>
    <hyperlink ref="Q461" r:id="rId458" xr:uid="{00000000-0004-0000-0200-0000C9010000}"/>
    <hyperlink ref="Q462" r:id="rId459" xr:uid="{00000000-0004-0000-0200-0000CA010000}"/>
    <hyperlink ref="Q463" r:id="rId460" xr:uid="{00000000-0004-0000-0200-0000CB010000}"/>
    <hyperlink ref="Q464" r:id="rId461" xr:uid="{00000000-0004-0000-0200-0000CC010000}"/>
    <hyperlink ref="Q465" r:id="rId462" xr:uid="{00000000-0004-0000-0200-0000CD010000}"/>
    <hyperlink ref="Q466" r:id="rId463" xr:uid="{00000000-0004-0000-0200-0000CE010000}"/>
    <hyperlink ref="Q467" r:id="rId464" xr:uid="{00000000-0004-0000-0200-0000CF010000}"/>
    <hyperlink ref="Q468" r:id="rId465" xr:uid="{00000000-0004-0000-0200-0000D0010000}"/>
    <hyperlink ref="Q469" r:id="rId466" xr:uid="{00000000-0004-0000-0200-0000D1010000}"/>
    <hyperlink ref="Q470" r:id="rId467" xr:uid="{00000000-0004-0000-0200-0000D2010000}"/>
    <hyperlink ref="Q471" r:id="rId468" xr:uid="{00000000-0004-0000-0200-0000D3010000}"/>
    <hyperlink ref="Q472" r:id="rId469" xr:uid="{00000000-0004-0000-0200-0000D4010000}"/>
    <hyperlink ref="Q473" r:id="rId470" xr:uid="{00000000-0004-0000-0200-0000D5010000}"/>
    <hyperlink ref="Q474" r:id="rId471" xr:uid="{00000000-0004-0000-0200-0000D6010000}"/>
    <hyperlink ref="Q475" r:id="rId472" xr:uid="{00000000-0004-0000-0200-0000D7010000}"/>
    <hyperlink ref="Q476" r:id="rId473" xr:uid="{00000000-0004-0000-0200-0000D8010000}"/>
    <hyperlink ref="Q477" r:id="rId474" xr:uid="{00000000-0004-0000-0200-0000D9010000}"/>
    <hyperlink ref="Q478" r:id="rId475" xr:uid="{00000000-0004-0000-0200-0000DA010000}"/>
    <hyperlink ref="Q479" r:id="rId476" xr:uid="{00000000-0004-0000-0200-0000DB010000}"/>
    <hyperlink ref="Q480" r:id="rId477" xr:uid="{00000000-0004-0000-0200-0000DC010000}"/>
    <hyperlink ref="Q481" r:id="rId478" xr:uid="{00000000-0004-0000-0200-0000DD010000}"/>
    <hyperlink ref="Q482" r:id="rId479" xr:uid="{00000000-0004-0000-0200-0000DE010000}"/>
    <hyperlink ref="Q483" r:id="rId480" xr:uid="{00000000-0004-0000-0200-0000DF010000}"/>
    <hyperlink ref="Q484" r:id="rId481" xr:uid="{00000000-0004-0000-0200-0000E0010000}"/>
    <hyperlink ref="Q485" r:id="rId482" xr:uid="{00000000-0004-0000-0200-0000E1010000}"/>
    <hyperlink ref="Q486" r:id="rId483" xr:uid="{00000000-0004-0000-0200-0000E2010000}"/>
    <hyperlink ref="Q487" r:id="rId484" xr:uid="{00000000-0004-0000-0200-0000E3010000}"/>
    <hyperlink ref="Q488" r:id="rId485" xr:uid="{00000000-0004-0000-0200-0000E4010000}"/>
    <hyperlink ref="Q489" r:id="rId486" xr:uid="{00000000-0004-0000-0200-0000E5010000}"/>
    <hyperlink ref="Q490" r:id="rId487" xr:uid="{00000000-0004-0000-0200-0000E6010000}"/>
    <hyperlink ref="Q491" r:id="rId488" xr:uid="{00000000-0004-0000-0200-0000E7010000}"/>
    <hyperlink ref="Q492" r:id="rId489" xr:uid="{00000000-0004-0000-0200-0000E8010000}"/>
    <hyperlink ref="Q493" r:id="rId490" xr:uid="{00000000-0004-0000-0200-0000E9010000}"/>
    <hyperlink ref="Q494" r:id="rId491" xr:uid="{00000000-0004-0000-0200-0000EA010000}"/>
    <hyperlink ref="Q495" r:id="rId492" xr:uid="{00000000-0004-0000-0200-0000EB010000}"/>
    <hyperlink ref="Q496" r:id="rId493" xr:uid="{00000000-0004-0000-0200-0000EC010000}"/>
    <hyperlink ref="Q497" r:id="rId494" xr:uid="{00000000-0004-0000-0200-0000ED010000}"/>
    <hyperlink ref="Q498" r:id="rId495" xr:uid="{00000000-0004-0000-0200-0000EE010000}"/>
    <hyperlink ref="Q499" r:id="rId496" xr:uid="{00000000-0004-0000-0200-0000EF010000}"/>
    <hyperlink ref="Q500" r:id="rId497" xr:uid="{00000000-0004-0000-0200-0000F0010000}"/>
    <hyperlink ref="Q501" r:id="rId498" xr:uid="{00000000-0004-0000-0200-0000F1010000}"/>
    <hyperlink ref="Q502" r:id="rId499" xr:uid="{00000000-0004-0000-0200-0000F2010000}"/>
    <hyperlink ref="Q503" r:id="rId500" xr:uid="{00000000-0004-0000-0200-0000F3010000}"/>
    <hyperlink ref="Q504" r:id="rId501" xr:uid="{00000000-0004-0000-0200-0000F4010000}"/>
    <hyperlink ref="Q505" r:id="rId502" xr:uid="{00000000-0004-0000-0200-0000F5010000}"/>
    <hyperlink ref="Q506" r:id="rId503" xr:uid="{00000000-0004-0000-0200-0000F6010000}"/>
    <hyperlink ref="Q507" r:id="rId504" xr:uid="{00000000-0004-0000-0200-0000F7010000}"/>
    <hyperlink ref="Q508" r:id="rId505" xr:uid="{00000000-0004-0000-0200-0000F8010000}"/>
    <hyperlink ref="Q509" r:id="rId506" xr:uid="{00000000-0004-0000-0200-0000F9010000}"/>
    <hyperlink ref="Q510" r:id="rId507" xr:uid="{00000000-0004-0000-0200-0000FA010000}"/>
    <hyperlink ref="Q511" r:id="rId508" xr:uid="{00000000-0004-0000-0200-0000FB010000}"/>
    <hyperlink ref="Q512" r:id="rId509" xr:uid="{00000000-0004-0000-0200-0000FC010000}"/>
    <hyperlink ref="Q513" r:id="rId510" xr:uid="{00000000-0004-0000-0200-0000FD010000}"/>
    <hyperlink ref="Q514" r:id="rId511" xr:uid="{00000000-0004-0000-0200-0000FE010000}"/>
    <hyperlink ref="Q515" r:id="rId512" xr:uid="{00000000-0004-0000-0200-0000FF010000}"/>
    <hyperlink ref="Q516" r:id="rId513" xr:uid="{00000000-0004-0000-0200-000000020000}"/>
    <hyperlink ref="Q517" r:id="rId514" xr:uid="{00000000-0004-0000-0200-000001020000}"/>
    <hyperlink ref="Q518" r:id="rId515" xr:uid="{00000000-0004-0000-0200-000002020000}"/>
    <hyperlink ref="Q519" r:id="rId516" xr:uid="{00000000-0004-0000-0200-000003020000}"/>
    <hyperlink ref="Q520" r:id="rId517" xr:uid="{00000000-0004-0000-0200-000004020000}"/>
    <hyperlink ref="Q521" r:id="rId518" xr:uid="{00000000-0004-0000-0200-000005020000}"/>
    <hyperlink ref="Q522" r:id="rId519" xr:uid="{00000000-0004-0000-0200-000006020000}"/>
    <hyperlink ref="Q523" r:id="rId520" xr:uid="{00000000-0004-0000-0200-000007020000}"/>
    <hyperlink ref="Q524" r:id="rId521" xr:uid="{00000000-0004-0000-0200-000008020000}"/>
    <hyperlink ref="Q525" r:id="rId522" xr:uid="{00000000-0004-0000-0200-000009020000}"/>
    <hyperlink ref="Q526" r:id="rId523" xr:uid="{00000000-0004-0000-0200-00000A020000}"/>
    <hyperlink ref="Q527" r:id="rId524" xr:uid="{00000000-0004-0000-0200-00000B020000}"/>
    <hyperlink ref="Q528" r:id="rId525" xr:uid="{00000000-0004-0000-0200-00000C020000}"/>
    <hyperlink ref="Q529" r:id="rId526" xr:uid="{00000000-0004-0000-0200-00000D020000}"/>
    <hyperlink ref="Q530" r:id="rId527" xr:uid="{00000000-0004-0000-0200-00000E020000}"/>
    <hyperlink ref="Q531" r:id="rId528" xr:uid="{00000000-0004-0000-0200-00000F020000}"/>
    <hyperlink ref="Q532" r:id="rId529" xr:uid="{00000000-0004-0000-0200-000010020000}"/>
    <hyperlink ref="Q533" r:id="rId530" xr:uid="{00000000-0004-0000-0200-000011020000}"/>
    <hyperlink ref="Q534" r:id="rId531" xr:uid="{00000000-0004-0000-0200-000012020000}"/>
    <hyperlink ref="Q535" r:id="rId532" xr:uid="{00000000-0004-0000-0200-000013020000}"/>
    <hyperlink ref="Q536" r:id="rId533" xr:uid="{00000000-0004-0000-0200-000014020000}"/>
    <hyperlink ref="Q537" r:id="rId534" xr:uid="{00000000-0004-0000-0200-000015020000}"/>
    <hyperlink ref="Q538" r:id="rId535" xr:uid="{00000000-0004-0000-0200-000016020000}"/>
    <hyperlink ref="Q539" r:id="rId536" xr:uid="{00000000-0004-0000-0200-000017020000}"/>
    <hyperlink ref="Q540" r:id="rId537" xr:uid="{00000000-0004-0000-0200-000018020000}"/>
    <hyperlink ref="Q541" r:id="rId538" xr:uid="{00000000-0004-0000-0200-000019020000}"/>
    <hyperlink ref="Q542" r:id="rId539" xr:uid="{00000000-0004-0000-0200-00001A020000}"/>
    <hyperlink ref="Q543" r:id="rId540" xr:uid="{00000000-0004-0000-0200-00001B020000}"/>
    <hyperlink ref="Q544" r:id="rId541" xr:uid="{00000000-0004-0000-0200-00001C020000}"/>
    <hyperlink ref="Q545" r:id="rId542" xr:uid="{00000000-0004-0000-0200-00001D020000}"/>
    <hyperlink ref="Q546" r:id="rId543" xr:uid="{00000000-0004-0000-0200-00001E020000}"/>
    <hyperlink ref="Q547" r:id="rId544" xr:uid="{00000000-0004-0000-0200-00001F020000}"/>
    <hyperlink ref="Q548" r:id="rId545" xr:uid="{00000000-0004-0000-0200-000020020000}"/>
    <hyperlink ref="Q549" r:id="rId546" xr:uid="{00000000-0004-0000-0200-000021020000}"/>
    <hyperlink ref="Q550" r:id="rId547" xr:uid="{00000000-0004-0000-0200-000022020000}"/>
    <hyperlink ref="Q551" r:id="rId548" xr:uid="{00000000-0004-0000-0200-000023020000}"/>
    <hyperlink ref="Q552" r:id="rId549" xr:uid="{00000000-0004-0000-0200-000024020000}"/>
    <hyperlink ref="Q553" r:id="rId550" xr:uid="{00000000-0004-0000-0200-000025020000}"/>
    <hyperlink ref="Q554" r:id="rId551" xr:uid="{00000000-0004-0000-0200-000026020000}"/>
    <hyperlink ref="Q555" r:id="rId552" xr:uid="{00000000-0004-0000-0200-000027020000}"/>
    <hyperlink ref="Q556" r:id="rId553" xr:uid="{00000000-0004-0000-0200-000028020000}"/>
    <hyperlink ref="Q557" r:id="rId554" xr:uid="{00000000-0004-0000-0200-000029020000}"/>
    <hyperlink ref="Q558" r:id="rId555" xr:uid="{00000000-0004-0000-0200-00002A020000}"/>
    <hyperlink ref="Q559" r:id="rId556" xr:uid="{00000000-0004-0000-0200-00002B020000}"/>
    <hyperlink ref="Q560" r:id="rId557" xr:uid="{00000000-0004-0000-0200-00002C020000}"/>
    <hyperlink ref="Q561" r:id="rId558" xr:uid="{00000000-0004-0000-0200-00002D020000}"/>
    <hyperlink ref="Q562" r:id="rId559" xr:uid="{00000000-0004-0000-0200-00002E020000}"/>
    <hyperlink ref="Q563" r:id="rId560" xr:uid="{00000000-0004-0000-0200-00002F020000}"/>
    <hyperlink ref="Q564" r:id="rId561" xr:uid="{00000000-0004-0000-0200-000030020000}"/>
    <hyperlink ref="Q565" r:id="rId562" xr:uid="{00000000-0004-0000-0200-000031020000}"/>
    <hyperlink ref="Q566" r:id="rId563" xr:uid="{00000000-0004-0000-0200-000032020000}"/>
    <hyperlink ref="Q567" r:id="rId564" xr:uid="{00000000-0004-0000-0200-000033020000}"/>
    <hyperlink ref="Q568" r:id="rId565" xr:uid="{00000000-0004-0000-0200-000034020000}"/>
    <hyperlink ref="Q569" r:id="rId566" xr:uid="{00000000-0004-0000-0200-000035020000}"/>
    <hyperlink ref="Q570" r:id="rId567" xr:uid="{00000000-0004-0000-0200-000036020000}"/>
    <hyperlink ref="Q571" r:id="rId568" xr:uid="{00000000-0004-0000-0200-000037020000}"/>
    <hyperlink ref="Q572" r:id="rId569" xr:uid="{00000000-0004-0000-0200-000038020000}"/>
    <hyperlink ref="Q573" r:id="rId570" xr:uid="{00000000-0004-0000-0200-000039020000}"/>
    <hyperlink ref="Q574" r:id="rId571" xr:uid="{00000000-0004-0000-0200-00003A020000}"/>
    <hyperlink ref="Q575" r:id="rId572" xr:uid="{00000000-0004-0000-0200-00003B020000}"/>
    <hyperlink ref="Q576" r:id="rId573" xr:uid="{00000000-0004-0000-0200-00003C020000}"/>
    <hyperlink ref="Q577" r:id="rId574" xr:uid="{00000000-0004-0000-0200-00003D020000}"/>
    <hyperlink ref="Q578" r:id="rId575" xr:uid="{00000000-0004-0000-0200-00003E020000}"/>
    <hyperlink ref="Q579" r:id="rId576" xr:uid="{00000000-0004-0000-0200-00003F020000}"/>
    <hyperlink ref="Q580" r:id="rId577" xr:uid="{00000000-0004-0000-0200-000040020000}"/>
    <hyperlink ref="Q581" r:id="rId578" xr:uid="{00000000-0004-0000-0200-000041020000}"/>
    <hyperlink ref="Q582" r:id="rId579" xr:uid="{00000000-0004-0000-0200-000042020000}"/>
    <hyperlink ref="Q583" r:id="rId580" xr:uid="{00000000-0004-0000-0200-000043020000}"/>
    <hyperlink ref="Q584" r:id="rId581" xr:uid="{00000000-0004-0000-0200-000044020000}"/>
    <hyperlink ref="Q585" r:id="rId582" xr:uid="{00000000-0004-0000-0200-000045020000}"/>
    <hyperlink ref="Q586" r:id="rId583" xr:uid="{00000000-0004-0000-0200-000046020000}"/>
    <hyperlink ref="Q587" r:id="rId584" xr:uid="{00000000-0004-0000-0200-000047020000}"/>
    <hyperlink ref="Q588" r:id="rId585" xr:uid="{00000000-0004-0000-0200-000048020000}"/>
    <hyperlink ref="Q589" r:id="rId586" xr:uid="{00000000-0004-0000-0200-000049020000}"/>
    <hyperlink ref="Q590" r:id="rId587" xr:uid="{00000000-0004-0000-0200-00004A020000}"/>
    <hyperlink ref="Q591" r:id="rId588" xr:uid="{00000000-0004-0000-0200-00004B020000}"/>
    <hyperlink ref="Q592" r:id="rId589" xr:uid="{00000000-0004-0000-0200-00004C020000}"/>
    <hyperlink ref="Q593" r:id="rId590" xr:uid="{00000000-0004-0000-0200-00004D020000}"/>
    <hyperlink ref="Q594" r:id="rId591" xr:uid="{00000000-0004-0000-0200-00004E020000}"/>
    <hyperlink ref="Q595" r:id="rId592" xr:uid="{00000000-0004-0000-0200-00004F020000}"/>
    <hyperlink ref="Q596" r:id="rId593" xr:uid="{00000000-0004-0000-0200-000050020000}"/>
    <hyperlink ref="Q597" r:id="rId594" xr:uid="{00000000-0004-0000-0200-000051020000}"/>
    <hyperlink ref="Q598" r:id="rId595" xr:uid="{00000000-0004-0000-0200-000052020000}"/>
    <hyperlink ref="Q599" r:id="rId596" xr:uid="{00000000-0004-0000-0200-000053020000}"/>
    <hyperlink ref="Q600" r:id="rId597" xr:uid="{00000000-0004-0000-0200-000054020000}"/>
    <hyperlink ref="Q601" r:id="rId598" xr:uid="{00000000-0004-0000-0200-000055020000}"/>
    <hyperlink ref="Q602" r:id="rId599" xr:uid="{00000000-0004-0000-0200-000056020000}"/>
    <hyperlink ref="Q603" r:id="rId600" xr:uid="{00000000-0004-0000-0200-000057020000}"/>
    <hyperlink ref="Q604" r:id="rId601" xr:uid="{00000000-0004-0000-0200-000058020000}"/>
    <hyperlink ref="Q605" r:id="rId602" xr:uid="{00000000-0004-0000-0200-000059020000}"/>
    <hyperlink ref="Q606" r:id="rId603" xr:uid="{00000000-0004-0000-0200-00005A020000}"/>
    <hyperlink ref="Q607" r:id="rId604" xr:uid="{00000000-0004-0000-0200-00005B020000}"/>
    <hyperlink ref="Q608" r:id="rId605" xr:uid="{00000000-0004-0000-0200-00005C020000}"/>
    <hyperlink ref="Q609" r:id="rId606" xr:uid="{00000000-0004-0000-0200-00005D020000}"/>
    <hyperlink ref="Q610" r:id="rId607" xr:uid="{00000000-0004-0000-0200-00005E020000}"/>
    <hyperlink ref="Q611" r:id="rId608" xr:uid="{00000000-0004-0000-0200-00005F020000}"/>
    <hyperlink ref="Q612" r:id="rId609" xr:uid="{00000000-0004-0000-0200-000060020000}"/>
    <hyperlink ref="Q613" r:id="rId610" xr:uid="{00000000-0004-0000-0200-000061020000}"/>
    <hyperlink ref="Q614" r:id="rId611" xr:uid="{00000000-0004-0000-0200-000062020000}"/>
    <hyperlink ref="Q615" r:id="rId612" xr:uid="{00000000-0004-0000-0200-000063020000}"/>
    <hyperlink ref="Q616" r:id="rId613" xr:uid="{00000000-0004-0000-0200-000064020000}"/>
    <hyperlink ref="Q617" r:id="rId614" xr:uid="{00000000-0004-0000-0200-000065020000}"/>
    <hyperlink ref="Q618" r:id="rId615" xr:uid="{00000000-0004-0000-0200-000066020000}"/>
    <hyperlink ref="Q619" r:id="rId616" xr:uid="{00000000-0004-0000-0200-000067020000}"/>
    <hyperlink ref="Q620" r:id="rId617" xr:uid="{00000000-0004-0000-0200-000068020000}"/>
    <hyperlink ref="Q621" r:id="rId618" xr:uid="{00000000-0004-0000-0200-000069020000}"/>
    <hyperlink ref="Q622" r:id="rId619" xr:uid="{00000000-0004-0000-0200-00006A020000}"/>
    <hyperlink ref="Q623" r:id="rId620" xr:uid="{00000000-0004-0000-0200-00006B020000}"/>
    <hyperlink ref="Q624" r:id="rId621" xr:uid="{00000000-0004-0000-0200-00006C020000}"/>
    <hyperlink ref="Q625" r:id="rId622" xr:uid="{00000000-0004-0000-0200-00006D020000}"/>
    <hyperlink ref="Q626" r:id="rId623" xr:uid="{00000000-0004-0000-0200-00006E020000}"/>
    <hyperlink ref="Q627" r:id="rId624" xr:uid="{00000000-0004-0000-0200-00006F020000}"/>
    <hyperlink ref="Q628" r:id="rId625" xr:uid="{00000000-0004-0000-0200-000070020000}"/>
    <hyperlink ref="Q629" r:id="rId626" xr:uid="{00000000-0004-0000-0200-000071020000}"/>
    <hyperlink ref="Q630" r:id="rId627" xr:uid="{00000000-0004-0000-0200-000072020000}"/>
    <hyperlink ref="Q631" r:id="rId628" xr:uid="{00000000-0004-0000-0200-000073020000}"/>
    <hyperlink ref="Q632" r:id="rId629" xr:uid="{00000000-0004-0000-0200-000074020000}"/>
    <hyperlink ref="Q633" r:id="rId630" xr:uid="{00000000-0004-0000-0200-000075020000}"/>
    <hyperlink ref="Q634" r:id="rId631" xr:uid="{00000000-0004-0000-0200-000076020000}"/>
    <hyperlink ref="Q635" r:id="rId632" xr:uid="{00000000-0004-0000-0200-000077020000}"/>
    <hyperlink ref="Q636" r:id="rId633" xr:uid="{00000000-0004-0000-0200-000078020000}"/>
    <hyperlink ref="Q637" r:id="rId634" xr:uid="{00000000-0004-0000-0200-000079020000}"/>
    <hyperlink ref="Q638" r:id="rId635" xr:uid="{00000000-0004-0000-0200-00007A020000}"/>
    <hyperlink ref="Q639" r:id="rId636" xr:uid="{00000000-0004-0000-0200-00007B020000}"/>
    <hyperlink ref="Q640" r:id="rId637" xr:uid="{00000000-0004-0000-0200-00007C020000}"/>
    <hyperlink ref="Q641" r:id="rId638" xr:uid="{00000000-0004-0000-0200-00007D020000}"/>
    <hyperlink ref="Q642" r:id="rId639" xr:uid="{00000000-0004-0000-0200-00007E020000}"/>
    <hyperlink ref="Q643" r:id="rId640" xr:uid="{00000000-0004-0000-0200-00007F020000}"/>
    <hyperlink ref="Q644" r:id="rId641" xr:uid="{00000000-0004-0000-0200-000080020000}"/>
    <hyperlink ref="Q645" r:id="rId642" xr:uid="{00000000-0004-0000-0200-000081020000}"/>
    <hyperlink ref="Q646" r:id="rId643" xr:uid="{00000000-0004-0000-0200-000082020000}"/>
    <hyperlink ref="Q647" r:id="rId644" xr:uid="{00000000-0004-0000-0200-000083020000}"/>
    <hyperlink ref="Q648" r:id="rId645" xr:uid="{00000000-0004-0000-0200-000084020000}"/>
    <hyperlink ref="Q649" r:id="rId646" xr:uid="{00000000-0004-0000-0200-000085020000}"/>
    <hyperlink ref="Q650" r:id="rId647" xr:uid="{00000000-0004-0000-0200-000086020000}"/>
    <hyperlink ref="Q651" r:id="rId648" xr:uid="{00000000-0004-0000-0200-000087020000}"/>
    <hyperlink ref="Q652" r:id="rId649" xr:uid="{00000000-0004-0000-0200-000088020000}"/>
    <hyperlink ref="Q653" r:id="rId650" xr:uid="{00000000-0004-0000-0200-000089020000}"/>
    <hyperlink ref="Q654" r:id="rId651" xr:uid="{00000000-0004-0000-0200-00008A020000}"/>
    <hyperlink ref="Q655" r:id="rId652" xr:uid="{00000000-0004-0000-0200-00008B020000}"/>
    <hyperlink ref="Q656" r:id="rId653" xr:uid="{00000000-0004-0000-0200-00008C020000}"/>
    <hyperlink ref="Q657" r:id="rId654" xr:uid="{00000000-0004-0000-0200-00008D020000}"/>
    <hyperlink ref="Q658" r:id="rId655" xr:uid="{00000000-0004-0000-0200-00008E020000}"/>
    <hyperlink ref="Q659" r:id="rId656" xr:uid="{00000000-0004-0000-0200-00008F020000}"/>
    <hyperlink ref="Q660" r:id="rId657" xr:uid="{00000000-0004-0000-0200-000090020000}"/>
    <hyperlink ref="Q661" r:id="rId658" xr:uid="{00000000-0004-0000-0200-000091020000}"/>
    <hyperlink ref="Q662" r:id="rId659" xr:uid="{00000000-0004-0000-0200-000092020000}"/>
    <hyperlink ref="Q663" r:id="rId660" xr:uid="{00000000-0004-0000-0200-000093020000}"/>
    <hyperlink ref="Q664" r:id="rId661" xr:uid="{00000000-0004-0000-0200-000094020000}"/>
    <hyperlink ref="Q665" r:id="rId662" xr:uid="{00000000-0004-0000-0200-000095020000}"/>
    <hyperlink ref="Q666" r:id="rId663" xr:uid="{00000000-0004-0000-0200-000096020000}"/>
    <hyperlink ref="Q667" r:id="rId664" xr:uid="{00000000-0004-0000-0200-000097020000}"/>
    <hyperlink ref="Q668" r:id="rId665" xr:uid="{00000000-0004-0000-0200-000098020000}"/>
    <hyperlink ref="Q669" r:id="rId666" xr:uid="{00000000-0004-0000-0200-000099020000}"/>
    <hyperlink ref="Q670" r:id="rId667" xr:uid="{00000000-0004-0000-0200-00009A020000}"/>
    <hyperlink ref="Q671" r:id="rId668" xr:uid="{00000000-0004-0000-0200-00009B020000}"/>
    <hyperlink ref="Q672" r:id="rId669" xr:uid="{00000000-0004-0000-0200-00009C020000}"/>
    <hyperlink ref="Q673" r:id="rId670" xr:uid="{00000000-0004-0000-0200-00009D020000}"/>
    <hyperlink ref="Q674" r:id="rId671" xr:uid="{00000000-0004-0000-0200-00009E020000}"/>
    <hyperlink ref="Q675" r:id="rId672" xr:uid="{00000000-0004-0000-0200-00009F020000}"/>
    <hyperlink ref="Q676" r:id="rId673" xr:uid="{00000000-0004-0000-0200-0000A0020000}"/>
    <hyperlink ref="Q677" r:id="rId674" xr:uid="{00000000-0004-0000-0200-0000A1020000}"/>
    <hyperlink ref="Q678" r:id="rId675" xr:uid="{00000000-0004-0000-0200-0000A2020000}"/>
    <hyperlink ref="Q679" r:id="rId676" xr:uid="{00000000-0004-0000-0200-0000A3020000}"/>
    <hyperlink ref="Q680" r:id="rId677" xr:uid="{00000000-0004-0000-0200-0000A4020000}"/>
    <hyperlink ref="Q681" r:id="rId678" xr:uid="{00000000-0004-0000-0200-0000A5020000}"/>
    <hyperlink ref="Q682" r:id="rId679" xr:uid="{00000000-0004-0000-0200-0000A6020000}"/>
    <hyperlink ref="Q683" r:id="rId680" xr:uid="{00000000-0004-0000-0200-0000A7020000}"/>
    <hyperlink ref="Q684" r:id="rId681" xr:uid="{00000000-0004-0000-0200-0000A8020000}"/>
    <hyperlink ref="Q685" r:id="rId682" xr:uid="{00000000-0004-0000-0200-0000A9020000}"/>
    <hyperlink ref="Q686" r:id="rId683" xr:uid="{00000000-0004-0000-0200-0000AA020000}"/>
    <hyperlink ref="Q687" r:id="rId684" xr:uid="{00000000-0004-0000-0200-0000AB020000}"/>
    <hyperlink ref="Q688" r:id="rId685" xr:uid="{00000000-0004-0000-0200-0000AC020000}"/>
    <hyperlink ref="Q689" r:id="rId686" xr:uid="{00000000-0004-0000-0200-0000AD020000}"/>
    <hyperlink ref="Q690" r:id="rId687" xr:uid="{00000000-0004-0000-0200-0000AE020000}"/>
    <hyperlink ref="Q691" r:id="rId688" xr:uid="{00000000-0004-0000-0200-0000AF020000}"/>
    <hyperlink ref="Q692" r:id="rId689" xr:uid="{00000000-0004-0000-0200-0000B0020000}"/>
    <hyperlink ref="Q693" r:id="rId690" xr:uid="{00000000-0004-0000-0200-0000B1020000}"/>
    <hyperlink ref="Q694" r:id="rId691" xr:uid="{00000000-0004-0000-0200-0000B2020000}"/>
    <hyperlink ref="Q695" r:id="rId692" xr:uid="{00000000-0004-0000-0200-0000B3020000}"/>
    <hyperlink ref="Q696" r:id="rId693" xr:uid="{00000000-0004-0000-0200-0000B4020000}"/>
    <hyperlink ref="Q697" r:id="rId694" xr:uid="{00000000-0004-0000-0200-0000B5020000}"/>
    <hyperlink ref="Q698" r:id="rId695" xr:uid="{00000000-0004-0000-0200-0000B6020000}"/>
    <hyperlink ref="Q699" r:id="rId696" xr:uid="{00000000-0004-0000-0200-0000B7020000}"/>
    <hyperlink ref="Q700" r:id="rId697" xr:uid="{00000000-0004-0000-0200-0000B8020000}"/>
    <hyperlink ref="Q701" r:id="rId698" xr:uid="{00000000-0004-0000-0200-0000B9020000}"/>
    <hyperlink ref="Q702" r:id="rId699" xr:uid="{00000000-0004-0000-0200-0000BA020000}"/>
    <hyperlink ref="Q703" r:id="rId700" xr:uid="{00000000-0004-0000-0200-0000BB020000}"/>
    <hyperlink ref="Q704" r:id="rId701" xr:uid="{00000000-0004-0000-0200-0000BC020000}"/>
    <hyperlink ref="Q705" r:id="rId702" xr:uid="{00000000-0004-0000-0200-0000BD020000}"/>
    <hyperlink ref="Q706" r:id="rId703" xr:uid="{00000000-0004-0000-0200-0000BE020000}"/>
    <hyperlink ref="Q707" r:id="rId704" xr:uid="{00000000-0004-0000-0200-0000BF020000}"/>
    <hyperlink ref="Q708" r:id="rId705" xr:uid="{00000000-0004-0000-0200-0000C0020000}"/>
    <hyperlink ref="Q709" r:id="rId706" xr:uid="{00000000-0004-0000-0200-0000C1020000}"/>
    <hyperlink ref="Q710" r:id="rId707" xr:uid="{00000000-0004-0000-0200-0000C2020000}"/>
    <hyperlink ref="Q711" r:id="rId708" xr:uid="{00000000-0004-0000-0200-0000C3020000}"/>
    <hyperlink ref="Q712" r:id="rId709" xr:uid="{00000000-0004-0000-0200-0000C4020000}"/>
    <hyperlink ref="Q713" r:id="rId710" xr:uid="{00000000-0004-0000-0200-0000C5020000}"/>
    <hyperlink ref="Q714" r:id="rId711" xr:uid="{00000000-0004-0000-0200-0000C6020000}"/>
    <hyperlink ref="Q715" r:id="rId712" xr:uid="{00000000-0004-0000-0200-0000C7020000}"/>
    <hyperlink ref="Q716" r:id="rId713" xr:uid="{00000000-0004-0000-0200-0000C8020000}"/>
    <hyperlink ref="Q717" r:id="rId714" xr:uid="{00000000-0004-0000-0200-0000C9020000}"/>
    <hyperlink ref="Q718" r:id="rId715" xr:uid="{00000000-0004-0000-0200-0000CA020000}"/>
    <hyperlink ref="Q719" r:id="rId716" xr:uid="{00000000-0004-0000-0200-0000CB020000}"/>
    <hyperlink ref="Q720" r:id="rId717" xr:uid="{00000000-0004-0000-0200-0000CC020000}"/>
    <hyperlink ref="Q721" r:id="rId718" xr:uid="{00000000-0004-0000-0200-0000CD020000}"/>
    <hyperlink ref="Q722" r:id="rId719" xr:uid="{00000000-0004-0000-0200-0000CE020000}"/>
    <hyperlink ref="Q723" r:id="rId720" xr:uid="{00000000-0004-0000-0200-0000CF020000}"/>
    <hyperlink ref="Q724" r:id="rId721" xr:uid="{00000000-0004-0000-0200-0000D0020000}"/>
    <hyperlink ref="Q725" r:id="rId722" xr:uid="{00000000-0004-0000-0200-0000D1020000}"/>
    <hyperlink ref="Q726" r:id="rId723" xr:uid="{00000000-0004-0000-0200-0000D2020000}"/>
    <hyperlink ref="Q727" r:id="rId724" xr:uid="{00000000-0004-0000-0200-0000D3020000}"/>
    <hyperlink ref="Q728" r:id="rId725" xr:uid="{00000000-0004-0000-0200-0000D4020000}"/>
    <hyperlink ref="Q729" r:id="rId726" xr:uid="{00000000-0004-0000-0200-0000D5020000}"/>
    <hyperlink ref="Q730" r:id="rId727" xr:uid="{00000000-0004-0000-0200-0000D6020000}"/>
    <hyperlink ref="Q731" r:id="rId728" xr:uid="{00000000-0004-0000-0200-0000D7020000}"/>
    <hyperlink ref="Q732" r:id="rId729" xr:uid="{00000000-0004-0000-0200-0000D8020000}"/>
    <hyperlink ref="Q733" r:id="rId730" xr:uid="{00000000-0004-0000-0200-0000D9020000}"/>
    <hyperlink ref="Q734" r:id="rId731" xr:uid="{00000000-0004-0000-0200-0000DA020000}"/>
    <hyperlink ref="Q735" r:id="rId732" xr:uid="{00000000-0004-0000-0200-0000DB020000}"/>
    <hyperlink ref="Q736" r:id="rId733" xr:uid="{00000000-0004-0000-0200-0000DC020000}"/>
    <hyperlink ref="Q737" r:id="rId734" xr:uid="{00000000-0004-0000-0200-0000DD020000}"/>
    <hyperlink ref="Q738" r:id="rId735" xr:uid="{00000000-0004-0000-0200-0000DE020000}"/>
    <hyperlink ref="Q739" r:id="rId736" xr:uid="{00000000-0004-0000-0200-0000DF020000}"/>
    <hyperlink ref="Q740" r:id="rId737" xr:uid="{00000000-0004-0000-0200-0000E0020000}"/>
    <hyperlink ref="Q741" r:id="rId738" xr:uid="{00000000-0004-0000-0200-0000E1020000}"/>
    <hyperlink ref="Q742" r:id="rId739" xr:uid="{00000000-0004-0000-0200-0000E2020000}"/>
    <hyperlink ref="Q743" r:id="rId740" xr:uid="{00000000-0004-0000-0200-0000E3020000}"/>
    <hyperlink ref="Q744" r:id="rId741" xr:uid="{00000000-0004-0000-0200-0000E4020000}"/>
    <hyperlink ref="Q745" r:id="rId742" xr:uid="{00000000-0004-0000-0200-0000E5020000}"/>
    <hyperlink ref="Q746" r:id="rId743" xr:uid="{00000000-0004-0000-0200-0000E6020000}"/>
    <hyperlink ref="Q747" r:id="rId744" xr:uid="{00000000-0004-0000-0200-0000E7020000}"/>
    <hyperlink ref="Q748" r:id="rId745" xr:uid="{00000000-0004-0000-0200-0000E8020000}"/>
    <hyperlink ref="Q749" r:id="rId746" xr:uid="{00000000-0004-0000-0200-0000E9020000}"/>
    <hyperlink ref="Q750" r:id="rId747" xr:uid="{00000000-0004-0000-0200-0000EA020000}"/>
    <hyperlink ref="Q751" r:id="rId748" xr:uid="{00000000-0004-0000-0200-0000EB020000}"/>
    <hyperlink ref="Q752" r:id="rId749" xr:uid="{00000000-0004-0000-0200-0000EC020000}"/>
    <hyperlink ref="Q753" r:id="rId750" xr:uid="{00000000-0004-0000-0200-0000ED020000}"/>
    <hyperlink ref="Q754" r:id="rId751" xr:uid="{00000000-0004-0000-0200-0000EE020000}"/>
    <hyperlink ref="Q755" r:id="rId752" xr:uid="{00000000-0004-0000-0200-0000EF020000}"/>
    <hyperlink ref="Q756" r:id="rId753" xr:uid="{00000000-0004-0000-0200-0000F0020000}"/>
    <hyperlink ref="Q757" r:id="rId754" xr:uid="{00000000-0004-0000-0200-0000F1020000}"/>
    <hyperlink ref="Q758" r:id="rId755" xr:uid="{00000000-0004-0000-0200-0000F2020000}"/>
    <hyperlink ref="Q759" r:id="rId756" xr:uid="{00000000-0004-0000-0200-0000F3020000}"/>
    <hyperlink ref="Q760" r:id="rId757" xr:uid="{00000000-0004-0000-0200-0000F4020000}"/>
    <hyperlink ref="Q761" r:id="rId758" xr:uid="{00000000-0004-0000-0200-0000F5020000}"/>
    <hyperlink ref="Q762" r:id="rId759" xr:uid="{00000000-0004-0000-0200-0000F6020000}"/>
    <hyperlink ref="Q763" r:id="rId760" xr:uid="{00000000-0004-0000-0200-0000F7020000}"/>
    <hyperlink ref="Q764" r:id="rId761" xr:uid="{00000000-0004-0000-0200-0000F8020000}"/>
    <hyperlink ref="Q765" r:id="rId762" xr:uid="{00000000-0004-0000-0200-0000F9020000}"/>
    <hyperlink ref="Q766" r:id="rId763" xr:uid="{00000000-0004-0000-0200-0000FA020000}"/>
    <hyperlink ref="Q767" r:id="rId764" xr:uid="{00000000-0004-0000-0200-0000FB020000}"/>
    <hyperlink ref="Q768" r:id="rId765" xr:uid="{00000000-0004-0000-0200-0000FC020000}"/>
    <hyperlink ref="Q769" r:id="rId766" xr:uid="{00000000-0004-0000-0200-0000FD020000}"/>
    <hyperlink ref="Q770" r:id="rId767" xr:uid="{00000000-0004-0000-0200-0000FE020000}"/>
    <hyperlink ref="Q771" r:id="rId768" xr:uid="{00000000-0004-0000-0200-0000FF020000}"/>
    <hyperlink ref="Q772" r:id="rId769" xr:uid="{00000000-0004-0000-0200-000000030000}"/>
    <hyperlink ref="Q773" r:id="rId770" xr:uid="{00000000-0004-0000-0200-000001030000}"/>
    <hyperlink ref="Q774" r:id="rId771" xr:uid="{00000000-0004-0000-0200-000002030000}"/>
    <hyperlink ref="Q775" r:id="rId772" xr:uid="{00000000-0004-0000-0200-000003030000}"/>
    <hyperlink ref="Q776" r:id="rId773" xr:uid="{00000000-0004-0000-0200-000004030000}"/>
    <hyperlink ref="Q777" r:id="rId774" xr:uid="{00000000-0004-0000-0200-000005030000}"/>
    <hyperlink ref="Q778" r:id="rId775" xr:uid="{00000000-0004-0000-0200-000006030000}"/>
    <hyperlink ref="Q779" r:id="rId776" xr:uid="{00000000-0004-0000-0200-000007030000}"/>
    <hyperlink ref="Q780" r:id="rId777" xr:uid="{00000000-0004-0000-0200-000008030000}"/>
    <hyperlink ref="Q781" r:id="rId778" xr:uid="{00000000-0004-0000-0200-000009030000}"/>
    <hyperlink ref="Q782" r:id="rId779" xr:uid="{00000000-0004-0000-0200-00000A030000}"/>
    <hyperlink ref="Q783" r:id="rId780" xr:uid="{00000000-0004-0000-0200-00000B030000}"/>
    <hyperlink ref="Q784" r:id="rId781" xr:uid="{00000000-0004-0000-0200-00000C030000}"/>
    <hyperlink ref="Q785" r:id="rId782" xr:uid="{00000000-0004-0000-0200-00000D030000}"/>
    <hyperlink ref="Q786" r:id="rId783" xr:uid="{00000000-0004-0000-0200-00000E030000}"/>
    <hyperlink ref="Q787" r:id="rId784" xr:uid="{00000000-0004-0000-0200-00000F030000}"/>
    <hyperlink ref="Q788" r:id="rId785" xr:uid="{00000000-0004-0000-0200-000010030000}"/>
    <hyperlink ref="Q789" r:id="rId786" xr:uid="{00000000-0004-0000-0200-000011030000}"/>
    <hyperlink ref="Q790" r:id="rId787" xr:uid="{00000000-0004-0000-0200-000012030000}"/>
    <hyperlink ref="Q791" r:id="rId788" xr:uid="{00000000-0004-0000-0200-000013030000}"/>
    <hyperlink ref="Q792" r:id="rId789" xr:uid="{00000000-0004-0000-0200-000014030000}"/>
    <hyperlink ref="Q793" r:id="rId790" xr:uid="{00000000-0004-0000-0200-000015030000}"/>
    <hyperlink ref="Q794" r:id="rId791" xr:uid="{00000000-0004-0000-0200-000016030000}"/>
    <hyperlink ref="Q795" r:id="rId792" xr:uid="{00000000-0004-0000-0200-000017030000}"/>
    <hyperlink ref="Q796" r:id="rId793" xr:uid="{00000000-0004-0000-0200-000018030000}"/>
    <hyperlink ref="Q797" r:id="rId794" xr:uid="{00000000-0004-0000-0200-000019030000}"/>
    <hyperlink ref="Q798" r:id="rId795" xr:uid="{00000000-0004-0000-0200-00001A030000}"/>
    <hyperlink ref="Q799" r:id="rId796" xr:uid="{00000000-0004-0000-0200-00001B030000}"/>
    <hyperlink ref="Q800" r:id="rId797" xr:uid="{00000000-0004-0000-0200-00001C030000}"/>
    <hyperlink ref="Q801" r:id="rId798" xr:uid="{00000000-0004-0000-0200-00001D030000}"/>
    <hyperlink ref="Q802" r:id="rId799" xr:uid="{00000000-0004-0000-0200-00001E030000}"/>
    <hyperlink ref="Q803" r:id="rId800" xr:uid="{00000000-0004-0000-0200-00001F030000}"/>
    <hyperlink ref="Q804" r:id="rId801" xr:uid="{00000000-0004-0000-0200-000020030000}"/>
    <hyperlink ref="Q805" r:id="rId802" xr:uid="{00000000-0004-0000-0200-000021030000}"/>
    <hyperlink ref="Q806" r:id="rId803" xr:uid="{00000000-0004-0000-0200-000022030000}"/>
    <hyperlink ref="Q807" r:id="rId804" xr:uid="{00000000-0004-0000-0200-000023030000}"/>
    <hyperlink ref="Q808" r:id="rId805" xr:uid="{00000000-0004-0000-0200-000024030000}"/>
    <hyperlink ref="Q809" r:id="rId806" xr:uid="{00000000-0004-0000-0200-000025030000}"/>
    <hyperlink ref="Q810" r:id="rId807" xr:uid="{00000000-0004-0000-0200-000026030000}"/>
    <hyperlink ref="Q811" r:id="rId808" xr:uid="{00000000-0004-0000-0200-000027030000}"/>
    <hyperlink ref="Q812" r:id="rId809" xr:uid="{00000000-0004-0000-0200-000028030000}"/>
    <hyperlink ref="Q813" r:id="rId810" xr:uid="{00000000-0004-0000-0200-000029030000}"/>
    <hyperlink ref="Q814" r:id="rId811" xr:uid="{00000000-0004-0000-0200-00002A030000}"/>
    <hyperlink ref="Q815" r:id="rId812" xr:uid="{00000000-0004-0000-0200-00002B030000}"/>
    <hyperlink ref="Q816" r:id="rId813" xr:uid="{00000000-0004-0000-0200-00002C030000}"/>
    <hyperlink ref="Q817" r:id="rId814" xr:uid="{00000000-0004-0000-0200-00002D030000}"/>
    <hyperlink ref="Q818" r:id="rId815" xr:uid="{00000000-0004-0000-0200-00002E030000}"/>
    <hyperlink ref="Q819" r:id="rId816" xr:uid="{00000000-0004-0000-0200-00002F030000}"/>
    <hyperlink ref="Q820" r:id="rId817" xr:uid="{00000000-0004-0000-0200-000030030000}"/>
    <hyperlink ref="Q821" r:id="rId818" xr:uid="{00000000-0004-0000-0200-000031030000}"/>
    <hyperlink ref="Q822" r:id="rId819" xr:uid="{00000000-0004-0000-0200-000032030000}"/>
    <hyperlink ref="Q823" r:id="rId820" xr:uid="{00000000-0004-0000-0200-000033030000}"/>
    <hyperlink ref="Q824" r:id="rId821" xr:uid="{00000000-0004-0000-0200-000034030000}"/>
    <hyperlink ref="Q825" r:id="rId822" xr:uid="{00000000-0004-0000-0200-000035030000}"/>
    <hyperlink ref="Q826" r:id="rId823" xr:uid="{00000000-0004-0000-0200-000036030000}"/>
    <hyperlink ref="Q827" r:id="rId824" xr:uid="{00000000-0004-0000-0200-000037030000}"/>
    <hyperlink ref="Q828" r:id="rId825" xr:uid="{00000000-0004-0000-0200-000038030000}"/>
    <hyperlink ref="Q829" r:id="rId826" xr:uid="{00000000-0004-0000-0200-000039030000}"/>
    <hyperlink ref="Q830" r:id="rId827" xr:uid="{00000000-0004-0000-0200-00003A030000}"/>
    <hyperlink ref="Q831" r:id="rId828" xr:uid="{00000000-0004-0000-0200-00003B030000}"/>
    <hyperlink ref="Q832" r:id="rId829" xr:uid="{00000000-0004-0000-0200-00003C030000}"/>
    <hyperlink ref="Q833" r:id="rId830" xr:uid="{00000000-0004-0000-0200-00003D030000}"/>
    <hyperlink ref="Q834" r:id="rId831" xr:uid="{00000000-0004-0000-0200-00003E030000}"/>
    <hyperlink ref="Q835" r:id="rId832" xr:uid="{00000000-0004-0000-0200-00003F030000}"/>
    <hyperlink ref="Q836" r:id="rId833" xr:uid="{00000000-0004-0000-0200-000040030000}"/>
    <hyperlink ref="Q837" r:id="rId834" xr:uid="{00000000-0004-0000-0200-000041030000}"/>
    <hyperlink ref="Q838" r:id="rId835" xr:uid="{00000000-0004-0000-0200-000042030000}"/>
    <hyperlink ref="Q839" r:id="rId836" xr:uid="{00000000-0004-0000-0200-000043030000}"/>
    <hyperlink ref="Q840" r:id="rId837" xr:uid="{00000000-0004-0000-0200-000044030000}"/>
    <hyperlink ref="Q841" r:id="rId838" xr:uid="{00000000-0004-0000-0200-000045030000}"/>
    <hyperlink ref="Q842" r:id="rId839" xr:uid="{00000000-0004-0000-0200-000046030000}"/>
    <hyperlink ref="Q843" r:id="rId840" xr:uid="{00000000-0004-0000-0200-000047030000}"/>
    <hyperlink ref="Q844" r:id="rId841" xr:uid="{00000000-0004-0000-0200-000048030000}"/>
    <hyperlink ref="Q845" r:id="rId842" xr:uid="{00000000-0004-0000-0200-000049030000}"/>
    <hyperlink ref="Q846" r:id="rId843" xr:uid="{00000000-0004-0000-0200-00004A030000}"/>
    <hyperlink ref="Q847" r:id="rId844" xr:uid="{00000000-0004-0000-0200-00004B030000}"/>
    <hyperlink ref="Q848" r:id="rId845" xr:uid="{00000000-0004-0000-0200-00004C030000}"/>
    <hyperlink ref="Q849" r:id="rId846" xr:uid="{00000000-0004-0000-0200-00004D030000}"/>
    <hyperlink ref="Q850" r:id="rId847" xr:uid="{00000000-0004-0000-0200-00004E030000}"/>
    <hyperlink ref="Q851" r:id="rId848" xr:uid="{00000000-0004-0000-0200-00004F030000}"/>
    <hyperlink ref="Q852" r:id="rId849" xr:uid="{00000000-0004-0000-0200-000050030000}"/>
    <hyperlink ref="Q853" r:id="rId850" xr:uid="{00000000-0004-0000-0200-000051030000}"/>
    <hyperlink ref="Q854" r:id="rId851" xr:uid="{00000000-0004-0000-0200-000052030000}"/>
    <hyperlink ref="Q855" r:id="rId852" xr:uid="{00000000-0004-0000-0200-000053030000}"/>
    <hyperlink ref="Q856" r:id="rId853" xr:uid="{00000000-0004-0000-0200-000054030000}"/>
    <hyperlink ref="Q857" r:id="rId854" xr:uid="{00000000-0004-0000-0200-000055030000}"/>
    <hyperlink ref="Q858" r:id="rId855" xr:uid="{00000000-0004-0000-0200-000056030000}"/>
    <hyperlink ref="Q859" r:id="rId856" xr:uid="{00000000-0004-0000-0200-000057030000}"/>
    <hyperlink ref="Q860" r:id="rId857" xr:uid="{00000000-0004-0000-0200-000058030000}"/>
    <hyperlink ref="Q861" r:id="rId858" xr:uid="{00000000-0004-0000-0200-000059030000}"/>
    <hyperlink ref="Q862" r:id="rId859" xr:uid="{00000000-0004-0000-0200-00005A030000}"/>
    <hyperlink ref="Q863" r:id="rId860" xr:uid="{00000000-0004-0000-0200-00005B030000}"/>
    <hyperlink ref="Q864" r:id="rId861" xr:uid="{00000000-0004-0000-0200-00005C030000}"/>
    <hyperlink ref="Q865" r:id="rId862" xr:uid="{00000000-0004-0000-0200-00005D030000}"/>
    <hyperlink ref="Q866" r:id="rId863" xr:uid="{00000000-0004-0000-0200-00005E030000}"/>
    <hyperlink ref="Q867" r:id="rId864" xr:uid="{00000000-0004-0000-0200-00005F030000}"/>
    <hyperlink ref="Q868" r:id="rId865" xr:uid="{00000000-0004-0000-0200-000060030000}"/>
    <hyperlink ref="Q869" r:id="rId866" xr:uid="{00000000-0004-0000-0200-000061030000}"/>
    <hyperlink ref="Q870" r:id="rId867" xr:uid="{00000000-0004-0000-0200-000062030000}"/>
    <hyperlink ref="Q871" r:id="rId868" xr:uid="{00000000-0004-0000-0200-000063030000}"/>
    <hyperlink ref="Q872" r:id="rId869" xr:uid="{00000000-0004-0000-0200-000064030000}"/>
    <hyperlink ref="Q873" r:id="rId870" xr:uid="{00000000-0004-0000-0200-000065030000}"/>
    <hyperlink ref="Q874" r:id="rId871" xr:uid="{00000000-0004-0000-0200-000066030000}"/>
    <hyperlink ref="Q875" r:id="rId872" xr:uid="{00000000-0004-0000-0200-000067030000}"/>
    <hyperlink ref="Q876" r:id="rId873" xr:uid="{00000000-0004-0000-0200-000068030000}"/>
    <hyperlink ref="Q877" r:id="rId874" xr:uid="{00000000-0004-0000-0200-000069030000}"/>
    <hyperlink ref="Q878" r:id="rId875" xr:uid="{00000000-0004-0000-0200-00006A030000}"/>
    <hyperlink ref="Q879" r:id="rId876" xr:uid="{00000000-0004-0000-0200-00006B030000}"/>
    <hyperlink ref="Q880" r:id="rId877" xr:uid="{00000000-0004-0000-0200-00006C030000}"/>
    <hyperlink ref="Q881" r:id="rId878" xr:uid="{00000000-0004-0000-0200-00006D030000}"/>
    <hyperlink ref="Q882" r:id="rId879" xr:uid="{00000000-0004-0000-0200-00006E030000}"/>
    <hyperlink ref="Q883" r:id="rId880" xr:uid="{00000000-0004-0000-0200-00006F03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showGridLines="0" workbookViewId="0">
      <pane ySplit="2" topLeftCell="A3" activePane="bottomLeft" state="frozen"/>
      <selection pane="bottomLeft" sqref="A1:H1"/>
    </sheetView>
  </sheetViews>
  <sheetFormatPr baseColWidth="10" defaultColWidth="8.83203125" defaultRowHeight="15" x14ac:dyDescent="0.2"/>
  <cols>
    <col min="1" max="1" width="26" style="52" customWidth="1"/>
    <col min="2" max="3" width="12" customWidth="1"/>
    <col min="4" max="4" width="14" customWidth="1"/>
    <col min="5" max="6" width="13" customWidth="1"/>
    <col min="7" max="7" width="16" customWidth="1"/>
    <col min="8" max="8" width="4" customWidth="1"/>
  </cols>
  <sheetData>
    <row r="1" spans="1:8" ht="30" customHeight="1" x14ac:dyDescent="0.2">
      <c r="A1" s="303" t="s">
        <v>3569</v>
      </c>
      <c r="B1" s="292"/>
      <c r="C1" s="292"/>
      <c r="D1" s="292"/>
      <c r="E1" s="292"/>
      <c r="F1" s="292"/>
      <c r="G1" s="292"/>
      <c r="H1" s="292"/>
    </row>
    <row r="2" spans="1:8" ht="26" customHeight="1" x14ac:dyDescent="0.2">
      <c r="A2" s="305" t="s">
        <v>3570</v>
      </c>
      <c r="B2" s="292"/>
      <c r="C2" s="292"/>
      <c r="D2" s="292"/>
      <c r="E2" s="292"/>
      <c r="F2" s="292"/>
      <c r="G2" s="292"/>
      <c r="H2" s="292"/>
    </row>
    <row r="4" spans="1:8" ht="16" x14ac:dyDescent="0.2">
      <c r="A4" s="304" t="s">
        <v>3571</v>
      </c>
      <c r="B4" s="292"/>
      <c r="C4" s="292"/>
      <c r="D4" s="292"/>
      <c r="E4" s="292"/>
      <c r="F4" s="292"/>
      <c r="G4" s="292"/>
      <c r="H4" s="292"/>
    </row>
    <row r="5" spans="1:8" x14ac:dyDescent="0.2">
      <c r="A5" s="234" t="s">
        <v>3572</v>
      </c>
      <c r="B5" s="163" t="s">
        <v>3573</v>
      </c>
      <c r="C5" s="163" t="s">
        <v>3574</v>
      </c>
      <c r="D5" s="163" t="s">
        <v>3575</v>
      </c>
      <c r="E5" s="163" t="s">
        <v>3576</v>
      </c>
      <c r="F5" s="163" t="s">
        <v>3577</v>
      </c>
    </row>
    <row r="6" spans="1:8" x14ac:dyDescent="0.2">
      <c r="A6" s="165">
        <f>COUNT('📊 Problem Tracker'!$B$4:$B$1200)</f>
        <v>880</v>
      </c>
      <c r="B6" s="165">
        <f>COUNTIF('📊 Problem Tracker'!$F$4:$F$1200,"✅ Solved")</f>
        <v>0</v>
      </c>
      <c r="C6" s="165">
        <f>COUNTIF('📊 Problem Tracker'!$F$4:$F$1200,"🚧 In Progress")</f>
        <v>0</v>
      </c>
      <c r="D6" s="165">
        <f>COUNTIF('📊 Problem Tracker'!$F$4:$F$1200,"🔁 Retry")</f>
        <v>0</v>
      </c>
      <c r="E6" s="165">
        <f>A6-B6</f>
        <v>880</v>
      </c>
      <c r="F6" s="166">
        <f>IFERROR(B6/A6,0)</f>
        <v>0</v>
      </c>
    </row>
    <row r="8" spans="1:8" ht="16" x14ac:dyDescent="0.2">
      <c r="A8" s="304" t="s">
        <v>3578</v>
      </c>
      <c r="B8" s="292"/>
      <c r="C8" s="292"/>
      <c r="D8" s="292"/>
      <c r="E8" s="292"/>
      <c r="F8" s="292"/>
      <c r="G8" s="292"/>
      <c r="H8" s="292"/>
    </row>
    <row r="9" spans="1:8" x14ac:dyDescent="0.2">
      <c r="A9" s="234" t="s">
        <v>5</v>
      </c>
      <c r="B9" s="163" t="s">
        <v>3579</v>
      </c>
      <c r="C9" s="163" t="s">
        <v>3573</v>
      </c>
      <c r="D9" s="163" t="s">
        <v>3577</v>
      </c>
      <c r="E9" s="163" t="s">
        <v>3580</v>
      </c>
    </row>
    <row r="10" spans="1:8" x14ac:dyDescent="0.2">
      <c r="A10" s="167" t="s">
        <v>20</v>
      </c>
      <c r="B10" s="168">
        <f>COUNTIF('📊 Problem Tracker'!$E$4:$E$1200,"Easy")</f>
        <v>233</v>
      </c>
      <c r="C10" s="168">
        <f>COUNTIFS('📊 Problem Tracker'!$E$4:$E$1200,"Easy",'📊 Problem Tracker'!$F$4:$F$1200,"✅ Solved")</f>
        <v>0</v>
      </c>
      <c r="D10" s="169">
        <f>IFERROR(C10/B10,0)</f>
        <v>0</v>
      </c>
      <c r="E10" s="170" t="str">
        <f>REPT("█",ROUND(D10*10,0))&amp;REPT("░",10-ROUND(D10*10,0))</f>
        <v>░░░░░░░░░░</v>
      </c>
    </row>
    <row r="11" spans="1:8" x14ac:dyDescent="0.2">
      <c r="A11" s="167" t="s">
        <v>28</v>
      </c>
      <c r="B11" s="168">
        <f>COUNTIF('📊 Problem Tracker'!$E$4:$E$1200,"Medium")</f>
        <v>503</v>
      </c>
      <c r="C11" s="168">
        <f>COUNTIFS('📊 Problem Tracker'!$E$4:$E$1200,"Medium",'📊 Problem Tracker'!$F$4:$F$1200,"✅ Solved")</f>
        <v>0</v>
      </c>
      <c r="D11" s="169">
        <f>IFERROR(C11/B11,0)</f>
        <v>0</v>
      </c>
      <c r="E11" s="170" t="str">
        <f>REPT("█",ROUND(D11*10,0))&amp;REPT("░",10-ROUND(D11*10,0))</f>
        <v>░░░░░░░░░░</v>
      </c>
    </row>
    <row r="12" spans="1:8" x14ac:dyDescent="0.2">
      <c r="A12" s="167" t="s">
        <v>42</v>
      </c>
      <c r="B12" s="168">
        <f>COUNTIF('📊 Problem Tracker'!$E$4:$E$1200,"Hard")</f>
        <v>144</v>
      </c>
      <c r="C12" s="168">
        <f>COUNTIFS('📊 Problem Tracker'!$E$4:$E$1200,"Hard",'📊 Problem Tracker'!$F$4:$F$1200,"✅ Solved")</f>
        <v>0</v>
      </c>
      <c r="D12" s="169">
        <f>IFERROR(C12/B12,0)</f>
        <v>0</v>
      </c>
      <c r="E12" s="170" t="str">
        <f>REPT("█",ROUND(D12*10,0))&amp;REPT("░",10-ROUND(D12*10,0))</f>
        <v>░░░░░░░░░░</v>
      </c>
    </row>
    <row r="13" spans="1:8" ht="16" x14ac:dyDescent="0.2">
      <c r="A13" s="304" t="s">
        <v>3581</v>
      </c>
      <c r="B13" s="292"/>
      <c r="C13" s="292"/>
      <c r="D13" s="292"/>
      <c r="E13" s="292"/>
      <c r="F13" s="292"/>
      <c r="G13" s="292"/>
      <c r="H13" s="292"/>
    </row>
    <row r="14" spans="1:8" x14ac:dyDescent="0.2">
      <c r="A14" s="234" t="s">
        <v>3582</v>
      </c>
      <c r="B14" s="163" t="s">
        <v>3579</v>
      </c>
      <c r="C14" s="163" t="s">
        <v>3573</v>
      </c>
      <c r="D14" s="163" t="s">
        <v>3575</v>
      </c>
      <c r="E14" s="163" t="s">
        <v>3576</v>
      </c>
      <c r="F14" s="163" t="s">
        <v>3577</v>
      </c>
      <c r="G14" s="163" t="s">
        <v>3580</v>
      </c>
    </row>
    <row r="15" spans="1:8" x14ac:dyDescent="0.2">
      <c r="A15" s="167" t="s">
        <v>3583</v>
      </c>
      <c r="B15" s="164">
        <f>COUNTIF('📊 Problem Tracker'!$L$4:$L$1200,"*Blind75*")</f>
        <v>75</v>
      </c>
      <c r="C15" s="168">
        <f>COUNTIFS('📊 Problem Tracker'!$L$4:$L$1200,"*Blind75*",'📊 Problem Tracker'!$F$4:$F$1200,"✅ Solved")</f>
        <v>0</v>
      </c>
      <c r="D15" s="168">
        <f>COUNTIFS('📊 Problem Tracker'!$L$4:$L$1200,"*Blind75*",'📊 Problem Tracker'!$F$4:$F$1200,"🔁 Retry")</f>
        <v>0</v>
      </c>
      <c r="E15" s="168">
        <f t="shared" ref="E15:E24" si="0">B15-C15</f>
        <v>75</v>
      </c>
      <c r="F15" s="168">
        <f t="shared" ref="F15:F24" si="1">IFERROR(C15/B15,0)</f>
        <v>0</v>
      </c>
      <c r="G15" s="171" t="str">
        <f t="shared" ref="G15:G24" si="2">REPT("█",ROUND(F15*10,0))&amp;REPT("░",10-ROUND(F15*10,0))</f>
        <v>░░░░░░░░░░</v>
      </c>
    </row>
    <row r="16" spans="1:8" x14ac:dyDescent="0.2">
      <c r="A16" s="167" t="s">
        <v>3584</v>
      </c>
      <c r="B16" s="164">
        <f>COUNTIF('📊 Problem Tracker'!$L$4:$L$1200,"*Grind75*")</f>
        <v>75</v>
      </c>
      <c r="C16" s="168">
        <f>COUNTIFS('📊 Problem Tracker'!$L$4:$L$1200,"*Grind75*",'📊 Problem Tracker'!$F$4:$F$1200,"✅ Solved")</f>
        <v>0</v>
      </c>
      <c r="D16" s="168">
        <f>COUNTIFS('📊 Problem Tracker'!$L$4:$L$1200,"*Grind75*",'📊 Problem Tracker'!$F$4:$F$1200,"🔁 Retry")</f>
        <v>0</v>
      </c>
      <c r="E16" s="168">
        <f t="shared" si="0"/>
        <v>75</v>
      </c>
      <c r="F16" s="168">
        <f t="shared" si="1"/>
        <v>0</v>
      </c>
      <c r="G16" s="171" t="str">
        <f t="shared" si="2"/>
        <v>░░░░░░░░░░</v>
      </c>
    </row>
    <row r="17" spans="1:8" x14ac:dyDescent="0.2">
      <c r="A17" s="167" t="s">
        <v>3585</v>
      </c>
      <c r="B17" s="164">
        <f>COUNTIF('📊 Problem Tracker'!$L$4:$L$1200,"*Grind169*")</f>
        <v>169</v>
      </c>
      <c r="C17" s="168">
        <f>COUNTIFS('📊 Problem Tracker'!$L$4:$L$1200,"*Grind169*",'📊 Problem Tracker'!$F$4:$F$1200,"✅ Solved")</f>
        <v>0</v>
      </c>
      <c r="D17" s="168">
        <f>COUNTIFS('📊 Problem Tracker'!$L$4:$L$1200,"*Grind169*",'📊 Problem Tracker'!$F$4:$F$1200,"🔁 Retry")</f>
        <v>0</v>
      </c>
      <c r="E17" s="168">
        <f t="shared" si="0"/>
        <v>169</v>
      </c>
      <c r="F17" s="168">
        <f t="shared" si="1"/>
        <v>0</v>
      </c>
      <c r="G17" s="171" t="str">
        <f t="shared" si="2"/>
        <v>░░░░░░░░░░</v>
      </c>
    </row>
    <row r="18" spans="1:8" x14ac:dyDescent="0.2">
      <c r="A18" s="167" t="s">
        <v>3586</v>
      </c>
      <c r="B18" s="164">
        <f>COUNTIF('📊 Problem Tracker'!$L$4:$L$1200,"*NeetCode150*")</f>
        <v>141</v>
      </c>
      <c r="C18" s="168">
        <f>COUNTIFS('📊 Problem Tracker'!$L$4:$L$1200,"*NeetCode150*",'📊 Problem Tracker'!$F$4:$F$1200,"✅ Solved")</f>
        <v>0</v>
      </c>
      <c r="D18" s="168">
        <f>COUNTIFS('📊 Problem Tracker'!$L$4:$L$1200,"*NeetCode150*",'📊 Problem Tracker'!$F$4:$F$1200,"🔁 Retry")</f>
        <v>0</v>
      </c>
      <c r="E18" s="168">
        <f t="shared" si="0"/>
        <v>141</v>
      </c>
      <c r="F18" s="168">
        <f t="shared" si="1"/>
        <v>0</v>
      </c>
      <c r="G18" s="171" t="str">
        <f t="shared" si="2"/>
        <v>░░░░░░░░░░</v>
      </c>
    </row>
    <row r="19" spans="1:8" x14ac:dyDescent="0.2">
      <c r="A19" s="167" t="s">
        <v>3587</v>
      </c>
      <c r="B19" s="164">
        <f>COUNTIF('📊 Problem Tracker'!$L$4:$L$1200,"*Google*")</f>
        <v>310</v>
      </c>
      <c r="C19" s="168">
        <f>COUNTIFS('📊 Problem Tracker'!$L$4:$L$1200,"*Google*",'📊 Problem Tracker'!$F$4:$F$1200,"✅ Solved")</f>
        <v>0</v>
      </c>
      <c r="D19" s="168">
        <f>COUNTIFS('📊 Problem Tracker'!$L$4:$L$1200,"*Google*",'📊 Problem Tracker'!$F$4:$F$1200,"🔁 Retry")</f>
        <v>0</v>
      </c>
      <c r="E19" s="168">
        <f t="shared" si="0"/>
        <v>310</v>
      </c>
      <c r="F19" s="168">
        <f t="shared" si="1"/>
        <v>0</v>
      </c>
      <c r="G19" s="171" t="str">
        <f t="shared" si="2"/>
        <v>░░░░░░░░░░</v>
      </c>
    </row>
    <row r="20" spans="1:8" x14ac:dyDescent="0.2">
      <c r="A20" s="167" t="s">
        <v>3588</v>
      </c>
      <c r="B20" s="164">
        <f>COUNTIF('📊 Problem Tracker'!$L$4:$L$1200,"*Apple*")</f>
        <v>298</v>
      </c>
      <c r="C20" s="168">
        <f>COUNTIFS('📊 Problem Tracker'!$L$4:$L$1200,"*Apple*",'📊 Problem Tracker'!$F$4:$F$1200,"✅ Solved")</f>
        <v>0</v>
      </c>
      <c r="D20" s="168">
        <f>COUNTIFS('📊 Problem Tracker'!$L$4:$L$1200,"*Apple*",'📊 Problem Tracker'!$F$4:$F$1200,"🔁 Retry")</f>
        <v>0</v>
      </c>
      <c r="E20" s="168">
        <f t="shared" si="0"/>
        <v>298</v>
      </c>
      <c r="F20" s="168">
        <f t="shared" si="1"/>
        <v>0</v>
      </c>
      <c r="G20" s="171" t="str">
        <f t="shared" si="2"/>
        <v>░░░░░░░░░░</v>
      </c>
    </row>
    <row r="21" spans="1:8" x14ac:dyDescent="0.2">
      <c r="A21" s="167" t="s">
        <v>3589</v>
      </c>
      <c r="B21" s="164">
        <f>COUNTIF('📊 Problem Tracker'!$L$4:$L$1200,"*Meta*")</f>
        <v>225</v>
      </c>
      <c r="C21" s="168">
        <f>COUNTIFS('📊 Problem Tracker'!$L$4:$L$1200,"*Meta*",'📊 Problem Tracker'!$F$4:$F$1200,"✅ Solved")</f>
        <v>0</v>
      </c>
      <c r="D21" s="168">
        <f>COUNTIFS('📊 Problem Tracker'!$L$4:$L$1200,"*Meta*",'📊 Problem Tracker'!$F$4:$F$1200,"🔁 Retry")</f>
        <v>0</v>
      </c>
      <c r="E21" s="168">
        <f t="shared" si="0"/>
        <v>225</v>
      </c>
      <c r="F21" s="168">
        <f t="shared" si="1"/>
        <v>0</v>
      </c>
      <c r="G21" s="171" t="str">
        <f t="shared" si="2"/>
        <v>░░░░░░░░░░</v>
      </c>
    </row>
    <row r="22" spans="1:8" x14ac:dyDescent="0.2">
      <c r="A22" s="167" t="s">
        <v>3590</v>
      </c>
      <c r="B22" s="164">
        <f>COUNTIF('📊 Problem Tracker'!$L$4:$L$1200,"*Microsoft*")</f>
        <v>218</v>
      </c>
      <c r="C22" s="168">
        <f>COUNTIFS('📊 Problem Tracker'!$L$4:$L$1200,"*Microsoft*",'📊 Problem Tracker'!$F$4:$F$1200,"✅ Solved")</f>
        <v>0</v>
      </c>
      <c r="D22" s="168">
        <f>COUNTIFS('📊 Problem Tracker'!$L$4:$L$1200,"*Microsoft*",'📊 Problem Tracker'!$F$4:$F$1200,"🔁 Retry")</f>
        <v>0</v>
      </c>
      <c r="E22" s="168">
        <f t="shared" si="0"/>
        <v>218</v>
      </c>
      <c r="F22" s="168">
        <f t="shared" si="1"/>
        <v>0</v>
      </c>
      <c r="G22" s="171" t="str">
        <f t="shared" si="2"/>
        <v>░░░░░░░░░░</v>
      </c>
    </row>
    <row r="23" spans="1:8" x14ac:dyDescent="0.2">
      <c r="A23" s="167" t="s">
        <v>3591</v>
      </c>
      <c r="B23" s="164">
        <f>COUNTIF('📊 Problem Tracker'!$L$4:$L$1200,"*Uber*")</f>
        <v>183</v>
      </c>
      <c r="C23" s="168">
        <f>COUNTIFS('📊 Problem Tracker'!$L$4:$L$1200,"*Uber*",'📊 Problem Tracker'!$F$4:$F$1200,"✅ Solved")</f>
        <v>0</v>
      </c>
      <c r="D23" s="168">
        <f>COUNTIFS('📊 Problem Tracker'!$L$4:$L$1200,"*Uber*",'📊 Problem Tracker'!$F$4:$F$1200,"🔁 Retry")</f>
        <v>0</v>
      </c>
      <c r="E23" s="168">
        <f t="shared" si="0"/>
        <v>183</v>
      </c>
      <c r="F23" s="168">
        <f t="shared" si="1"/>
        <v>0</v>
      </c>
      <c r="G23" s="171" t="str">
        <f t="shared" si="2"/>
        <v>░░░░░░░░░░</v>
      </c>
    </row>
    <row r="24" spans="1:8" x14ac:dyDescent="0.2">
      <c r="A24" s="167" t="s">
        <v>3592</v>
      </c>
      <c r="B24" s="164">
        <f>COUNTIF('📊 Problem Tracker'!$L$4:$L$1200,"*Amazon*")</f>
        <v>659</v>
      </c>
      <c r="C24" s="168">
        <f>COUNTIFS('📊 Problem Tracker'!$L$4:$L$1200,"*Amazon*",'📊 Problem Tracker'!$F$4:$F$1200,"✅ Solved")</f>
        <v>0</v>
      </c>
      <c r="D24" s="168">
        <f>COUNTIFS('📊 Problem Tracker'!$L$4:$L$1200,"*Amazon*",'📊 Problem Tracker'!$F$4:$F$1200,"🔁 Retry")</f>
        <v>0</v>
      </c>
      <c r="E24" s="168">
        <f t="shared" si="0"/>
        <v>659</v>
      </c>
      <c r="F24" s="168">
        <f t="shared" si="1"/>
        <v>0</v>
      </c>
      <c r="G24" s="171" t="str">
        <f t="shared" si="2"/>
        <v>░░░░░░░░░░</v>
      </c>
    </row>
    <row r="26" spans="1:8" ht="16" x14ac:dyDescent="0.2">
      <c r="A26" s="304" t="s">
        <v>3593</v>
      </c>
      <c r="B26" s="292"/>
      <c r="C26" s="292"/>
      <c r="D26" s="292"/>
      <c r="E26" s="292"/>
      <c r="F26" s="292"/>
      <c r="G26" s="292"/>
      <c r="H26" s="292"/>
    </row>
    <row r="27" spans="1:8" x14ac:dyDescent="0.2">
      <c r="A27" s="234" t="s">
        <v>3454</v>
      </c>
      <c r="B27" s="163" t="s">
        <v>3594</v>
      </c>
    </row>
    <row r="28" spans="1:8" x14ac:dyDescent="0.2">
      <c r="A28" s="167" t="s">
        <v>3462</v>
      </c>
      <c r="B28" s="168">
        <f>COUNTIF('🧠 DSA Topics &amp; Problems'!$K$4:$K$23,"⬜ Not Started")</f>
        <v>20</v>
      </c>
    </row>
    <row r="29" spans="1:8" x14ac:dyDescent="0.2">
      <c r="A29" s="167" t="s">
        <v>3595</v>
      </c>
      <c r="B29" s="168">
        <f>COUNTIF('🧠 DSA Topics &amp; Problems'!$K$4:$K$23,"📖 Learning")</f>
        <v>0</v>
      </c>
    </row>
    <row r="30" spans="1:8" x14ac:dyDescent="0.2">
      <c r="A30" s="167" t="s">
        <v>3596</v>
      </c>
      <c r="B30" s="168">
        <f>COUNTIF('🧠 DSA Topics &amp; Problems'!$K$4:$K$23,"🛠️ Practiced")</f>
        <v>0</v>
      </c>
    </row>
    <row r="31" spans="1:8" x14ac:dyDescent="0.2">
      <c r="A31" s="167" t="s">
        <v>3597</v>
      </c>
      <c r="B31" s="168">
        <f>COUNTIF('🧠 DSA Topics &amp; Problems'!$K$4:$K$23,"💪 Confident")</f>
        <v>0</v>
      </c>
    </row>
    <row r="32" spans="1:8" x14ac:dyDescent="0.2">
      <c r="A32" s="167" t="s">
        <v>3598</v>
      </c>
      <c r="B32" s="168">
        <f>COUNTIF('🧠 DSA Topics &amp; Problems'!$K$4:$K$23,"🏆 Mastered")</f>
        <v>0</v>
      </c>
    </row>
    <row r="34" spans="1:8" ht="16" x14ac:dyDescent="0.2">
      <c r="A34" s="304" t="s">
        <v>3599</v>
      </c>
      <c r="B34" s="292"/>
      <c r="C34" s="292"/>
      <c r="D34" s="292"/>
      <c r="E34" s="292"/>
      <c r="F34" s="292"/>
      <c r="G34" s="292"/>
      <c r="H34" s="292"/>
    </row>
    <row r="35" spans="1:8" x14ac:dyDescent="0.2">
      <c r="A35" s="234" t="s">
        <v>3600</v>
      </c>
      <c r="B35" s="163" t="s">
        <v>3579</v>
      </c>
      <c r="C35" s="163" t="s">
        <v>3601</v>
      </c>
      <c r="D35" s="163" t="s">
        <v>3577</v>
      </c>
      <c r="E35" s="163" t="s">
        <v>3580</v>
      </c>
    </row>
    <row r="36" spans="1:8" x14ac:dyDescent="0.2">
      <c r="A36" s="167" t="s">
        <v>3602</v>
      </c>
      <c r="B36" s="168">
        <f>COUNTA('🏗️ System Design'!B29:B44)</f>
        <v>16</v>
      </c>
      <c r="C36" s="168">
        <f>COUNTIF('🏗️ System Design'!J29:J44,"✅ Done")</f>
        <v>0</v>
      </c>
      <c r="D36" s="169">
        <f>IFERROR(C36/B36,0)</f>
        <v>0</v>
      </c>
      <c r="E36" s="170" t="str">
        <f>REPT("█",ROUND(D36*10,0))&amp;REPT("░",10-ROUND(D36*10,0))</f>
        <v>░░░░░░░░░░</v>
      </c>
    </row>
    <row r="37" spans="1:8" x14ac:dyDescent="0.2">
      <c r="A37" s="167" t="s">
        <v>3603</v>
      </c>
      <c r="B37" s="168">
        <f>COUNTA('🏗️ System Design'!B7:B24)</f>
        <v>18</v>
      </c>
      <c r="C37" s="168">
        <f>COUNTIF('🏗️ System Design'!J7:J24,"✅ Covered")</f>
        <v>0</v>
      </c>
      <c r="D37" s="169">
        <f>IFERROR(C37/B37,0)</f>
        <v>0</v>
      </c>
      <c r="E37" s="170" t="str">
        <f>REPT("█",ROUND(D37*10,0))&amp;REPT("░",10-ROUND(D37*10,0))</f>
        <v>░░░░░░░░░░</v>
      </c>
    </row>
  </sheetData>
  <mergeCells count="7">
    <mergeCell ref="A1:H1"/>
    <mergeCell ref="A8:H8"/>
    <mergeCell ref="A34:H34"/>
    <mergeCell ref="A4:H4"/>
    <mergeCell ref="A26:H26"/>
    <mergeCell ref="A2:H2"/>
    <mergeCell ref="A13:H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4"/>
  <sheetViews>
    <sheetView showGridLines="0" zoomScaleNormal="100" workbookViewId="0">
      <pane ySplit="6" topLeftCell="A7" activePane="bottomLeft" state="frozen"/>
      <selection pane="bottomLeft" activeCell="A7" sqref="A7"/>
    </sheetView>
  </sheetViews>
  <sheetFormatPr baseColWidth="10" defaultColWidth="8.6640625" defaultRowHeight="15" x14ac:dyDescent="0.2"/>
  <cols>
    <col min="1" max="1" width="4" customWidth="1"/>
    <col min="2" max="2" width="24" customWidth="1"/>
    <col min="3" max="3" width="36" customWidth="1"/>
    <col min="4" max="4" width="40" customWidth="1"/>
    <col min="5" max="5" width="43.33203125" customWidth="1"/>
    <col min="6" max="7" width="36" customWidth="1"/>
    <col min="8" max="8" width="28" customWidth="1"/>
    <col min="9" max="9" width="12" customWidth="1"/>
    <col min="10" max="10" width="16.6640625" customWidth="1"/>
  </cols>
  <sheetData>
    <row r="1" spans="1:10" ht="27.75" customHeight="1" x14ac:dyDescent="0.2">
      <c r="A1" s="300" t="s">
        <v>3604</v>
      </c>
      <c r="B1" s="292"/>
      <c r="C1" s="292"/>
      <c r="D1" s="292"/>
      <c r="E1" s="292"/>
      <c r="F1" s="292"/>
      <c r="G1" s="292"/>
      <c r="H1" s="292"/>
      <c r="I1" s="292"/>
      <c r="J1" s="292"/>
    </row>
    <row r="2" spans="1:10" ht="4.5" customHeight="1" x14ac:dyDescent="0.2">
      <c r="A2" s="292"/>
      <c r="B2" s="292"/>
      <c r="C2" s="292"/>
      <c r="D2" s="292"/>
      <c r="E2" s="292"/>
      <c r="F2" s="292"/>
      <c r="G2" s="292"/>
      <c r="H2" s="292"/>
      <c r="I2" s="292"/>
      <c r="J2" s="292"/>
    </row>
    <row r="3" spans="1:10" ht="19.5" customHeight="1" x14ac:dyDescent="0.2">
      <c r="A3" s="306" t="s">
        <v>3605</v>
      </c>
      <c r="B3" s="292"/>
      <c r="C3" s="292"/>
      <c r="D3" s="292"/>
      <c r="E3" s="292"/>
      <c r="F3" s="292"/>
      <c r="G3" s="292"/>
      <c r="H3" s="292"/>
      <c r="I3" s="292"/>
      <c r="J3" s="292"/>
    </row>
    <row r="5" spans="1:10" ht="15" customHeight="1" x14ac:dyDescent="0.2">
      <c r="A5" s="296" t="s">
        <v>3606</v>
      </c>
      <c r="B5" s="292"/>
      <c r="C5" s="292"/>
      <c r="D5" s="292"/>
      <c r="E5" s="292"/>
      <c r="F5" s="292"/>
      <c r="G5" s="292"/>
      <c r="H5" s="292"/>
      <c r="I5" s="292"/>
      <c r="J5" s="292"/>
    </row>
    <row r="6" spans="1:10" ht="31.5" customHeight="1" x14ac:dyDescent="0.2">
      <c r="A6" s="1" t="s">
        <v>1</v>
      </c>
      <c r="B6" s="1" t="s">
        <v>3607</v>
      </c>
      <c r="C6" s="1" t="s">
        <v>3608</v>
      </c>
      <c r="D6" s="1" t="s">
        <v>3609</v>
      </c>
      <c r="E6" s="1" t="s">
        <v>3610</v>
      </c>
      <c r="F6" s="1" t="s">
        <v>3611</v>
      </c>
      <c r="G6" s="1" t="s">
        <v>3345</v>
      </c>
      <c r="H6" s="1" t="s">
        <v>3612</v>
      </c>
      <c r="I6" s="1" t="s">
        <v>3613</v>
      </c>
      <c r="J6" s="1" t="s">
        <v>3614</v>
      </c>
    </row>
    <row r="7" spans="1:10" ht="45.75" customHeight="1" x14ac:dyDescent="0.2">
      <c r="A7" s="2">
        <v>1</v>
      </c>
      <c r="B7" s="9" t="s">
        <v>3615</v>
      </c>
      <c r="C7" s="3" t="s">
        <v>3616</v>
      </c>
      <c r="D7" s="3" t="s">
        <v>3617</v>
      </c>
      <c r="E7" s="3" t="s">
        <v>3618</v>
      </c>
      <c r="F7" s="3" t="s">
        <v>3619</v>
      </c>
      <c r="G7" s="2" t="s">
        <v>3355</v>
      </c>
      <c r="H7" s="3" t="s">
        <v>3620</v>
      </c>
      <c r="I7" s="2" t="s">
        <v>28</v>
      </c>
      <c r="J7" s="174" t="s">
        <v>3462</v>
      </c>
    </row>
    <row r="8" spans="1:10" ht="45.75" customHeight="1" x14ac:dyDescent="0.2">
      <c r="A8" s="4">
        <v>2</v>
      </c>
      <c r="B8" s="10" t="s">
        <v>3621</v>
      </c>
      <c r="C8" s="5" t="s">
        <v>3622</v>
      </c>
      <c r="D8" s="5" t="s">
        <v>3623</v>
      </c>
      <c r="E8" s="5" t="s">
        <v>3624</v>
      </c>
      <c r="F8" s="5" t="s">
        <v>3625</v>
      </c>
      <c r="G8" s="4" t="s">
        <v>3355</v>
      </c>
      <c r="H8" s="5" t="s">
        <v>3626</v>
      </c>
      <c r="I8" s="4" t="s">
        <v>3627</v>
      </c>
      <c r="J8" s="175" t="s">
        <v>3462</v>
      </c>
    </row>
    <row r="9" spans="1:10" ht="45.75" customHeight="1" x14ac:dyDescent="0.2">
      <c r="A9" s="2">
        <v>3</v>
      </c>
      <c r="B9" s="9" t="s">
        <v>3628</v>
      </c>
      <c r="C9" s="3" t="s">
        <v>3629</v>
      </c>
      <c r="D9" s="3" t="s">
        <v>3630</v>
      </c>
      <c r="E9" s="3" t="s">
        <v>3631</v>
      </c>
      <c r="F9" s="3" t="s">
        <v>3632</v>
      </c>
      <c r="G9" s="2" t="s">
        <v>3355</v>
      </c>
      <c r="H9" s="3" t="s">
        <v>3633</v>
      </c>
      <c r="I9" s="2" t="s">
        <v>3627</v>
      </c>
      <c r="J9" s="174" t="s">
        <v>3462</v>
      </c>
    </row>
    <row r="10" spans="1:10" ht="45.75" customHeight="1" x14ac:dyDescent="0.2">
      <c r="A10" s="4">
        <v>4</v>
      </c>
      <c r="B10" s="10" t="s">
        <v>3634</v>
      </c>
      <c r="C10" s="5" t="s">
        <v>3635</v>
      </c>
      <c r="D10" s="5" t="s">
        <v>3636</v>
      </c>
      <c r="E10" s="5" t="s">
        <v>3637</v>
      </c>
      <c r="F10" s="5" t="s">
        <v>3638</v>
      </c>
      <c r="G10" s="4" t="s">
        <v>3355</v>
      </c>
      <c r="H10" s="5" t="s">
        <v>3639</v>
      </c>
      <c r="I10" s="4" t="s">
        <v>3627</v>
      </c>
      <c r="J10" s="175" t="s">
        <v>3462</v>
      </c>
    </row>
    <row r="11" spans="1:10" ht="45.75" customHeight="1" x14ac:dyDescent="0.2">
      <c r="A11" s="2">
        <v>5</v>
      </c>
      <c r="B11" s="9" t="s">
        <v>3640</v>
      </c>
      <c r="C11" s="3" t="s">
        <v>3641</v>
      </c>
      <c r="D11" s="3" t="s">
        <v>3642</v>
      </c>
      <c r="E11" s="3" t="s">
        <v>3643</v>
      </c>
      <c r="F11" s="3" t="s">
        <v>3644</v>
      </c>
      <c r="G11" s="2" t="s">
        <v>3364</v>
      </c>
      <c r="H11" s="3" t="s">
        <v>3645</v>
      </c>
      <c r="I11" s="2" t="s">
        <v>3627</v>
      </c>
      <c r="J11" s="174" t="s">
        <v>3462</v>
      </c>
    </row>
    <row r="12" spans="1:10" ht="45.75" customHeight="1" x14ac:dyDescent="0.2">
      <c r="A12" s="4">
        <v>6</v>
      </c>
      <c r="B12" s="10" t="s">
        <v>3646</v>
      </c>
      <c r="C12" s="5" t="s">
        <v>3647</v>
      </c>
      <c r="D12" s="5" t="s">
        <v>3648</v>
      </c>
      <c r="E12" s="5" t="s">
        <v>3649</v>
      </c>
      <c r="F12" s="5" t="s">
        <v>3650</v>
      </c>
      <c r="G12" s="4" t="s">
        <v>3364</v>
      </c>
      <c r="H12" s="5" t="s">
        <v>3651</v>
      </c>
      <c r="I12" s="4" t="s">
        <v>3627</v>
      </c>
      <c r="J12" s="175" t="s">
        <v>3462</v>
      </c>
    </row>
    <row r="13" spans="1:10" ht="45.75" customHeight="1" x14ac:dyDescent="0.2">
      <c r="A13" s="2">
        <v>7</v>
      </c>
      <c r="B13" s="9" t="s">
        <v>3652</v>
      </c>
      <c r="C13" s="3" t="s">
        <v>3653</v>
      </c>
      <c r="D13" s="3" t="s">
        <v>3654</v>
      </c>
      <c r="E13" s="3" t="s">
        <v>3655</v>
      </c>
      <c r="F13" s="3" t="s">
        <v>3656</v>
      </c>
      <c r="G13" s="2" t="s">
        <v>3364</v>
      </c>
      <c r="H13" s="3" t="s">
        <v>3657</v>
      </c>
      <c r="I13" s="2" t="s">
        <v>3627</v>
      </c>
      <c r="J13" s="174" t="s">
        <v>3462</v>
      </c>
    </row>
    <row r="14" spans="1:10" ht="45.75" customHeight="1" x14ac:dyDescent="0.2">
      <c r="A14" s="4">
        <v>8</v>
      </c>
      <c r="B14" s="10" t="s">
        <v>3658</v>
      </c>
      <c r="C14" s="5" t="s">
        <v>3659</v>
      </c>
      <c r="D14" s="5" t="s">
        <v>3660</v>
      </c>
      <c r="E14" s="5" t="s">
        <v>3661</v>
      </c>
      <c r="F14" s="5" t="s">
        <v>3662</v>
      </c>
      <c r="G14" s="4" t="s">
        <v>3371</v>
      </c>
      <c r="H14" s="5" t="s">
        <v>3663</v>
      </c>
      <c r="I14" s="4" t="s">
        <v>3627</v>
      </c>
      <c r="J14" s="175" t="s">
        <v>3462</v>
      </c>
    </row>
    <row r="15" spans="1:10" ht="45.75" customHeight="1" x14ac:dyDescent="0.2">
      <c r="A15" s="2">
        <v>9</v>
      </c>
      <c r="B15" s="9" t="s">
        <v>3664</v>
      </c>
      <c r="C15" s="3" t="s">
        <v>3665</v>
      </c>
      <c r="D15" s="3" t="s">
        <v>3666</v>
      </c>
      <c r="E15" s="3" t="s">
        <v>3667</v>
      </c>
      <c r="F15" s="3" t="s">
        <v>3668</v>
      </c>
      <c r="G15" s="2" t="s">
        <v>3371</v>
      </c>
      <c r="H15" s="3" t="s">
        <v>3669</v>
      </c>
      <c r="I15" s="2" t="s">
        <v>3627</v>
      </c>
      <c r="J15" s="174" t="s">
        <v>3462</v>
      </c>
    </row>
    <row r="16" spans="1:10" ht="45.75" customHeight="1" x14ac:dyDescent="0.2">
      <c r="A16" s="4">
        <v>10</v>
      </c>
      <c r="B16" s="10" t="s">
        <v>3670</v>
      </c>
      <c r="C16" s="5" t="s">
        <v>3671</v>
      </c>
      <c r="D16" s="5" t="s">
        <v>3672</v>
      </c>
      <c r="E16" s="5" t="s">
        <v>3673</v>
      </c>
      <c r="F16" s="5" t="s">
        <v>3674</v>
      </c>
      <c r="G16" s="4" t="s">
        <v>3371</v>
      </c>
      <c r="H16" s="5" t="s">
        <v>3675</v>
      </c>
      <c r="I16" s="4" t="s">
        <v>28</v>
      </c>
      <c r="J16" s="175" t="s">
        <v>3462</v>
      </c>
    </row>
    <row r="17" spans="1:10" ht="45.75" customHeight="1" x14ac:dyDescent="0.2">
      <c r="A17" s="2">
        <v>11</v>
      </c>
      <c r="B17" s="9" t="s">
        <v>3676</v>
      </c>
      <c r="C17" s="3" t="s">
        <v>3677</v>
      </c>
      <c r="D17" s="3" t="s">
        <v>3678</v>
      </c>
      <c r="E17" s="3" t="s">
        <v>3679</v>
      </c>
      <c r="F17" s="3" t="s">
        <v>3680</v>
      </c>
      <c r="G17" s="2" t="s">
        <v>3371</v>
      </c>
      <c r="H17" s="3" t="s">
        <v>3681</v>
      </c>
      <c r="I17" s="2" t="s">
        <v>3627</v>
      </c>
      <c r="J17" s="174" t="s">
        <v>3462</v>
      </c>
    </row>
    <row r="18" spans="1:10" ht="45.75" customHeight="1" x14ac:dyDescent="0.2">
      <c r="A18" s="4">
        <v>12</v>
      </c>
      <c r="B18" s="10" t="s">
        <v>3682</v>
      </c>
      <c r="C18" s="5" t="s">
        <v>3683</v>
      </c>
      <c r="D18" s="5" t="s">
        <v>3684</v>
      </c>
      <c r="E18" s="5" t="s">
        <v>3685</v>
      </c>
      <c r="F18" s="5" t="s">
        <v>3686</v>
      </c>
      <c r="G18" s="4" t="s">
        <v>3364</v>
      </c>
      <c r="H18" s="5" t="s">
        <v>3687</v>
      </c>
      <c r="I18" s="4" t="s">
        <v>3627</v>
      </c>
      <c r="J18" s="175" t="s">
        <v>3462</v>
      </c>
    </row>
    <row r="19" spans="1:10" ht="45.75" customHeight="1" x14ac:dyDescent="0.2">
      <c r="A19" s="2">
        <v>13</v>
      </c>
      <c r="B19" s="9" t="s">
        <v>3688</v>
      </c>
      <c r="C19" s="3" t="s">
        <v>3689</v>
      </c>
      <c r="D19" s="3" t="s">
        <v>3690</v>
      </c>
      <c r="E19" s="3" t="s">
        <v>3691</v>
      </c>
      <c r="F19" s="3" t="s">
        <v>3692</v>
      </c>
      <c r="G19" s="2" t="s">
        <v>3380</v>
      </c>
      <c r="H19" s="3" t="s">
        <v>3693</v>
      </c>
      <c r="I19" s="2" t="s">
        <v>28</v>
      </c>
      <c r="J19" s="174" t="s">
        <v>3462</v>
      </c>
    </row>
    <row r="20" spans="1:10" ht="45.75" customHeight="1" x14ac:dyDescent="0.2">
      <c r="A20" s="4">
        <v>14</v>
      </c>
      <c r="B20" s="10" t="s">
        <v>3694</v>
      </c>
      <c r="C20" s="5" t="s">
        <v>3695</v>
      </c>
      <c r="D20" s="5" t="s">
        <v>3696</v>
      </c>
      <c r="E20" s="5" t="s">
        <v>3697</v>
      </c>
      <c r="F20" s="5" t="s">
        <v>3698</v>
      </c>
      <c r="G20" s="4" t="s">
        <v>3371</v>
      </c>
      <c r="H20" s="5" t="s">
        <v>3699</v>
      </c>
      <c r="I20" s="4" t="s">
        <v>28</v>
      </c>
      <c r="J20" s="175" t="s">
        <v>3462</v>
      </c>
    </row>
    <row r="21" spans="1:10" ht="45.75" customHeight="1" x14ac:dyDescent="0.2">
      <c r="A21" s="2">
        <v>15</v>
      </c>
      <c r="B21" s="9" t="s">
        <v>3700</v>
      </c>
      <c r="C21" s="3" t="s">
        <v>3701</v>
      </c>
      <c r="D21" s="3" t="s">
        <v>3702</v>
      </c>
      <c r="E21" s="3" t="s">
        <v>3703</v>
      </c>
      <c r="F21" s="3" t="s">
        <v>3704</v>
      </c>
      <c r="G21" s="2" t="s">
        <v>3389</v>
      </c>
      <c r="H21" s="3" t="s">
        <v>3705</v>
      </c>
      <c r="I21" s="2" t="s">
        <v>28</v>
      </c>
      <c r="J21" s="174" t="s">
        <v>3462</v>
      </c>
    </row>
    <row r="22" spans="1:10" ht="45.75" customHeight="1" x14ac:dyDescent="0.2">
      <c r="A22" s="4">
        <v>16</v>
      </c>
      <c r="B22" s="10" t="s">
        <v>3706</v>
      </c>
      <c r="C22" s="5" t="s">
        <v>3707</v>
      </c>
      <c r="D22" s="5" t="s">
        <v>3708</v>
      </c>
      <c r="E22" s="5" t="s">
        <v>3709</v>
      </c>
      <c r="F22" s="5" t="s">
        <v>3710</v>
      </c>
      <c r="G22" s="4" t="s">
        <v>3389</v>
      </c>
      <c r="H22" s="5" t="s">
        <v>3711</v>
      </c>
      <c r="I22" s="4" t="s">
        <v>3627</v>
      </c>
      <c r="J22" s="175" t="s">
        <v>3462</v>
      </c>
    </row>
    <row r="23" spans="1:10" ht="45.75" customHeight="1" x14ac:dyDescent="0.2">
      <c r="A23" s="2">
        <v>17</v>
      </c>
      <c r="B23" s="9" t="s">
        <v>3712</v>
      </c>
      <c r="C23" s="3" t="s">
        <v>3713</v>
      </c>
      <c r="D23" s="3" t="s">
        <v>3714</v>
      </c>
      <c r="E23" s="3" t="s">
        <v>3715</v>
      </c>
      <c r="F23" s="3" t="s">
        <v>3716</v>
      </c>
      <c r="G23" s="2" t="s">
        <v>3380</v>
      </c>
      <c r="H23" s="3" t="s">
        <v>3717</v>
      </c>
      <c r="I23" s="2" t="s">
        <v>28</v>
      </c>
      <c r="J23" s="174" t="s">
        <v>3462</v>
      </c>
    </row>
    <row r="24" spans="1:10" ht="45.75" customHeight="1" x14ac:dyDescent="0.2">
      <c r="A24" s="4">
        <v>18</v>
      </c>
      <c r="B24" s="10" t="s">
        <v>3718</v>
      </c>
      <c r="C24" s="5" t="s">
        <v>3719</v>
      </c>
      <c r="D24" s="5" t="s">
        <v>3720</v>
      </c>
      <c r="E24" s="5" t="s">
        <v>3721</v>
      </c>
      <c r="F24" s="5" t="s">
        <v>3722</v>
      </c>
      <c r="G24" s="4" t="s">
        <v>3364</v>
      </c>
      <c r="H24" s="5" t="s">
        <v>3723</v>
      </c>
      <c r="I24" s="4" t="s">
        <v>28</v>
      </c>
      <c r="J24" s="175" t="s">
        <v>3462</v>
      </c>
    </row>
    <row r="27" spans="1:10" ht="21.75" customHeight="1" x14ac:dyDescent="0.2">
      <c r="A27" s="297" t="s">
        <v>3724</v>
      </c>
      <c r="B27" s="292"/>
      <c r="C27" s="292"/>
      <c r="D27" s="292"/>
      <c r="E27" s="292"/>
      <c r="F27" s="292"/>
      <c r="G27" s="292"/>
      <c r="H27" s="292"/>
      <c r="I27" s="292"/>
      <c r="J27" s="292"/>
    </row>
    <row r="28" spans="1:10" ht="34.5" customHeight="1" x14ac:dyDescent="0.2">
      <c r="A28" s="6" t="s">
        <v>1</v>
      </c>
      <c r="B28" s="6" t="s">
        <v>3725</v>
      </c>
      <c r="C28" s="6" t="s">
        <v>3726</v>
      </c>
      <c r="D28" s="6" t="s">
        <v>3727</v>
      </c>
      <c r="E28" s="6" t="s">
        <v>3728</v>
      </c>
      <c r="F28" s="6" t="s">
        <v>3729</v>
      </c>
      <c r="G28" s="6" t="s">
        <v>3730</v>
      </c>
      <c r="H28" s="6" t="s">
        <v>3345</v>
      </c>
      <c r="I28" s="6" t="s">
        <v>5</v>
      </c>
      <c r="J28" s="6" t="s">
        <v>3731</v>
      </c>
    </row>
    <row r="29" spans="1:10" ht="49.5" customHeight="1" x14ac:dyDescent="0.2">
      <c r="A29" s="2">
        <v>1</v>
      </c>
      <c r="B29" s="9" t="s">
        <v>3732</v>
      </c>
      <c r="C29" s="3" t="s">
        <v>3733</v>
      </c>
      <c r="D29" s="2" t="s">
        <v>3734</v>
      </c>
      <c r="E29" s="3" t="s">
        <v>3735</v>
      </c>
      <c r="F29" s="3" t="s">
        <v>3736</v>
      </c>
      <c r="G29" s="2" t="s">
        <v>3737</v>
      </c>
      <c r="H29" s="2" t="s">
        <v>3355</v>
      </c>
      <c r="I29" s="2" t="s">
        <v>3738</v>
      </c>
      <c r="J29" s="174" t="s">
        <v>3462</v>
      </c>
    </row>
    <row r="30" spans="1:10" ht="49.5" customHeight="1" x14ac:dyDescent="0.2">
      <c r="A30" s="4">
        <v>2</v>
      </c>
      <c r="B30" s="10" t="s">
        <v>3739</v>
      </c>
      <c r="C30" s="5" t="s">
        <v>3740</v>
      </c>
      <c r="D30" s="4" t="s">
        <v>3741</v>
      </c>
      <c r="E30" s="5" t="s">
        <v>3742</v>
      </c>
      <c r="F30" s="5" t="s">
        <v>3743</v>
      </c>
      <c r="G30" s="4" t="s">
        <v>3744</v>
      </c>
      <c r="H30" s="4" t="s">
        <v>3355</v>
      </c>
      <c r="I30" s="4" t="s">
        <v>3738</v>
      </c>
      <c r="J30" s="175" t="s">
        <v>3462</v>
      </c>
    </row>
    <row r="31" spans="1:10" ht="49.5" customHeight="1" x14ac:dyDescent="0.2">
      <c r="A31" s="2">
        <v>3</v>
      </c>
      <c r="B31" s="9" t="s">
        <v>3745</v>
      </c>
      <c r="C31" s="3" t="s">
        <v>3746</v>
      </c>
      <c r="D31" s="2" t="s">
        <v>3747</v>
      </c>
      <c r="E31" s="3" t="s">
        <v>3748</v>
      </c>
      <c r="F31" s="3" t="s">
        <v>3749</v>
      </c>
      <c r="G31" s="2" t="s">
        <v>3750</v>
      </c>
      <c r="H31" s="2" t="s">
        <v>3364</v>
      </c>
      <c r="I31" s="2" t="s">
        <v>3751</v>
      </c>
      <c r="J31" s="174" t="s">
        <v>3462</v>
      </c>
    </row>
    <row r="32" spans="1:10" ht="49.5" customHeight="1" x14ac:dyDescent="0.2">
      <c r="A32" s="4">
        <v>4</v>
      </c>
      <c r="B32" s="10" t="s">
        <v>3752</v>
      </c>
      <c r="C32" s="5" t="s">
        <v>3753</v>
      </c>
      <c r="D32" s="4" t="s">
        <v>3754</v>
      </c>
      <c r="E32" s="5" t="s">
        <v>3755</v>
      </c>
      <c r="F32" s="5" t="s">
        <v>3756</v>
      </c>
      <c r="G32" s="4" t="s">
        <v>3757</v>
      </c>
      <c r="H32" s="4" t="s">
        <v>3364</v>
      </c>
      <c r="I32" s="4" t="s">
        <v>3738</v>
      </c>
      <c r="J32" s="175" t="s">
        <v>3462</v>
      </c>
    </row>
    <row r="33" spans="1:10" ht="49.5" customHeight="1" x14ac:dyDescent="0.2">
      <c r="A33" s="2">
        <v>5</v>
      </c>
      <c r="B33" s="9" t="s">
        <v>2316</v>
      </c>
      <c r="C33" s="3" t="s">
        <v>3758</v>
      </c>
      <c r="D33" s="2" t="s">
        <v>3759</v>
      </c>
      <c r="E33" s="3" t="s">
        <v>3760</v>
      </c>
      <c r="F33" s="3" t="s">
        <v>3761</v>
      </c>
      <c r="G33" s="2" t="s">
        <v>3762</v>
      </c>
      <c r="H33" s="2" t="s">
        <v>3364</v>
      </c>
      <c r="I33" s="2" t="s">
        <v>3751</v>
      </c>
      <c r="J33" s="174" t="s">
        <v>3462</v>
      </c>
    </row>
    <row r="34" spans="1:10" ht="49.5" customHeight="1" x14ac:dyDescent="0.2">
      <c r="A34" s="4">
        <v>6</v>
      </c>
      <c r="B34" s="10" t="s">
        <v>3763</v>
      </c>
      <c r="C34" s="5" t="s">
        <v>3764</v>
      </c>
      <c r="D34" s="4" t="s">
        <v>3765</v>
      </c>
      <c r="E34" s="5" t="s">
        <v>3766</v>
      </c>
      <c r="F34" s="5" t="s">
        <v>3767</v>
      </c>
      <c r="G34" s="4" t="s">
        <v>3768</v>
      </c>
      <c r="H34" s="4" t="s">
        <v>3371</v>
      </c>
      <c r="I34" s="4" t="s">
        <v>3751</v>
      </c>
      <c r="J34" s="175" t="s">
        <v>3462</v>
      </c>
    </row>
    <row r="35" spans="1:10" ht="49.5" customHeight="1" x14ac:dyDescent="0.2">
      <c r="A35" s="2">
        <v>7</v>
      </c>
      <c r="B35" s="9" t="s">
        <v>3769</v>
      </c>
      <c r="C35" s="3" t="s">
        <v>3770</v>
      </c>
      <c r="D35" s="2" t="s">
        <v>3771</v>
      </c>
      <c r="E35" s="3" t="s">
        <v>3772</v>
      </c>
      <c r="F35" s="3" t="s">
        <v>3773</v>
      </c>
      <c r="G35" s="2" t="s">
        <v>3774</v>
      </c>
      <c r="H35" s="2" t="s">
        <v>3371</v>
      </c>
      <c r="I35" s="2" t="s">
        <v>3751</v>
      </c>
      <c r="J35" s="174" t="s">
        <v>3462</v>
      </c>
    </row>
    <row r="36" spans="1:10" ht="49.5" customHeight="1" x14ac:dyDescent="0.2">
      <c r="A36" s="4">
        <v>8</v>
      </c>
      <c r="B36" s="10" t="s">
        <v>3775</v>
      </c>
      <c r="C36" s="5" t="s">
        <v>3776</v>
      </c>
      <c r="D36" s="4" t="s">
        <v>3777</v>
      </c>
      <c r="E36" s="5" t="s">
        <v>3778</v>
      </c>
      <c r="F36" s="5" t="s">
        <v>3779</v>
      </c>
      <c r="G36" s="4" t="s">
        <v>3780</v>
      </c>
      <c r="H36" s="4" t="s">
        <v>3371</v>
      </c>
      <c r="I36" s="4" t="s">
        <v>3751</v>
      </c>
      <c r="J36" s="175" t="s">
        <v>3462</v>
      </c>
    </row>
    <row r="37" spans="1:10" ht="49.5" customHeight="1" x14ac:dyDescent="0.2">
      <c r="A37" s="2">
        <v>9</v>
      </c>
      <c r="B37" s="9" t="s">
        <v>3781</v>
      </c>
      <c r="C37" s="3" t="s">
        <v>3782</v>
      </c>
      <c r="D37" s="2" t="s">
        <v>3783</v>
      </c>
      <c r="E37" s="3" t="s">
        <v>3784</v>
      </c>
      <c r="F37" s="3" t="s">
        <v>3785</v>
      </c>
      <c r="G37" s="2" t="s">
        <v>3786</v>
      </c>
      <c r="H37" s="2" t="s">
        <v>3380</v>
      </c>
      <c r="I37" s="2" t="s">
        <v>3787</v>
      </c>
      <c r="J37" s="174" t="s">
        <v>3462</v>
      </c>
    </row>
    <row r="38" spans="1:10" ht="49.5" customHeight="1" x14ac:dyDescent="0.2">
      <c r="A38" s="4">
        <v>10</v>
      </c>
      <c r="B38" s="10" t="s">
        <v>3788</v>
      </c>
      <c r="C38" s="5" t="s">
        <v>3789</v>
      </c>
      <c r="D38" s="4" t="s">
        <v>3790</v>
      </c>
      <c r="E38" s="5" t="s">
        <v>3791</v>
      </c>
      <c r="F38" s="5" t="s">
        <v>3792</v>
      </c>
      <c r="G38" s="4" t="s">
        <v>3793</v>
      </c>
      <c r="H38" s="4" t="s">
        <v>3380</v>
      </c>
      <c r="I38" s="4" t="s">
        <v>3787</v>
      </c>
      <c r="J38" s="175" t="s">
        <v>3462</v>
      </c>
    </row>
    <row r="39" spans="1:10" ht="49.5" customHeight="1" x14ac:dyDescent="0.2">
      <c r="A39" s="2">
        <v>11</v>
      </c>
      <c r="B39" s="9" t="s">
        <v>3794</v>
      </c>
      <c r="C39" s="3" t="s">
        <v>3795</v>
      </c>
      <c r="D39" s="2" t="s">
        <v>3796</v>
      </c>
      <c r="E39" s="3" t="s">
        <v>3797</v>
      </c>
      <c r="F39" s="3" t="s">
        <v>3798</v>
      </c>
      <c r="G39" s="2" t="s">
        <v>3799</v>
      </c>
      <c r="H39" s="2" t="s">
        <v>3380</v>
      </c>
      <c r="I39" s="2" t="s">
        <v>3787</v>
      </c>
      <c r="J39" s="174" t="s">
        <v>3462</v>
      </c>
    </row>
    <row r="40" spans="1:10" ht="49.5" customHeight="1" x14ac:dyDescent="0.2">
      <c r="A40" s="4">
        <v>12</v>
      </c>
      <c r="B40" s="10" t="s">
        <v>3800</v>
      </c>
      <c r="C40" s="5" t="s">
        <v>3801</v>
      </c>
      <c r="D40" s="4" t="s">
        <v>3802</v>
      </c>
      <c r="E40" s="5" t="s">
        <v>3803</v>
      </c>
      <c r="F40" s="5" t="s">
        <v>3804</v>
      </c>
      <c r="G40" s="4" t="s">
        <v>3805</v>
      </c>
      <c r="H40" s="4" t="s">
        <v>3380</v>
      </c>
      <c r="I40" s="4" t="s">
        <v>3787</v>
      </c>
      <c r="J40" s="175" t="s">
        <v>3462</v>
      </c>
    </row>
    <row r="41" spans="1:10" ht="49.5" customHeight="1" x14ac:dyDescent="0.2">
      <c r="A41" s="2">
        <v>13</v>
      </c>
      <c r="B41" s="9" t="s">
        <v>3806</v>
      </c>
      <c r="C41" s="3" t="s">
        <v>3807</v>
      </c>
      <c r="D41" s="2" t="s">
        <v>3808</v>
      </c>
      <c r="E41" s="3" t="s">
        <v>3809</v>
      </c>
      <c r="F41" s="3" t="s">
        <v>3810</v>
      </c>
      <c r="G41" s="2" t="s">
        <v>3811</v>
      </c>
      <c r="H41" s="2" t="s">
        <v>3389</v>
      </c>
      <c r="I41" s="2" t="s">
        <v>3787</v>
      </c>
      <c r="J41" s="174" t="s">
        <v>3462</v>
      </c>
    </row>
    <row r="42" spans="1:10" ht="49.5" customHeight="1" x14ac:dyDescent="0.2">
      <c r="A42" s="4">
        <v>14</v>
      </c>
      <c r="B42" s="10" t="s">
        <v>3812</v>
      </c>
      <c r="C42" s="5" t="s">
        <v>3813</v>
      </c>
      <c r="D42" s="4" t="s">
        <v>3814</v>
      </c>
      <c r="E42" s="5" t="s">
        <v>3815</v>
      </c>
      <c r="F42" s="5" t="s">
        <v>3816</v>
      </c>
      <c r="G42" s="4" t="s">
        <v>3817</v>
      </c>
      <c r="H42" s="4" t="s">
        <v>3389</v>
      </c>
      <c r="I42" s="4" t="s">
        <v>3818</v>
      </c>
      <c r="J42" s="175" t="s">
        <v>3462</v>
      </c>
    </row>
    <row r="43" spans="1:10" ht="49.5" customHeight="1" x14ac:dyDescent="0.2">
      <c r="A43" s="2">
        <v>15</v>
      </c>
      <c r="B43" s="9" t="s">
        <v>3819</v>
      </c>
      <c r="C43" s="3" t="s">
        <v>3820</v>
      </c>
      <c r="D43" s="2" t="s">
        <v>3821</v>
      </c>
      <c r="E43" s="3" t="s">
        <v>3822</v>
      </c>
      <c r="F43" s="3" t="s">
        <v>3823</v>
      </c>
      <c r="G43" s="2" t="s">
        <v>3824</v>
      </c>
      <c r="H43" s="2" t="s">
        <v>3389</v>
      </c>
      <c r="I43" s="2" t="s">
        <v>3818</v>
      </c>
      <c r="J43" s="174" t="s">
        <v>3462</v>
      </c>
    </row>
    <row r="44" spans="1:10" ht="49.5" customHeight="1" x14ac:dyDescent="0.2">
      <c r="A44" s="4">
        <v>16</v>
      </c>
      <c r="B44" s="10" t="s">
        <v>3825</v>
      </c>
      <c r="C44" s="5" t="s">
        <v>3826</v>
      </c>
      <c r="D44" s="4" t="s">
        <v>3827</v>
      </c>
      <c r="E44" s="5" t="s">
        <v>3828</v>
      </c>
      <c r="F44" s="5" t="s">
        <v>3829</v>
      </c>
      <c r="G44" s="4" t="s">
        <v>3830</v>
      </c>
      <c r="H44" s="4" t="s">
        <v>3397</v>
      </c>
      <c r="I44" s="4" t="s">
        <v>3818</v>
      </c>
      <c r="J44" s="175" t="s">
        <v>3462</v>
      </c>
    </row>
  </sheetData>
  <mergeCells count="4">
    <mergeCell ref="A5:J5"/>
    <mergeCell ref="A27:J27"/>
    <mergeCell ref="A1:J2"/>
    <mergeCell ref="A3:J3"/>
  </mergeCells>
  <dataValidations count="2">
    <dataValidation type="list" allowBlank="1" prompt="Building block status" sqref="J7 J8 J9 J10 J11 J12 J13 J14 J15 J16 J17 J18 J19 J20 J21 J22 J23 J24" xr:uid="{00000000-0002-0000-0400-000000000000}">
      <formula1>"✅ Covered,📖 Studying,⬜ Not Started"</formula1>
    </dataValidation>
    <dataValidation type="list" allowBlank="1" prompt="Mock design status" sqref="J29 J30 J31 J32 J33 J34 J35 J36 J37 J38 J39 J40 J41 J42 J43 J44" xr:uid="{00000000-0002-0000-0400-000001000000}">
      <formula1>"✅ Done,🚧 In Progress,⬜ Not Started"</formula1>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0"/>
  <sheetViews>
    <sheetView showGridLines="0" workbookViewId="0">
      <pane ySplit="2" topLeftCell="A3" activePane="bottomLeft" state="frozen"/>
      <selection pane="bottomLeft" sqref="A1:J1"/>
    </sheetView>
  </sheetViews>
  <sheetFormatPr baseColWidth="10" defaultColWidth="8.83203125" defaultRowHeight="15" x14ac:dyDescent="0.2"/>
  <cols>
    <col min="1" max="1" width="4" customWidth="1"/>
    <col min="2" max="2" width="26" customWidth="1"/>
    <col min="3" max="3" width="20" style="52" customWidth="1"/>
    <col min="4" max="4" width="34" style="52" customWidth="1"/>
    <col min="5" max="6" width="30" style="52" customWidth="1"/>
    <col min="7" max="8" width="34" style="52" customWidth="1"/>
    <col min="9" max="9" width="24" customWidth="1"/>
    <col min="10" max="10" width="15" customWidth="1"/>
  </cols>
  <sheetData>
    <row r="1" spans="1:10" ht="30" customHeight="1" x14ac:dyDescent="0.2">
      <c r="A1" s="303" t="s">
        <v>3831</v>
      </c>
      <c r="B1" s="292"/>
      <c r="C1" s="292"/>
      <c r="D1" s="292"/>
      <c r="E1" s="292"/>
      <c r="F1" s="292"/>
      <c r="G1" s="292"/>
      <c r="H1" s="292"/>
      <c r="I1" s="292"/>
      <c r="J1" s="292"/>
    </row>
    <row r="2" spans="1:10" ht="40" customHeight="1" x14ac:dyDescent="0.2">
      <c r="A2" s="305" t="s">
        <v>3832</v>
      </c>
      <c r="B2" s="292"/>
      <c r="C2" s="292"/>
      <c r="D2" s="292"/>
      <c r="E2" s="292"/>
      <c r="F2" s="292"/>
      <c r="G2" s="292"/>
      <c r="H2" s="292"/>
      <c r="I2" s="292"/>
      <c r="J2" s="292"/>
    </row>
    <row r="4" spans="1:10" ht="16" x14ac:dyDescent="0.2">
      <c r="A4" s="304" t="s">
        <v>3833</v>
      </c>
      <c r="B4" s="292"/>
      <c r="C4" s="292"/>
      <c r="D4" s="292"/>
      <c r="E4" s="292"/>
      <c r="F4" s="292"/>
      <c r="G4" s="292"/>
      <c r="H4" s="292"/>
      <c r="I4" s="292"/>
      <c r="J4" s="292"/>
    </row>
    <row r="5" spans="1:10" x14ac:dyDescent="0.2">
      <c r="A5" s="163" t="s">
        <v>1</v>
      </c>
      <c r="B5" s="163" t="s">
        <v>3834</v>
      </c>
      <c r="C5" s="234" t="s">
        <v>3835</v>
      </c>
      <c r="D5" s="234" t="s">
        <v>3836</v>
      </c>
      <c r="E5" s="234" t="s">
        <v>3837</v>
      </c>
      <c r="F5" s="234" t="s">
        <v>3838</v>
      </c>
      <c r="G5" s="234" t="s">
        <v>3839</v>
      </c>
      <c r="H5" s="234" t="s">
        <v>3840</v>
      </c>
      <c r="I5" s="163" t="s">
        <v>3841</v>
      </c>
      <c r="J5" s="163" t="s">
        <v>3842</v>
      </c>
    </row>
    <row r="6" spans="1:10" ht="60" customHeight="1" x14ac:dyDescent="0.2">
      <c r="A6" s="172" t="s">
        <v>3843</v>
      </c>
      <c r="B6" s="173" t="s">
        <v>3844</v>
      </c>
      <c r="C6" s="173" t="s">
        <v>3845</v>
      </c>
      <c r="D6" s="173" t="s">
        <v>3846</v>
      </c>
      <c r="E6" s="173" t="s">
        <v>3847</v>
      </c>
      <c r="F6" s="173" t="s">
        <v>3848</v>
      </c>
      <c r="G6" s="173" t="s">
        <v>3849</v>
      </c>
      <c r="H6" s="173" t="s">
        <v>3850</v>
      </c>
      <c r="I6" s="173" t="s">
        <v>3845</v>
      </c>
      <c r="J6" s="173" t="s">
        <v>3851</v>
      </c>
    </row>
    <row r="7" spans="1:10" ht="46" customHeight="1" x14ac:dyDescent="0.2">
      <c r="A7" s="279">
        <v>1</v>
      </c>
      <c r="B7" s="283" t="s">
        <v>3845</v>
      </c>
      <c r="C7" s="284" t="s">
        <v>3845</v>
      </c>
      <c r="D7" s="284" t="s">
        <v>3852</v>
      </c>
      <c r="E7" s="284"/>
      <c r="F7" s="284"/>
      <c r="G7" s="284"/>
      <c r="H7" s="284"/>
      <c r="I7" s="284" t="s">
        <v>3845</v>
      </c>
      <c r="J7" s="279" t="s">
        <v>3853</v>
      </c>
    </row>
    <row r="8" spans="1:10" ht="46" customHeight="1" x14ac:dyDescent="0.2">
      <c r="A8" s="285">
        <v>2</v>
      </c>
      <c r="B8" s="286" t="s">
        <v>3854</v>
      </c>
      <c r="C8" s="287" t="s">
        <v>3854</v>
      </c>
      <c r="D8" s="287" t="s">
        <v>3855</v>
      </c>
      <c r="E8" s="287"/>
      <c r="F8" s="287"/>
      <c r="G8" s="287"/>
      <c r="H8" s="287"/>
      <c r="I8" s="287" t="s">
        <v>3856</v>
      </c>
      <c r="J8" s="285" t="s">
        <v>3853</v>
      </c>
    </row>
    <row r="9" spans="1:10" ht="46" customHeight="1" x14ac:dyDescent="0.2">
      <c r="A9" s="279">
        <v>3</v>
      </c>
      <c r="B9" s="283" t="s">
        <v>3857</v>
      </c>
      <c r="C9" s="284" t="s">
        <v>3857</v>
      </c>
      <c r="D9" s="284" t="s">
        <v>3858</v>
      </c>
      <c r="E9" s="284"/>
      <c r="F9" s="284"/>
      <c r="G9" s="284"/>
      <c r="H9" s="284"/>
      <c r="I9" s="284" t="s">
        <v>3859</v>
      </c>
      <c r="J9" s="279" t="s">
        <v>3853</v>
      </c>
    </row>
    <row r="10" spans="1:10" ht="46" customHeight="1" x14ac:dyDescent="0.2">
      <c r="A10" s="285">
        <v>4</v>
      </c>
      <c r="B10" s="286" t="s">
        <v>3860</v>
      </c>
      <c r="C10" s="287" t="s">
        <v>3860</v>
      </c>
      <c r="D10" s="287" t="s">
        <v>3861</v>
      </c>
      <c r="E10" s="287"/>
      <c r="F10" s="287"/>
      <c r="G10" s="287"/>
      <c r="H10" s="287"/>
      <c r="I10" s="287" t="s">
        <v>3862</v>
      </c>
      <c r="J10" s="285" t="s">
        <v>3853</v>
      </c>
    </row>
    <row r="11" spans="1:10" ht="46" customHeight="1" x14ac:dyDescent="0.2">
      <c r="A11" s="279">
        <v>5</v>
      </c>
      <c r="B11" s="283" t="s">
        <v>3863</v>
      </c>
      <c r="C11" s="284" t="s">
        <v>3863</v>
      </c>
      <c r="D11" s="284" t="s">
        <v>3864</v>
      </c>
      <c r="E11" s="284"/>
      <c r="F11" s="284"/>
      <c r="G11" s="284"/>
      <c r="H11" s="284"/>
      <c r="I11" s="284" t="s">
        <v>3865</v>
      </c>
      <c r="J11" s="279" t="s">
        <v>3853</v>
      </c>
    </row>
    <row r="12" spans="1:10" ht="46" customHeight="1" x14ac:dyDescent="0.2">
      <c r="A12" s="285">
        <v>6</v>
      </c>
      <c r="B12" s="286" t="s">
        <v>3866</v>
      </c>
      <c r="C12" s="287" t="s">
        <v>3866</v>
      </c>
      <c r="D12" s="287" t="s">
        <v>3867</v>
      </c>
      <c r="E12" s="287"/>
      <c r="F12" s="287"/>
      <c r="G12" s="287"/>
      <c r="H12" s="287"/>
      <c r="I12" s="287" t="s">
        <v>3868</v>
      </c>
      <c r="J12" s="285" t="s">
        <v>3853</v>
      </c>
    </row>
    <row r="13" spans="1:10" ht="46" customHeight="1" x14ac:dyDescent="0.2">
      <c r="A13" s="279">
        <v>7</v>
      </c>
      <c r="B13" s="283" t="s">
        <v>3869</v>
      </c>
      <c r="C13" s="284" t="s">
        <v>3869</v>
      </c>
      <c r="D13" s="284" t="s">
        <v>3870</v>
      </c>
      <c r="E13" s="284"/>
      <c r="F13" s="284"/>
      <c r="G13" s="284"/>
      <c r="H13" s="284"/>
      <c r="I13" s="284" t="s">
        <v>3871</v>
      </c>
      <c r="J13" s="279" t="s">
        <v>3853</v>
      </c>
    </row>
    <row r="14" spans="1:10" ht="46" customHeight="1" x14ac:dyDescent="0.2">
      <c r="A14" s="285">
        <v>8</v>
      </c>
      <c r="B14" s="286" t="s">
        <v>3872</v>
      </c>
      <c r="C14" s="287" t="s">
        <v>3872</v>
      </c>
      <c r="D14" s="287" t="s">
        <v>3873</v>
      </c>
      <c r="E14" s="287"/>
      <c r="F14" s="287"/>
      <c r="G14" s="287"/>
      <c r="H14" s="287"/>
      <c r="I14" s="287" t="s">
        <v>3874</v>
      </c>
      <c r="J14" s="285" t="s">
        <v>3853</v>
      </c>
    </row>
    <row r="15" spans="1:10" ht="46" customHeight="1" x14ac:dyDescent="0.2">
      <c r="A15" s="279">
        <v>9</v>
      </c>
      <c r="B15" s="283" t="s">
        <v>3875</v>
      </c>
      <c r="C15" s="284" t="s">
        <v>3875</v>
      </c>
      <c r="D15" s="284" t="s">
        <v>3876</v>
      </c>
      <c r="E15" s="284"/>
      <c r="F15" s="284"/>
      <c r="G15" s="284"/>
      <c r="H15" s="284"/>
      <c r="I15" s="284" t="s">
        <v>3877</v>
      </c>
      <c r="J15" s="279" t="s">
        <v>3853</v>
      </c>
    </row>
    <row r="16" spans="1:10" ht="46" customHeight="1" x14ac:dyDescent="0.2">
      <c r="A16" s="285">
        <v>10</v>
      </c>
      <c r="B16" s="286" t="s">
        <v>3878</v>
      </c>
      <c r="C16" s="287" t="s">
        <v>3878</v>
      </c>
      <c r="D16" s="287" t="s">
        <v>3879</v>
      </c>
      <c r="E16" s="287"/>
      <c r="F16" s="287"/>
      <c r="G16" s="287"/>
      <c r="H16" s="287"/>
      <c r="I16" s="287" t="s">
        <v>3880</v>
      </c>
      <c r="J16" s="285" t="s">
        <v>3853</v>
      </c>
    </row>
    <row r="17" spans="1:10" ht="46" customHeight="1" x14ac:dyDescent="0.2">
      <c r="A17" s="279">
        <v>11</v>
      </c>
      <c r="B17" s="283" t="s">
        <v>3881</v>
      </c>
      <c r="C17" s="284" t="s">
        <v>3881</v>
      </c>
      <c r="D17" s="284" t="s">
        <v>3882</v>
      </c>
      <c r="E17" s="284"/>
      <c r="F17" s="284"/>
      <c r="G17" s="284"/>
      <c r="H17" s="284"/>
      <c r="I17" s="284" t="s">
        <v>3883</v>
      </c>
      <c r="J17" s="279" t="s">
        <v>3853</v>
      </c>
    </row>
    <row r="18" spans="1:10" ht="46" customHeight="1" x14ac:dyDescent="0.2">
      <c r="A18" s="285">
        <v>12</v>
      </c>
      <c r="B18" s="286" t="s">
        <v>3884</v>
      </c>
      <c r="C18" s="287" t="s">
        <v>3884</v>
      </c>
      <c r="D18" s="287" t="s">
        <v>3885</v>
      </c>
      <c r="E18" s="287"/>
      <c r="F18" s="287"/>
      <c r="G18" s="287"/>
      <c r="H18" s="287"/>
      <c r="I18" s="287" t="s">
        <v>3886</v>
      </c>
      <c r="J18" s="285" t="s">
        <v>3853</v>
      </c>
    </row>
    <row r="19" spans="1:10" ht="46" customHeight="1" x14ac:dyDescent="0.2">
      <c r="A19" s="279">
        <v>13</v>
      </c>
      <c r="B19" s="283" t="s">
        <v>3887</v>
      </c>
      <c r="C19" s="284" t="s">
        <v>3887</v>
      </c>
      <c r="D19" s="284" t="s">
        <v>3888</v>
      </c>
      <c r="E19" s="284"/>
      <c r="F19" s="284"/>
      <c r="G19" s="284"/>
      <c r="H19" s="284"/>
      <c r="I19" s="284" t="s">
        <v>3871</v>
      </c>
      <c r="J19" s="279" t="s">
        <v>3853</v>
      </c>
    </row>
    <row r="20" spans="1:10" ht="46" customHeight="1" x14ac:dyDescent="0.2">
      <c r="A20" s="285">
        <v>14</v>
      </c>
      <c r="B20" s="286" t="s">
        <v>3889</v>
      </c>
      <c r="C20" s="287" t="s">
        <v>3889</v>
      </c>
      <c r="D20" s="287" t="s">
        <v>3890</v>
      </c>
      <c r="E20" s="287"/>
      <c r="F20" s="287"/>
      <c r="G20" s="287"/>
      <c r="H20" s="287"/>
      <c r="I20" s="287" t="s">
        <v>3859</v>
      </c>
      <c r="J20" s="285" t="s">
        <v>3853</v>
      </c>
    </row>
    <row r="21" spans="1:10" ht="46" customHeight="1" x14ac:dyDescent="0.2">
      <c r="A21" s="279">
        <v>15</v>
      </c>
      <c r="B21" s="283" t="s">
        <v>3891</v>
      </c>
      <c r="C21" s="284" t="s">
        <v>3891</v>
      </c>
      <c r="D21" s="284" t="s">
        <v>3892</v>
      </c>
      <c r="E21" s="284"/>
      <c r="F21" s="284"/>
      <c r="G21" s="284"/>
      <c r="H21" s="284"/>
      <c r="I21" s="284" t="s">
        <v>3893</v>
      </c>
      <c r="J21" s="279" t="s">
        <v>3853</v>
      </c>
    </row>
    <row r="22" spans="1:10" x14ac:dyDescent="0.2">
      <c r="A22" s="288"/>
      <c r="B22" s="288"/>
      <c r="C22" s="289"/>
      <c r="D22" s="289"/>
      <c r="E22" s="289"/>
      <c r="F22" s="289"/>
      <c r="G22" s="289"/>
      <c r="H22" s="289"/>
      <c r="I22" s="288"/>
      <c r="J22" s="288"/>
    </row>
    <row r="23" spans="1:10" ht="16" x14ac:dyDescent="0.2">
      <c r="A23" s="313" t="s">
        <v>3894</v>
      </c>
      <c r="B23" s="314"/>
      <c r="C23" s="314"/>
      <c r="D23" s="314"/>
      <c r="E23" s="314"/>
      <c r="F23" s="314"/>
      <c r="G23" s="314"/>
      <c r="H23" s="314"/>
      <c r="I23" s="314"/>
      <c r="J23" s="314"/>
    </row>
    <row r="24" spans="1:10" x14ac:dyDescent="0.2">
      <c r="A24" s="290" t="s">
        <v>1</v>
      </c>
      <c r="B24" s="290" t="s">
        <v>3895</v>
      </c>
      <c r="C24" s="315" t="s">
        <v>3896</v>
      </c>
      <c r="D24" s="308"/>
      <c r="E24" s="308"/>
      <c r="F24" s="308"/>
      <c r="G24" s="308"/>
      <c r="H24" s="308"/>
      <c r="I24" s="308"/>
      <c r="J24" s="309"/>
    </row>
    <row r="25" spans="1:10" x14ac:dyDescent="0.2">
      <c r="A25" s="279">
        <v>1</v>
      </c>
      <c r="B25" s="283" t="s">
        <v>3856</v>
      </c>
      <c r="C25" s="310" t="s">
        <v>3897</v>
      </c>
      <c r="D25" s="311"/>
      <c r="E25" s="311"/>
      <c r="F25" s="311"/>
      <c r="G25" s="311"/>
      <c r="H25" s="311"/>
      <c r="I25" s="311"/>
      <c r="J25" s="312"/>
    </row>
    <row r="26" spans="1:10" x14ac:dyDescent="0.2">
      <c r="A26" s="285">
        <v>2</v>
      </c>
      <c r="B26" s="286" t="s">
        <v>3845</v>
      </c>
      <c r="C26" s="307" t="s">
        <v>3898</v>
      </c>
      <c r="D26" s="308"/>
      <c r="E26" s="308"/>
      <c r="F26" s="308"/>
      <c r="G26" s="308"/>
      <c r="H26" s="308"/>
      <c r="I26" s="308"/>
      <c r="J26" s="309"/>
    </row>
    <row r="27" spans="1:10" x14ac:dyDescent="0.2">
      <c r="A27" s="279">
        <v>3</v>
      </c>
      <c r="B27" s="283" t="s">
        <v>3874</v>
      </c>
      <c r="C27" s="310" t="s">
        <v>3899</v>
      </c>
      <c r="D27" s="311"/>
      <c r="E27" s="311"/>
      <c r="F27" s="311"/>
      <c r="G27" s="311"/>
      <c r="H27" s="311"/>
      <c r="I27" s="311"/>
      <c r="J27" s="312"/>
    </row>
    <row r="28" spans="1:10" x14ac:dyDescent="0.2">
      <c r="A28" s="285">
        <v>4</v>
      </c>
      <c r="B28" s="286" t="s">
        <v>3900</v>
      </c>
      <c r="C28" s="307" t="s">
        <v>3901</v>
      </c>
      <c r="D28" s="308"/>
      <c r="E28" s="308"/>
      <c r="F28" s="308"/>
      <c r="G28" s="308"/>
      <c r="H28" s="308"/>
      <c r="I28" s="308"/>
      <c r="J28" s="309"/>
    </row>
    <row r="29" spans="1:10" x14ac:dyDescent="0.2">
      <c r="A29" s="279">
        <v>5</v>
      </c>
      <c r="B29" s="283" t="s">
        <v>3859</v>
      </c>
      <c r="C29" s="310" t="s">
        <v>3902</v>
      </c>
      <c r="D29" s="311"/>
      <c r="E29" s="311"/>
      <c r="F29" s="311"/>
      <c r="G29" s="311"/>
      <c r="H29" s="311"/>
      <c r="I29" s="311"/>
      <c r="J29" s="312"/>
    </row>
    <row r="30" spans="1:10" x14ac:dyDescent="0.2">
      <c r="A30" s="285">
        <v>6</v>
      </c>
      <c r="B30" s="286" t="s">
        <v>3880</v>
      </c>
      <c r="C30" s="307" t="s">
        <v>3903</v>
      </c>
      <c r="D30" s="308"/>
      <c r="E30" s="308"/>
      <c r="F30" s="308"/>
      <c r="G30" s="308"/>
      <c r="H30" s="308"/>
      <c r="I30" s="308"/>
      <c r="J30" s="309"/>
    </row>
    <row r="31" spans="1:10" x14ac:dyDescent="0.2">
      <c r="A31" s="279">
        <v>7</v>
      </c>
      <c r="B31" s="283" t="s">
        <v>3877</v>
      </c>
      <c r="C31" s="310" t="s">
        <v>3904</v>
      </c>
      <c r="D31" s="311"/>
      <c r="E31" s="311"/>
      <c r="F31" s="311"/>
      <c r="G31" s="311"/>
      <c r="H31" s="311"/>
      <c r="I31" s="311"/>
      <c r="J31" s="312"/>
    </row>
    <row r="32" spans="1:10" x14ac:dyDescent="0.2">
      <c r="A32" s="285">
        <v>8</v>
      </c>
      <c r="B32" s="286" t="s">
        <v>3886</v>
      </c>
      <c r="C32" s="307" t="s">
        <v>3905</v>
      </c>
      <c r="D32" s="308"/>
      <c r="E32" s="308"/>
      <c r="F32" s="308"/>
      <c r="G32" s="308"/>
      <c r="H32" s="308"/>
      <c r="I32" s="308"/>
      <c r="J32" s="309"/>
    </row>
    <row r="33" spans="1:10" x14ac:dyDescent="0.2">
      <c r="A33" s="279">
        <v>9</v>
      </c>
      <c r="B33" s="283" t="s">
        <v>3868</v>
      </c>
      <c r="C33" s="310" t="s">
        <v>3906</v>
      </c>
      <c r="D33" s="311"/>
      <c r="E33" s="311"/>
      <c r="F33" s="311"/>
      <c r="G33" s="311"/>
      <c r="H33" s="311"/>
      <c r="I33" s="311"/>
      <c r="J33" s="312"/>
    </row>
    <row r="34" spans="1:10" x14ac:dyDescent="0.2">
      <c r="A34" s="285">
        <v>10</v>
      </c>
      <c r="B34" s="286" t="s">
        <v>3893</v>
      </c>
      <c r="C34" s="307" t="s">
        <v>3907</v>
      </c>
      <c r="D34" s="308"/>
      <c r="E34" s="308"/>
      <c r="F34" s="308"/>
      <c r="G34" s="308"/>
      <c r="H34" s="308"/>
      <c r="I34" s="308"/>
      <c r="J34" s="309"/>
    </row>
    <row r="35" spans="1:10" x14ac:dyDescent="0.2">
      <c r="A35" s="279">
        <v>11</v>
      </c>
      <c r="B35" s="283" t="s">
        <v>3862</v>
      </c>
      <c r="C35" s="310" t="s">
        <v>3908</v>
      </c>
      <c r="D35" s="311"/>
      <c r="E35" s="311"/>
      <c r="F35" s="311"/>
      <c r="G35" s="311"/>
      <c r="H35" s="311"/>
      <c r="I35" s="311"/>
      <c r="J35" s="312"/>
    </row>
    <row r="36" spans="1:10" x14ac:dyDescent="0.2">
      <c r="A36" s="285">
        <v>12</v>
      </c>
      <c r="B36" s="286" t="s">
        <v>3883</v>
      </c>
      <c r="C36" s="307" t="s">
        <v>3909</v>
      </c>
      <c r="D36" s="308"/>
      <c r="E36" s="308"/>
      <c r="F36" s="308"/>
      <c r="G36" s="308"/>
      <c r="H36" s="308"/>
      <c r="I36" s="308"/>
      <c r="J36" s="309"/>
    </row>
    <row r="37" spans="1:10" ht="30" x14ac:dyDescent="0.2">
      <c r="A37" s="279">
        <v>13</v>
      </c>
      <c r="B37" s="283" t="s">
        <v>3865</v>
      </c>
      <c r="C37" s="310" t="s">
        <v>3910</v>
      </c>
      <c r="D37" s="311"/>
      <c r="E37" s="311"/>
      <c r="F37" s="311"/>
      <c r="G37" s="311"/>
      <c r="H37" s="311"/>
      <c r="I37" s="311"/>
      <c r="J37" s="312"/>
    </row>
    <row r="38" spans="1:10" x14ac:dyDescent="0.2">
      <c r="A38" s="285">
        <v>14</v>
      </c>
      <c r="B38" s="286" t="s">
        <v>3871</v>
      </c>
      <c r="C38" s="307" t="s">
        <v>3911</v>
      </c>
      <c r="D38" s="308"/>
      <c r="E38" s="308"/>
      <c r="F38" s="308"/>
      <c r="G38" s="308"/>
      <c r="H38" s="308"/>
      <c r="I38" s="308"/>
      <c r="J38" s="309"/>
    </row>
    <row r="39" spans="1:10" x14ac:dyDescent="0.2">
      <c r="A39" s="279">
        <v>15</v>
      </c>
      <c r="B39" s="283" t="s">
        <v>3912</v>
      </c>
      <c r="C39" s="310" t="s">
        <v>3913</v>
      </c>
      <c r="D39" s="311"/>
      <c r="E39" s="311"/>
      <c r="F39" s="311"/>
      <c r="G39" s="311"/>
      <c r="H39" s="311"/>
      <c r="I39" s="311"/>
      <c r="J39" s="312"/>
    </row>
    <row r="40" spans="1:10" ht="30" x14ac:dyDescent="0.2">
      <c r="A40" s="285">
        <v>16</v>
      </c>
      <c r="B40" s="286" t="s">
        <v>3914</v>
      </c>
      <c r="C40" s="307" t="s">
        <v>3915</v>
      </c>
      <c r="D40" s="308"/>
      <c r="E40" s="308"/>
      <c r="F40" s="308"/>
      <c r="G40" s="308"/>
      <c r="H40" s="308"/>
      <c r="I40" s="308"/>
      <c r="J40" s="309"/>
    </row>
  </sheetData>
  <mergeCells count="21">
    <mergeCell ref="C34:J34"/>
    <mergeCell ref="A23:J23"/>
    <mergeCell ref="C30:J30"/>
    <mergeCell ref="C33:J33"/>
    <mergeCell ref="C24:J24"/>
    <mergeCell ref="C40:J40"/>
    <mergeCell ref="A1:J1"/>
    <mergeCell ref="C36:J36"/>
    <mergeCell ref="C27:J27"/>
    <mergeCell ref="C39:J39"/>
    <mergeCell ref="C32:J32"/>
    <mergeCell ref="C38:J38"/>
    <mergeCell ref="C28:J28"/>
    <mergeCell ref="A2:J2"/>
    <mergeCell ref="A4:J4"/>
    <mergeCell ref="C37:J37"/>
    <mergeCell ref="C35:J35"/>
    <mergeCell ref="C26:J26"/>
    <mergeCell ref="C29:J29"/>
    <mergeCell ref="C25:J25"/>
    <mergeCell ref="C31:J31"/>
  </mergeCells>
  <dataValidations count="1">
    <dataValidation type="list" allowBlank="1" prompt="Story readiness" sqref="J6 J7 J8 J9 J10 J11 J12 J13 J14 J15 J16 J17 J18 J19 J20 J21" xr:uid="{00000000-0002-0000-0500-000000000000}">
      <formula1>"⬜ Not Drafted,✍️ Drafting,✅ Ready,🔁 Needs Polish"</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9"/>
  <sheetViews>
    <sheetView showGridLines="0" zoomScaleNormal="100" workbookViewId="0">
      <pane ySplit="3" topLeftCell="A4" activePane="bottomLeft" state="frozen"/>
      <selection pane="bottomLeft" activeCell="A4" sqref="A4"/>
    </sheetView>
  </sheetViews>
  <sheetFormatPr baseColWidth="10" defaultColWidth="8.6640625" defaultRowHeight="15" x14ac:dyDescent="0.2"/>
  <cols>
    <col min="1" max="1" width="6" customWidth="1"/>
    <col min="2" max="2" width="10" customWidth="1"/>
    <col min="3" max="3" width="28" customWidth="1"/>
    <col min="4" max="4" width="55" style="52" customWidth="1"/>
    <col min="5" max="5" width="12" customWidth="1"/>
    <col min="6" max="6" width="28" style="52" customWidth="1"/>
    <col min="7" max="7" width="36" customWidth="1"/>
    <col min="8" max="8" width="30" customWidth="1"/>
    <col min="9" max="9" width="36" customWidth="1"/>
  </cols>
  <sheetData>
    <row r="1" spans="1:9" ht="27.75" customHeight="1" x14ac:dyDescent="0.2">
      <c r="A1" s="300" t="s">
        <v>3916</v>
      </c>
      <c r="B1" s="292"/>
      <c r="C1" s="292"/>
      <c r="D1" s="292"/>
      <c r="E1" s="292"/>
      <c r="F1" s="292"/>
      <c r="G1" s="292"/>
      <c r="H1" s="292"/>
      <c r="I1" s="292"/>
    </row>
    <row r="2" spans="1:9" ht="4.5" customHeight="1" x14ac:dyDescent="0.2">
      <c r="A2" s="292"/>
      <c r="B2" s="292"/>
      <c r="C2" s="292"/>
      <c r="D2" s="292"/>
      <c r="E2" s="292"/>
      <c r="F2" s="292"/>
      <c r="G2" s="292"/>
      <c r="H2" s="292"/>
      <c r="I2" s="292"/>
    </row>
    <row r="3" spans="1:9" ht="31.5" customHeight="1" x14ac:dyDescent="0.2">
      <c r="A3" s="1" t="s">
        <v>3917</v>
      </c>
      <c r="B3" s="1" t="s">
        <v>3345</v>
      </c>
      <c r="C3" s="1" t="s">
        <v>3918</v>
      </c>
      <c r="D3" s="224" t="s">
        <v>3919</v>
      </c>
      <c r="E3" s="1" t="s">
        <v>3920</v>
      </c>
      <c r="F3" s="224" t="s">
        <v>3350</v>
      </c>
      <c r="G3" s="1" t="s">
        <v>3921</v>
      </c>
      <c r="H3" s="1" t="s">
        <v>3922</v>
      </c>
      <c r="I3" s="1" t="s">
        <v>3923</v>
      </c>
    </row>
    <row r="4" spans="1:9" ht="66" customHeight="1" x14ac:dyDescent="0.2">
      <c r="A4" s="24">
        <v>1</v>
      </c>
      <c r="B4" s="25" t="s">
        <v>3355</v>
      </c>
      <c r="C4" s="25" t="s">
        <v>3455</v>
      </c>
      <c r="D4" s="235" t="s">
        <v>3924</v>
      </c>
      <c r="E4" s="26">
        <v>25</v>
      </c>
      <c r="F4" s="235" t="s">
        <v>3925</v>
      </c>
      <c r="G4" s="25" t="s">
        <v>3926</v>
      </c>
      <c r="H4" s="25" t="s">
        <v>3927</v>
      </c>
      <c r="I4" s="25" t="s">
        <v>3928</v>
      </c>
    </row>
    <row r="5" spans="1:9" ht="66" customHeight="1" x14ac:dyDescent="0.2">
      <c r="A5" s="24">
        <v>2</v>
      </c>
      <c r="B5" s="25" t="s">
        <v>3355</v>
      </c>
      <c r="C5" s="25" t="s">
        <v>3929</v>
      </c>
      <c r="D5" s="235" t="s">
        <v>3930</v>
      </c>
      <c r="E5" s="26">
        <v>20</v>
      </c>
      <c r="F5" s="235" t="s">
        <v>3931</v>
      </c>
      <c r="G5" s="25" t="s">
        <v>3932</v>
      </c>
      <c r="H5" s="25" t="s">
        <v>3933</v>
      </c>
      <c r="I5" s="25" t="s">
        <v>3934</v>
      </c>
    </row>
    <row r="6" spans="1:9" ht="66" customHeight="1" x14ac:dyDescent="0.2">
      <c r="A6" s="27">
        <v>3</v>
      </c>
      <c r="B6" s="28" t="s">
        <v>3364</v>
      </c>
      <c r="C6" s="28" t="s">
        <v>3935</v>
      </c>
      <c r="D6" s="236" t="s">
        <v>3936</v>
      </c>
      <c r="E6" s="29">
        <v>20</v>
      </c>
      <c r="F6" s="236" t="s">
        <v>3937</v>
      </c>
      <c r="G6" s="28" t="s">
        <v>3938</v>
      </c>
      <c r="H6" s="28" t="s">
        <v>3939</v>
      </c>
      <c r="I6" s="28" t="s">
        <v>3940</v>
      </c>
    </row>
    <row r="7" spans="1:9" ht="66" customHeight="1" x14ac:dyDescent="0.2">
      <c r="A7" s="27">
        <v>4</v>
      </c>
      <c r="B7" s="28" t="s">
        <v>3364</v>
      </c>
      <c r="C7" s="28" t="s">
        <v>3479</v>
      </c>
      <c r="D7" s="236" t="s">
        <v>3941</v>
      </c>
      <c r="E7" s="29">
        <v>20</v>
      </c>
      <c r="F7" s="236" t="s">
        <v>3942</v>
      </c>
      <c r="G7" s="28" t="s">
        <v>3943</v>
      </c>
      <c r="H7" s="28" t="s">
        <v>3944</v>
      </c>
      <c r="I7" s="28" t="s">
        <v>3945</v>
      </c>
    </row>
    <row r="8" spans="1:9" ht="66" customHeight="1" x14ac:dyDescent="0.2">
      <c r="A8" s="30">
        <v>5</v>
      </c>
      <c r="B8" s="31" t="s">
        <v>3371</v>
      </c>
      <c r="C8" s="31" t="s">
        <v>512</v>
      </c>
      <c r="D8" s="237" t="s">
        <v>3946</v>
      </c>
      <c r="E8" s="32">
        <v>20</v>
      </c>
      <c r="F8" s="237" t="s">
        <v>3947</v>
      </c>
      <c r="G8" s="31" t="s">
        <v>3948</v>
      </c>
      <c r="H8" s="31" t="s">
        <v>3949</v>
      </c>
      <c r="I8" s="31" t="s">
        <v>3950</v>
      </c>
    </row>
    <row r="9" spans="1:9" ht="66" customHeight="1" x14ac:dyDescent="0.2">
      <c r="A9" s="30">
        <v>6</v>
      </c>
      <c r="B9" s="31" t="s">
        <v>3371</v>
      </c>
      <c r="C9" s="31" t="s">
        <v>3951</v>
      </c>
      <c r="D9" s="237" t="s">
        <v>3952</v>
      </c>
      <c r="E9" s="32">
        <v>20</v>
      </c>
      <c r="F9" s="237" t="s">
        <v>3953</v>
      </c>
      <c r="G9" s="31" t="s">
        <v>3954</v>
      </c>
      <c r="H9" s="31" t="s">
        <v>3955</v>
      </c>
      <c r="I9" s="31" t="s">
        <v>3956</v>
      </c>
    </row>
    <row r="10" spans="1:9" ht="66" customHeight="1" x14ac:dyDescent="0.2">
      <c r="A10" s="30">
        <v>7</v>
      </c>
      <c r="B10" s="31" t="s">
        <v>3371</v>
      </c>
      <c r="C10" s="31" t="s">
        <v>3957</v>
      </c>
      <c r="D10" s="237" t="s">
        <v>3958</v>
      </c>
      <c r="E10" s="32">
        <v>20</v>
      </c>
      <c r="F10" s="237" t="s">
        <v>3959</v>
      </c>
      <c r="G10" s="31" t="s">
        <v>3960</v>
      </c>
      <c r="H10" s="31" t="s">
        <v>3961</v>
      </c>
      <c r="I10" s="31" t="s">
        <v>3962</v>
      </c>
    </row>
    <row r="11" spans="1:9" ht="66" customHeight="1" x14ac:dyDescent="0.2">
      <c r="A11" s="30">
        <v>8</v>
      </c>
      <c r="B11" s="31" t="s">
        <v>3371</v>
      </c>
      <c r="C11" s="31" t="s">
        <v>3513</v>
      </c>
      <c r="D11" s="237" t="s">
        <v>3963</v>
      </c>
      <c r="E11" s="32">
        <v>25</v>
      </c>
      <c r="F11" s="237" t="s">
        <v>3964</v>
      </c>
      <c r="G11" s="31" t="s">
        <v>3965</v>
      </c>
      <c r="H11" s="31" t="s">
        <v>3966</v>
      </c>
      <c r="I11" s="31" t="s">
        <v>3967</v>
      </c>
    </row>
    <row r="12" spans="1:9" ht="66" customHeight="1" x14ac:dyDescent="0.2">
      <c r="A12" s="33">
        <v>9</v>
      </c>
      <c r="B12" s="34" t="s">
        <v>3380</v>
      </c>
      <c r="C12" s="34" t="s">
        <v>3968</v>
      </c>
      <c r="D12" s="238" t="s">
        <v>3969</v>
      </c>
      <c r="E12" s="35">
        <v>25</v>
      </c>
      <c r="F12" s="238" t="s">
        <v>3970</v>
      </c>
      <c r="G12" s="34" t="s">
        <v>3971</v>
      </c>
      <c r="H12" s="34" t="s">
        <v>3972</v>
      </c>
      <c r="I12" s="34" t="s">
        <v>3973</v>
      </c>
    </row>
    <row r="13" spans="1:9" ht="66" customHeight="1" x14ac:dyDescent="0.2">
      <c r="A13" s="33">
        <v>10</v>
      </c>
      <c r="B13" s="34" t="s">
        <v>3380</v>
      </c>
      <c r="C13" s="34" t="s">
        <v>3974</v>
      </c>
      <c r="D13" s="238" t="s">
        <v>3975</v>
      </c>
      <c r="E13" s="35">
        <v>25</v>
      </c>
      <c r="F13" s="238" t="s">
        <v>3976</v>
      </c>
      <c r="G13" s="34" t="s">
        <v>3977</v>
      </c>
      <c r="H13" s="34" t="s">
        <v>3978</v>
      </c>
      <c r="I13" s="34" t="s">
        <v>3979</v>
      </c>
    </row>
    <row r="14" spans="1:9" ht="66" customHeight="1" x14ac:dyDescent="0.2">
      <c r="A14" s="33">
        <v>11</v>
      </c>
      <c r="B14" s="34" t="s">
        <v>3380</v>
      </c>
      <c r="C14" s="34" t="s">
        <v>3980</v>
      </c>
      <c r="D14" s="238" t="s">
        <v>3981</v>
      </c>
      <c r="E14" s="35">
        <v>20</v>
      </c>
      <c r="F14" s="238" t="s">
        <v>3982</v>
      </c>
      <c r="G14" s="34" t="s">
        <v>3983</v>
      </c>
      <c r="H14" s="34" t="s">
        <v>3984</v>
      </c>
      <c r="I14" s="34" t="s">
        <v>3985</v>
      </c>
    </row>
    <row r="15" spans="1:9" ht="66" customHeight="1" x14ac:dyDescent="0.2">
      <c r="A15" s="36">
        <v>12</v>
      </c>
      <c r="B15" s="37" t="s">
        <v>3389</v>
      </c>
      <c r="C15" s="37" t="s">
        <v>3986</v>
      </c>
      <c r="D15" s="239" t="s">
        <v>3987</v>
      </c>
      <c r="E15" s="38">
        <v>20</v>
      </c>
      <c r="F15" s="239" t="s">
        <v>3988</v>
      </c>
      <c r="G15" s="37" t="s">
        <v>3989</v>
      </c>
      <c r="H15" s="37" t="s">
        <v>3990</v>
      </c>
      <c r="I15" s="37" t="s">
        <v>3991</v>
      </c>
    </row>
    <row r="16" spans="1:9" ht="66" customHeight="1" x14ac:dyDescent="0.2">
      <c r="A16" s="36">
        <v>13</v>
      </c>
      <c r="B16" s="37" t="s">
        <v>3389</v>
      </c>
      <c r="C16" s="37" t="s">
        <v>3518</v>
      </c>
      <c r="D16" s="239" t="s">
        <v>3992</v>
      </c>
      <c r="E16" s="38">
        <v>20</v>
      </c>
      <c r="F16" s="239" t="s">
        <v>3993</v>
      </c>
      <c r="G16" s="37" t="s">
        <v>3994</v>
      </c>
      <c r="H16" s="37" t="s">
        <v>3995</v>
      </c>
      <c r="I16" s="37" t="s">
        <v>3996</v>
      </c>
    </row>
    <row r="17" spans="1:9" ht="66" customHeight="1" x14ac:dyDescent="0.2">
      <c r="A17" s="39">
        <v>14</v>
      </c>
      <c r="B17" s="40" t="s">
        <v>3397</v>
      </c>
      <c r="C17" s="40" t="s">
        <v>3997</v>
      </c>
      <c r="D17" s="240" t="s">
        <v>3998</v>
      </c>
      <c r="E17" s="41">
        <v>15</v>
      </c>
      <c r="F17" s="240" t="s">
        <v>3999</v>
      </c>
      <c r="G17" s="40" t="s">
        <v>4000</v>
      </c>
      <c r="H17" s="40" t="s">
        <v>4001</v>
      </c>
      <c r="I17" s="40" t="s">
        <v>4002</v>
      </c>
    </row>
    <row r="18" spans="1:9" ht="66" customHeight="1" x14ac:dyDescent="0.2">
      <c r="A18" s="42">
        <v>15</v>
      </c>
      <c r="B18" s="43" t="s">
        <v>3404</v>
      </c>
      <c r="C18" s="43" t="s">
        <v>4003</v>
      </c>
      <c r="D18" s="241" t="s">
        <v>4004</v>
      </c>
      <c r="E18" s="44">
        <v>20</v>
      </c>
      <c r="F18" s="241" t="s">
        <v>4005</v>
      </c>
      <c r="G18" s="43" t="s">
        <v>4006</v>
      </c>
      <c r="H18" s="43" t="s">
        <v>4007</v>
      </c>
      <c r="I18" s="43" t="s">
        <v>4008</v>
      </c>
    </row>
    <row r="19" spans="1:9" ht="66" customHeight="1" x14ac:dyDescent="0.2">
      <c r="A19" s="45">
        <v>16</v>
      </c>
      <c r="B19" s="46" t="s">
        <v>3411</v>
      </c>
      <c r="C19" s="46" t="s">
        <v>4009</v>
      </c>
      <c r="D19" s="242" t="s">
        <v>4010</v>
      </c>
      <c r="E19" s="47" t="s">
        <v>4011</v>
      </c>
      <c r="F19" s="242" t="s">
        <v>4012</v>
      </c>
      <c r="G19" s="46" t="s">
        <v>4013</v>
      </c>
      <c r="H19" s="46" t="s">
        <v>4014</v>
      </c>
      <c r="I19" s="46" t="s">
        <v>4015</v>
      </c>
    </row>
  </sheetData>
  <mergeCells count="1">
    <mergeCell ref="A1:I2"/>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showGridLines="0" zoomScaleNormal="100" workbookViewId="0">
      <pane ySplit="3" topLeftCell="A6" activePane="bottomLeft" state="frozen"/>
      <selection pane="bottomLeft" activeCell="A4" sqref="A4"/>
    </sheetView>
  </sheetViews>
  <sheetFormatPr baseColWidth="10" defaultColWidth="8.6640625" defaultRowHeight="15" x14ac:dyDescent="0.2"/>
  <cols>
    <col min="1" max="1" width="26" style="52" customWidth="1"/>
    <col min="2" max="2" width="36" style="52" customWidth="1"/>
    <col min="3" max="3" width="52" style="52" customWidth="1"/>
    <col min="4" max="5" width="16" customWidth="1"/>
    <col min="6" max="6" width="42" customWidth="1"/>
    <col min="7" max="7" width="38" style="52" customWidth="1"/>
  </cols>
  <sheetData>
    <row r="1" spans="1:7" ht="27.75" customHeight="1" x14ac:dyDescent="0.2">
      <c r="A1" s="301" t="s">
        <v>4016</v>
      </c>
      <c r="B1" s="292"/>
      <c r="C1" s="292"/>
      <c r="D1" s="292"/>
      <c r="E1" s="292"/>
      <c r="F1" s="292"/>
      <c r="G1" s="292"/>
    </row>
    <row r="2" spans="1:7" ht="4.5" customHeight="1" x14ac:dyDescent="0.2">
      <c r="A2" s="292"/>
      <c r="B2" s="292"/>
      <c r="C2" s="292"/>
      <c r="D2" s="292"/>
      <c r="E2" s="292"/>
      <c r="F2" s="292"/>
      <c r="G2" s="292"/>
    </row>
    <row r="3" spans="1:7" ht="31.5" customHeight="1" x14ac:dyDescent="0.2">
      <c r="A3" s="224" t="s">
        <v>4017</v>
      </c>
      <c r="B3" s="224" t="s">
        <v>4018</v>
      </c>
      <c r="C3" s="224" t="s">
        <v>4019</v>
      </c>
      <c r="D3" s="1" t="s">
        <v>15</v>
      </c>
      <c r="E3" s="1" t="s">
        <v>16</v>
      </c>
      <c r="F3" s="1" t="s">
        <v>4020</v>
      </c>
      <c r="G3" s="224" t="s">
        <v>4021</v>
      </c>
    </row>
    <row r="4" spans="1:7" ht="61.5" customHeight="1" x14ac:dyDescent="0.2">
      <c r="A4" s="231" t="s">
        <v>4022</v>
      </c>
      <c r="B4" s="228" t="s">
        <v>4023</v>
      </c>
      <c r="C4" s="228" t="s">
        <v>4024</v>
      </c>
      <c r="D4" s="3" t="s">
        <v>24</v>
      </c>
      <c r="E4" s="3" t="s">
        <v>4025</v>
      </c>
      <c r="F4" s="3" t="s">
        <v>4026</v>
      </c>
      <c r="G4" s="228" t="s">
        <v>4027</v>
      </c>
    </row>
    <row r="5" spans="1:7" ht="61.5" customHeight="1" x14ac:dyDescent="0.2">
      <c r="A5" s="243" t="s">
        <v>4028</v>
      </c>
      <c r="B5" s="229" t="s">
        <v>4029</v>
      </c>
      <c r="C5" s="229" t="s">
        <v>4030</v>
      </c>
      <c r="D5" s="5" t="s">
        <v>4031</v>
      </c>
      <c r="E5" s="5" t="s">
        <v>47</v>
      </c>
      <c r="F5" s="5" t="s">
        <v>4032</v>
      </c>
      <c r="G5" s="229" t="s">
        <v>4033</v>
      </c>
    </row>
    <row r="6" spans="1:7" ht="61.5" customHeight="1" x14ac:dyDescent="0.2">
      <c r="A6" s="231" t="s">
        <v>4034</v>
      </c>
      <c r="B6" s="228" t="s">
        <v>4035</v>
      </c>
      <c r="C6" s="228" t="s">
        <v>4036</v>
      </c>
      <c r="D6" s="3" t="s">
        <v>24</v>
      </c>
      <c r="E6" s="3" t="s">
        <v>47</v>
      </c>
      <c r="F6" s="3" t="s">
        <v>4037</v>
      </c>
      <c r="G6" s="228" t="s">
        <v>4038</v>
      </c>
    </row>
    <row r="7" spans="1:7" ht="61.5" customHeight="1" x14ac:dyDescent="0.2">
      <c r="A7" s="243" t="s">
        <v>4039</v>
      </c>
      <c r="B7" s="229" t="s">
        <v>4040</v>
      </c>
      <c r="C7" s="229" t="s">
        <v>4041</v>
      </c>
      <c r="D7" s="5" t="s">
        <v>648</v>
      </c>
      <c r="E7" s="5" t="s">
        <v>649</v>
      </c>
      <c r="F7" s="5" t="s">
        <v>4042</v>
      </c>
      <c r="G7" s="229" t="s">
        <v>4043</v>
      </c>
    </row>
    <row r="8" spans="1:7" ht="61.5" customHeight="1" x14ac:dyDescent="0.2">
      <c r="A8" s="231" t="s">
        <v>4044</v>
      </c>
      <c r="B8" s="228" t="s">
        <v>4045</v>
      </c>
      <c r="C8" s="228" t="s">
        <v>4046</v>
      </c>
      <c r="D8" s="3" t="s">
        <v>4047</v>
      </c>
      <c r="E8" s="3" t="s">
        <v>4048</v>
      </c>
      <c r="F8" s="3" t="s">
        <v>4049</v>
      </c>
      <c r="G8" s="228" t="s">
        <v>4050</v>
      </c>
    </row>
    <row r="9" spans="1:7" ht="61.5" customHeight="1" x14ac:dyDescent="0.2">
      <c r="A9" s="243" t="s">
        <v>4051</v>
      </c>
      <c r="B9" s="229" t="s">
        <v>4052</v>
      </c>
      <c r="C9" s="229" t="s">
        <v>4053</v>
      </c>
      <c r="D9" s="5" t="s">
        <v>24</v>
      </c>
      <c r="E9" s="5" t="s">
        <v>24</v>
      </c>
      <c r="F9" s="5" t="s">
        <v>4054</v>
      </c>
      <c r="G9" s="229" t="s">
        <v>4055</v>
      </c>
    </row>
    <row r="10" spans="1:7" ht="61.5" customHeight="1" x14ac:dyDescent="0.2">
      <c r="A10" s="231" t="s">
        <v>1801</v>
      </c>
      <c r="B10" s="228" t="s">
        <v>4056</v>
      </c>
      <c r="C10" s="228" t="s">
        <v>4057</v>
      </c>
      <c r="D10" s="3" t="s">
        <v>4058</v>
      </c>
      <c r="E10" s="3" t="s">
        <v>47</v>
      </c>
      <c r="F10" s="3" t="s">
        <v>4059</v>
      </c>
      <c r="G10" s="228" t="s">
        <v>4060</v>
      </c>
    </row>
    <row r="11" spans="1:7" ht="61.5" customHeight="1" x14ac:dyDescent="0.2">
      <c r="A11" s="243" t="s">
        <v>4061</v>
      </c>
      <c r="B11" s="229" t="s">
        <v>4062</v>
      </c>
      <c r="C11" s="229" t="s">
        <v>4063</v>
      </c>
      <c r="D11" s="5" t="s">
        <v>960</v>
      </c>
      <c r="E11" s="5" t="s">
        <v>153</v>
      </c>
      <c r="F11" s="5" t="s">
        <v>4064</v>
      </c>
      <c r="G11" s="229" t="s">
        <v>4065</v>
      </c>
    </row>
    <row r="12" spans="1:7" ht="61.5" customHeight="1" x14ac:dyDescent="0.2">
      <c r="A12" s="231" t="s">
        <v>4066</v>
      </c>
      <c r="B12" s="228" t="s">
        <v>4067</v>
      </c>
      <c r="C12" s="228" t="s">
        <v>4068</v>
      </c>
      <c r="D12" s="3" t="s">
        <v>4069</v>
      </c>
      <c r="E12" s="3" t="s">
        <v>4070</v>
      </c>
      <c r="F12" s="3" t="s">
        <v>4071</v>
      </c>
      <c r="G12" s="228" t="s">
        <v>4072</v>
      </c>
    </row>
    <row r="13" spans="1:7" ht="61.5" customHeight="1" x14ac:dyDescent="0.2">
      <c r="A13" s="243" t="s">
        <v>4073</v>
      </c>
      <c r="B13" s="229" t="s">
        <v>4074</v>
      </c>
      <c r="C13" s="229" t="s">
        <v>4075</v>
      </c>
      <c r="D13" s="5" t="s">
        <v>363</v>
      </c>
      <c r="E13" s="5" t="s">
        <v>4076</v>
      </c>
      <c r="F13" s="5" t="s">
        <v>4077</v>
      </c>
      <c r="G13" s="229" t="s">
        <v>4078</v>
      </c>
    </row>
    <row r="14" spans="1:7" ht="61.5" customHeight="1" x14ac:dyDescent="0.2">
      <c r="A14" s="231" t="s">
        <v>1736</v>
      </c>
      <c r="B14" s="228" t="s">
        <v>4079</v>
      </c>
      <c r="C14" s="228" t="s">
        <v>4080</v>
      </c>
      <c r="D14" s="3" t="s">
        <v>4081</v>
      </c>
      <c r="E14" s="3" t="s">
        <v>24</v>
      </c>
      <c r="F14" s="3" t="s">
        <v>4082</v>
      </c>
      <c r="G14" s="228" t="s">
        <v>4083</v>
      </c>
    </row>
    <row r="15" spans="1:7" ht="61.5" customHeight="1" x14ac:dyDescent="0.2">
      <c r="A15" s="243" t="s">
        <v>925</v>
      </c>
      <c r="B15" s="229" t="s">
        <v>4084</v>
      </c>
      <c r="C15" s="229" t="s">
        <v>4085</v>
      </c>
      <c r="D15" s="5" t="s">
        <v>912</v>
      </c>
      <c r="E15" s="5" t="s">
        <v>4086</v>
      </c>
      <c r="F15" s="5" t="s">
        <v>4087</v>
      </c>
      <c r="G15" s="229" t="s">
        <v>4088</v>
      </c>
    </row>
    <row r="16" spans="1:7" ht="61.5" customHeight="1" x14ac:dyDescent="0.2">
      <c r="A16" s="231" t="s">
        <v>4089</v>
      </c>
      <c r="B16" s="228" t="s">
        <v>4090</v>
      </c>
      <c r="C16" s="228" t="s">
        <v>4091</v>
      </c>
      <c r="D16" s="3" t="s">
        <v>648</v>
      </c>
      <c r="E16" s="3" t="s">
        <v>648</v>
      </c>
      <c r="F16" s="3" t="s">
        <v>4092</v>
      </c>
      <c r="G16" s="228" t="s">
        <v>4093</v>
      </c>
    </row>
    <row r="17" spans="1:7" ht="61.5" customHeight="1" x14ac:dyDescent="0.2">
      <c r="A17" s="243" t="s">
        <v>4094</v>
      </c>
      <c r="B17" s="229" t="s">
        <v>4095</v>
      </c>
      <c r="C17" s="229" t="s">
        <v>4096</v>
      </c>
      <c r="D17" s="5" t="s">
        <v>4097</v>
      </c>
      <c r="E17" s="5" t="s">
        <v>649</v>
      </c>
      <c r="F17" s="5" t="s">
        <v>4098</v>
      </c>
      <c r="G17" s="229" t="s">
        <v>4099</v>
      </c>
    </row>
    <row r="18" spans="1:7" ht="61.5" customHeight="1" x14ac:dyDescent="0.2">
      <c r="A18" s="231" t="s">
        <v>4100</v>
      </c>
      <c r="B18" s="228" t="s">
        <v>4101</v>
      </c>
      <c r="C18" s="228" t="s">
        <v>4102</v>
      </c>
      <c r="D18" s="3" t="s">
        <v>326</v>
      </c>
      <c r="E18" s="3" t="s">
        <v>24</v>
      </c>
      <c r="F18" s="3" t="s">
        <v>4103</v>
      </c>
      <c r="G18" s="228" t="s">
        <v>4104</v>
      </c>
    </row>
  </sheetData>
  <mergeCells count="1">
    <mergeCell ref="A1:G2"/>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4"/>
  <sheetViews>
    <sheetView showGridLines="0" zoomScaleNormal="100" workbookViewId="0">
      <pane ySplit="4" topLeftCell="A5" activePane="bottomLeft" state="frozen"/>
      <selection pane="bottomLeft" activeCell="A5" sqref="A5"/>
    </sheetView>
  </sheetViews>
  <sheetFormatPr baseColWidth="10" defaultColWidth="8.6640625" defaultRowHeight="15" x14ac:dyDescent="0.2"/>
  <cols>
    <col min="1" max="1" width="4" customWidth="1"/>
    <col min="2" max="2" width="10" customWidth="1"/>
    <col min="3" max="3" width="36" customWidth="1"/>
    <col min="4" max="4" width="22" customWidth="1"/>
    <col min="5" max="5" width="10" customWidth="1"/>
    <col min="6" max="6" width="16" customWidth="1"/>
    <col min="7" max="9" width="18" customWidth="1"/>
    <col min="11" max="11" width="8.6640625" style="52"/>
  </cols>
  <sheetData>
    <row r="1" spans="1:11" ht="27.75" customHeight="1" x14ac:dyDescent="0.2">
      <c r="A1" s="301" t="s">
        <v>4105</v>
      </c>
      <c r="B1" s="292"/>
      <c r="C1" s="292"/>
      <c r="D1" s="292"/>
      <c r="E1" s="292"/>
      <c r="F1" s="292"/>
      <c r="G1" s="292"/>
      <c r="H1" s="292"/>
      <c r="I1" s="292"/>
    </row>
    <row r="2" spans="1:11" ht="4.5" customHeight="1" x14ac:dyDescent="0.2">
      <c r="A2" s="292"/>
      <c r="B2" s="292"/>
      <c r="C2" s="292"/>
      <c r="D2" s="292"/>
      <c r="E2" s="292"/>
      <c r="F2" s="292"/>
      <c r="G2" s="292"/>
      <c r="H2" s="292"/>
      <c r="I2" s="292"/>
    </row>
    <row r="3" spans="1:11" ht="19.5" customHeight="1" x14ac:dyDescent="0.2">
      <c r="A3" s="316" t="s">
        <v>5124</v>
      </c>
      <c r="B3" s="292"/>
      <c r="C3" s="292"/>
      <c r="D3" s="292"/>
      <c r="E3" s="292"/>
      <c r="F3" s="292"/>
      <c r="G3" s="292"/>
      <c r="H3" s="292"/>
      <c r="I3" s="292"/>
    </row>
    <row r="4" spans="1:11" ht="31.5" customHeight="1" x14ac:dyDescent="0.2">
      <c r="A4" s="48" t="s">
        <v>1</v>
      </c>
      <c r="B4" s="48" t="s">
        <v>4106</v>
      </c>
      <c r="C4" s="48" t="s">
        <v>4107</v>
      </c>
      <c r="D4" s="48" t="s">
        <v>4108</v>
      </c>
      <c r="E4" s="48" t="s">
        <v>5</v>
      </c>
      <c r="F4" s="48" t="s">
        <v>4109</v>
      </c>
      <c r="G4" s="48" t="s">
        <v>4110</v>
      </c>
      <c r="H4" s="48" t="s">
        <v>4111</v>
      </c>
      <c r="I4" s="48" t="s">
        <v>4112</v>
      </c>
      <c r="K4" s="244" t="s">
        <v>4113</v>
      </c>
    </row>
    <row r="5" spans="1:11" ht="21.75" customHeight="1" x14ac:dyDescent="0.2">
      <c r="A5" s="7">
        <v>1</v>
      </c>
      <c r="B5" s="7"/>
      <c r="C5" s="3"/>
      <c r="D5" s="7"/>
      <c r="E5" s="7"/>
      <c r="F5" s="7"/>
      <c r="G5" s="7"/>
      <c r="H5" s="7"/>
      <c r="I5" s="7"/>
    </row>
    <row r="6" spans="1:11" ht="21.75" customHeight="1" x14ac:dyDescent="0.2">
      <c r="A6" s="49">
        <v>2</v>
      </c>
      <c r="B6" s="49"/>
      <c r="C6" s="50"/>
      <c r="D6" s="49"/>
      <c r="E6" s="49"/>
      <c r="F6" s="49"/>
      <c r="G6" s="49"/>
      <c r="H6" s="49"/>
      <c r="I6" s="49"/>
    </row>
    <row r="7" spans="1:11" ht="21.75" customHeight="1" x14ac:dyDescent="0.2">
      <c r="A7" s="7">
        <v>3</v>
      </c>
      <c r="B7" s="7"/>
      <c r="C7" s="3"/>
      <c r="D7" s="7"/>
      <c r="E7" s="7"/>
      <c r="F7" s="7"/>
      <c r="G7" s="7"/>
      <c r="H7" s="7"/>
      <c r="I7" s="7"/>
    </row>
    <row r="8" spans="1:11" ht="21.75" customHeight="1" x14ac:dyDescent="0.2">
      <c r="A8" s="49">
        <v>4</v>
      </c>
      <c r="B8" s="49"/>
      <c r="C8" s="50"/>
      <c r="D8" s="49"/>
      <c r="E8" s="49"/>
      <c r="F8" s="49"/>
      <c r="G8" s="49"/>
      <c r="H8" s="49"/>
      <c r="I8" s="49"/>
    </row>
    <row r="9" spans="1:11" ht="21.75" customHeight="1" x14ac:dyDescent="0.2">
      <c r="A9" s="7">
        <v>5</v>
      </c>
      <c r="B9" s="7"/>
      <c r="C9" s="3"/>
      <c r="D9" s="7"/>
      <c r="E9" s="7"/>
      <c r="F9" s="7"/>
      <c r="G9" s="7"/>
      <c r="H9" s="7"/>
      <c r="I9" s="7"/>
    </row>
    <row r="10" spans="1:11" ht="21.75" customHeight="1" x14ac:dyDescent="0.2">
      <c r="A10" s="49">
        <v>6</v>
      </c>
      <c r="B10" s="49"/>
      <c r="C10" s="50"/>
      <c r="D10" s="49"/>
      <c r="E10" s="49"/>
      <c r="F10" s="49"/>
      <c r="G10" s="49"/>
      <c r="H10" s="49"/>
      <c r="I10" s="49"/>
    </row>
    <row r="11" spans="1:11" ht="21.75" customHeight="1" x14ac:dyDescent="0.2">
      <c r="A11" s="7">
        <v>7</v>
      </c>
      <c r="B11" s="7"/>
      <c r="C11" s="3"/>
      <c r="D11" s="7"/>
      <c r="E11" s="7"/>
      <c r="F11" s="7"/>
      <c r="G11" s="7"/>
      <c r="H11" s="7"/>
      <c r="I11" s="7"/>
    </row>
    <row r="12" spans="1:11" ht="21.75" customHeight="1" x14ac:dyDescent="0.2">
      <c r="A12" s="49">
        <v>8</v>
      </c>
      <c r="B12" s="49"/>
      <c r="C12" s="50"/>
      <c r="D12" s="49"/>
      <c r="E12" s="49"/>
      <c r="F12" s="49"/>
      <c r="G12" s="49"/>
      <c r="H12" s="49"/>
      <c r="I12" s="49"/>
    </row>
    <row r="13" spans="1:11" ht="21.75" customHeight="1" x14ac:dyDescent="0.2">
      <c r="A13" s="7">
        <v>9</v>
      </c>
      <c r="B13" s="7"/>
      <c r="C13" s="3"/>
      <c r="D13" s="7"/>
      <c r="E13" s="7"/>
      <c r="F13" s="7"/>
      <c r="G13" s="7"/>
      <c r="H13" s="7"/>
      <c r="I13" s="7"/>
    </row>
    <row r="14" spans="1:11" ht="21.75" customHeight="1" x14ac:dyDescent="0.2">
      <c r="A14" s="49">
        <v>10</v>
      </c>
      <c r="B14" s="49"/>
      <c r="C14" s="50"/>
      <c r="D14" s="49"/>
      <c r="E14" s="49"/>
      <c r="F14" s="49"/>
      <c r="G14" s="49"/>
      <c r="H14" s="49"/>
      <c r="I14" s="49"/>
    </row>
    <row r="15" spans="1:11" ht="21.75" customHeight="1" x14ac:dyDescent="0.2">
      <c r="A15" s="7">
        <v>11</v>
      </c>
      <c r="B15" s="7"/>
      <c r="C15" s="3"/>
      <c r="D15" s="7"/>
      <c r="E15" s="7"/>
      <c r="F15" s="7"/>
      <c r="G15" s="7"/>
      <c r="H15" s="7"/>
      <c r="I15" s="7"/>
    </row>
    <row r="16" spans="1:11" ht="21.75" customHeight="1" x14ac:dyDescent="0.2">
      <c r="A16" s="49">
        <v>12</v>
      </c>
      <c r="B16" s="49"/>
      <c r="C16" s="50"/>
      <c r="D16" s="49"/>
      <c r="E16" s="49"/>
      <c r="F16" s="49"/>
      <c r="G16" s="49"/>
      <c r="H16" s="49"/>
      <c r="I16" s="49"/>
    </row>
    <row r="17" spans="1:9" ht="21.75" customHeight="1" x14ac:dyDescent="0.2">
      <c r="A17" s="7">
        <v>13</v>
      </c>
      <c r="B17" s="7"/>
      <c r="C17" s="3"/>
      <c r="D17" s="7"/>
      <c r="E17" s="7"/>
      <c r="F17" s="7"/>
      <c r="G17" s="7"/>
      <c r="H17" s="7"/>
      <c r="I17" s="7"/>
    </row>
    <row r="18" spans="1:9" ht="21.75" customHeight="1" x14ac:dyDescent="0.2">
      <c r="A18" s="49">
        <v>14</v>
      </c>
      <c r="B18" s="49"/>
      <c r="C18" s="50"/>
      <c r="D18" s="49"/>
      <c r="E18" s="49"/>
      <c r="F18" s="49"/>
      <c r="G18" s="49"/>
      <c r="H18" s="49"/>
      <c r="I18" s="49"/>
    </row>
    <row r="19" spans="1:9" ht="21.75" customHeight="1" x14ac:dyDescent="0.2">
      <c r="A19" s="7">
        <v>15</v>
      </c>
      <c r="B19" s="7"/>
      <c r="C19" s="3"/>
      <c r="D19" s="7"/>
      <c r="E19" s="7"/>
      <c r="F19" s="7"/>
      <c r="G19" s="7"/>
      <c r="H19" s="7"/>
      <c r="I19" s="7"/>
    </row>
    <row r="20" spans="1:9" ht="21.75" customHeight="1" x14ac:dyDescent="0.2">
      <c r="A20" s="49">
        <v>16</v>
      </c>
      <c r="B20" s="49"/>
      <c r="C20" s="50"/>
      <c r="D20" s="49"/>
      <c r="E20" s="49"/>
      <c r="F20" s="49"/>
      <c r="G20" s="49"/>
      <c r="H20" s="49"/>
      <c r="I20" s="49"/>
    </row>
    <row r="21" spans="1:9" ht="21.75" customHeight="1" x14ac:dyDescent="0.2">
      <c r="A21" s="7">
        <v>17</v>
      </c>
      <c r="B21" s="7"/>
      <c r="C21" s="3"/>
      <c r="D21" s="7"/>
      <c r="E21" s="7"/>
      <c r="F21" s="7"/>
      <c r="G21" s="7"/>
      <c r="H21" s="7"/>
      <c r="I21" s="7"/>
    </row>
    <row r="22" spans="1:9" ht="21.75" customHeight="1" x14ac:dyDescent="0.2">
      <c r="A22" s="49">
        <v>18</v>
      </c>
      <c r="B22" s="49"/>
      <c r="C22" s="50"/>
      <c r="D22" s="49"/>
      <c r="E22" s="49"/>
      <c r="F22" s="49"/>
      <c r="G22" s="49"/>
      <c r="H22" s="49"/>
      <c r="I22" s="49"/>
    </row>
    <row r="23" spans="1:9" ht="21.75" customHeight="1" x14ac:dyDescent="0.2">
      <c r="A23" s="7">
        <v>19</v>
      </c>
      <c r="B23" s="7"/>
      <c r="C23" s="3"/>
      <c r="D23" s="7"/>
      <c r="E23" s="7"/>
      <c r="F23" s="7"/>
      <c r="G23" s="7"/>
      <c r="H23" s="7"/>
      <c r="I23" s="7"/>
    </row>
    <row r="24" spans="1:9" ht="21.75" customHeight="1" x14ac:dyDescent="0.2">
      <c r="A24" s="49">
        <v>20</v>
      </c>
      <c r="B24" s="49"/>
      <c r="C24" s="50"/>
      <c r="D24" s="49"/>
      <c r="E24" s="49"/>
      <c r="F24" s="49"/>
      <c r="G24" s="49"/>
      <c r="H24" s="49"/>
      <c r="I24" s="49"/>
    </row>
    <row r="25" spans="1:9" ht="21.75" customHeight="1" x14ac:dyDescent="0.2">
      <c r="A25" s="7">
        <v>21</v>
      </c>
      <c r="B25" s="7"/>
      <c r="C25" s="3"/>
      <c r="D25" s="7"/>
      <c r="E25" s="7"/>
      <c r="F25" s="7"/>
      <c r="G25" s="7"/>
      <c r="H25" s="7"/>
      <c r="I25" s="7"/>
    </row>
    <row r="26" spans="1:9" ht="21.75" customHeight="1" x14ac:dyDescent="0.2">
      <c r="A26" s="49">
        <v>22</v>
      </c>
      <c r="B26" s="49"/>
      <c r="C26" s="50"/>
      <c r="D26" s="49"/>
      <c r="E26" s="49"/>
      <c r="F26" s="49"/>
      <c r="G26" s="49"/>
      <c r="H26" s="49"/>
      <c r="I26" s="49"/>
    </row>
    <row r="27" spans="1:9" ht="21.75" customHeight="1" x14ac:dyDescent="0.2">
      <c r="A27" s="7">
        <v>23</v>
      </c>
      <c r="B27" s="7"/>
      <c r="C27" s="3"/>
      <c r="D27" s="7"/>
      <c r="E27" s="7"/>
      <c r="F27" s="7"/>
      <c r="G27" s="7"/>
      <c r="H27" s="7"/>
      <c r="I27" s="7"/>
    </row>
    <row r="28" spans="1:9" ht="21.75" customHeight="1" x14ac:dyDescent="0.2">
      <c r="A28" s="49">
        <v>24</v>
      </c>
      <c r="B28" s="49"/>
      <c r="C28" s="50"/>
      <c r="D28" s="49"/>
      <c r="E28" s="49"/>
      <c r="F28" s="49"/>
      <c r="G28" s="49"/>
      <c r="H28" s="49"/>
      <c r="I28" s="49"/>
    </row>
    <row r="29" spans="1:9" ht="21.75" customHeight="1" x14ac:dyDescent="0.2">
      <c r="A29" s="7">
        <v>25</v>
      </c>
      <c r="B29" s="7"/>
      <c r="C29" s="3"/>
      <c r="D29" s="7"/>
      <c r="E29" s="7"/>
      <c r="F29" s="7"/>
      <c r="G29" s="7"/>
      <c r="H29" s="7"/>
      <c r="I29" s="7"/>
    </row>
    <row r="30" spans="1:9" ht="21.75" customHeight="1" x14ac:dyDescent="0.2">
      <c r="A30" s="49">
        <v>26</v>
      </c>
      <c r="B30" s="49"/>
      <c r="C30" s="50"/>
      <c r="D30" s="49"/>
      <c r="E30" s="49"/>
      <c r="F30" s="49"/>
      <c r="G30" s="49"/>
      <c r="H30" s="49"/>
      <c r="I30" s="49"/>
    </row>
    <row r="31" spans="1:9" ht="21.75" customHeight="1" x14ac:dyDescent="0.2">
      <c r="A31" s="7">
        <v>27</v>
      </c>
      <c r="B31" s="7"/>
      <c r="C31" s="3"/>
      <c r="D31" s="7"/>
      <c r="E31" s="7"/>
      <c r="F31" s="7"/>
      <c r="G31" s="7"/>
      <c r="H31" s="7"/>
      <c r="I31" s="7"/>
    </row>
    <row r="32" spans="1:9" ht="21.75" customHeight="1" x14ac:dyDescent="0.2">
      <c r="A32" s="49">
        <v>28</v>
      </c>
      <c r="B32" s="49"/>
      <c r="C32" s="50"/>
      <c r="D32" s="49"/>
      <c r="E32" s="49"/>
      <c r="F32" s="49"/>
      <c r="G32" s="49"/>
      <c r="H32" s="49"/>
      <c r="I32" s="49"/>
    </row>
    <row r="33" spans="1:9" ht="21.75" customHeight="1" x14ac:dyDescent="0.2">
      <c r="A33" s="7">
        <v>29</v>
      </c>
      <c r="B33" s="7"/>
      <c r="C33" s="3"/>
      <c r="D33" s="7"/>
      <c r="E33" s="7"/>
      <c r="F33" s="7"/>
      <c r="G33" s="7"/>
      <c r="H33" s="7"/>
      <c r="I33" s="7"/>
    </row>
    <row r="34" spans="1:9" ht="21.75" customHeight="1" x14ac:dyDescent="0.2">
      <c r="A34" s="49">
        <v>30</v>
      </c>
      <c r="B34" s="49"/>
      <c r="C34" s="50"/>
      <c r="D34" s="49"/>
      <c r="E34" s="49"/>
      <c r="F34" s="49"/>
      <c r="G34" s="49"/>
      <c r="H34" s="49"/>
      <c r="I34" s="49"/>
    </row>
    <row r="35" spans="1:9" ht="21.75" customHeight="1" x14ac:dyDescent="0.2">
      <c r="A35" s="7">
        <v>31</v>
      </c>
      <c r="B35" s="7"/>
      <c r="C35" s="3"/>
      <c r="D35" s="7"/>
      <c r="E35" s="7"/>
      <c r="F35" s="7"/>
      <c r="G35" s="7"/>
      <c r="H35" s="7"/>
      <c r="I35" s="7"/>
    </row>
    <row r="36" spans="1:9" ht="21.75" customHeight="1" x14ac:dyDescent="0.2">
      <c r="A36" s="49">
        <v>32</v>
      </c>
      <c r="B36" s="49"/>
      <c r="C36" s="50"/>
      <c r="D36" s="49"/>
      <c r="E36" s="49"/>
      <c r="F36" s="49"/>
      <c r="G36" s="49"/>
      <c r="H36" s="49"/>
      <c r="I36" s="49"/>
    </row>
    <row r="37" spans="1:9" ht="21.75" customHeight="1" x14ac:dyDescent="0.2">
      <c r="A37" s="7">
        <v>33</v>
      </c>
      <c r="B37" s="7"/>
      <c r="C37" s="3"/>
      <c r="D37" s="7"/>
      <c r="E37" s="7"/>
      <c r="F37" s="7"/>
      <c r="G37" s="7"/>
      <c r="H37" s="7"/>
      <c r="I37" s="7"/>
    </row>
    <row r="38" spans="1:9" ht="21.75" customHeight="1" x14ac:dyDescent="0.2">
      <c r="A38" s="49">
        <v>34</v>
      </c>
      <c r="B38" s="49"/>
      <c r="C38" s="50"/>
      <c r="D38" s="49"/>
      <c r="E38" s="49"/>
      <c r="F38" s="49"/>
      <c r="G38" s="49"/>
      <c r="H38" s="49"/>
      <c r="I38" s="49"/>
    </row>
    <row r="39" spans="1:9" ht="21.75" customHeight="1" x14ac:dyDescent="0.2">
      <c r="A39" s="7">
        <v>35</v>
      </c>
      <c r="B39" s="7"/>
      <c r="C39" s="3"/>
      <c r="D39" s="7"/>
      <c r="E39" s="7"/>
      <c r="F39" s="7"/>
      <c r="G39" s="7"/>
      <c r="H39" s="7"/>
      <c r="I39" s="7"/>
    </row>
    <row r="40" spans="1:9" ht="21.75" customHeight="1" x14ac:dyDescent="0.2">
      <c r="A40" s="49">
        <v>36</v>
      </c>
      <c r="B40" s="49"/>
      <c r="C40" s="50"/>
      <c r="D40" s="49"/>
      <c r="E40" s="49"/>
      <c r="F40" s="49"/>
      <c r="G40" s="49"/>
      <c r="H40" s="49"/>
      <c r="I40" s="49"/>
    </row>
    <row r="41" spans="1:9" ht="21.75" customHeight="1" x14ac:dyDescent="0.2">
      <c r="A41" s="7">
        <v>37</v>
      </c>
      <c r="B41" s="7"/>
      <c r="C41" s="3"/>
      <c r="D41" s="7"/>
      <c r="E41" s="7"/>
      <c r="F41" s="7"/>
      <c r="G41" s="7"/>
      <c r="H41" s="7"/>
      <c r="I41" s="7"/>
    </row>
    <row r="42" spans="1:9" ht="21.75" customHeight="1" x14ac:dyDescent="0.2">
      <c r="A42" s="49">
        <v>38</v>
      </c>
      <c r="B42" s="49"/>
      <c r="C42" s="50"/>
      <c r="D42" s="49"/>
      <c r="E42" s="49"/>
      <c r="F42" s="49"/>
      <c r="G42" s="49"/>
      <c r="H42" s="49"/>
      <c r="I42" s="49"/>
    </row>
    <row r="43" spans="1:9" ht="21.75" customHeight="1" x14ac:dyDescent="0.2">
      <c r="A43" s="7">
        <v>39</v>
      </c>
      <c r="B43" s="7"/>
      <c r="C43" s="3"/>
      <c r="D43" s="7"/>
      <c r="E43" s="7"/>
      <c r="F43" s="7"/>
      <c r="G43" s="7"/>
      <c r="H43" s="7"/>
      <c r="I43" s="7"/>
    </row>
    <row r="44" spans="1:9" ht="21.75" customHeight="1" x14ac:dyDescent="0.2">
      <c r="A44" s="49">
        <v>40</v>
      </c>
      <c r="B44" s="49"/>
      <c r="C44" s="50"/>
      <c r="D44" s="49"/>
      <c r="E44" s="49"/>
      <c r="F44" s="49"/>
      <c r="G44" s="49"/>
      <c r="H44" s="49"/>
      <c r="I44" s="49"/>
    </row>
    <row r="45" spans="1:9" ht="21.75" customHeight="1" x14ac:dyDescent="0.2">
      <c r="A45" s="7">
        <v>41</v>
      </c>
      <c r="B45" s="7"/>
      <c r="C45" s="3"/>
      <c r="D45" s="7"/>
      <c r="E45" s="7"/>
      <c r="F45" s="7"/>
      <c r="G45" s="7"/>
      <c r="H45" s="7"/>
      <c r="I45" s="7"/>
    </row>
    <row r="46" spans="1:9" ht="21.75" customHeight="1" x14ac:dyDescent="0.2">
      <c r="A46" s="49">
        <v>42</v>
      </c>
      <c r="B46" s="49"/>
      <c r="C46" s="50"/>
      <c r="D46" s="49"/>
      <c r="E46" s="49"/>
      <c r="F46" s="49"/>
      <c r="G46" s="49"/>
      <c r="H46" s="49"/>
      <c r="I46" s="49"/>
    </row>
    <row r="47" spans="1:9" ht="21.75" customHeight="1" x14ac:dyDescent="0.2">
      <c r="A47" s="7">
        <v>43</v>
      </c>
      <c r="B47" s="7"/>
      <c r="C47" s="3"/>
      <c r="D47" s="7"/>
      <c r="E47" s="7"/>
      <c r="F47" s="7"/>
      <c r="G47" s="7"/>
      <c r="H47" s="7"/>
      <c r="I47" s="7"/>
    </row>
    <row r="48" spans="1:9" ht="21.75" customHeight="1" x14ac:dyDescent="0.2">
      <c r="A48" s="49">
        <v>44</v>
      </c>
      <c r="B48" s="49"/>
      <c r="C48" s="50"/>
      <c r="D48" s="49"/>
      <c r="E48" s="49"/>
      <c r="F48" s="49"/>
      <c r="G48" s="49"/>
      <c r="H48" s="49"/>
      <c r="I48" s="49"/>
    </row>
    <row r="49" spans="1:9" ht="21.75" customHeight="1" x14ac:dyDescent="0.2">
      <c r="A49" s="7">
        <v>45</v>
      </c>
      <c r="B49" s="7"/>
      <c r="C49" s="3"/>
      <c r="D49" s="7"/>
      <c r="E49" s="7"/>
      <c r="F49" s="7"/>
      <c r="G49" s="7"/>
      <c r="H49" s="7"/>
      <c r="I49" s="7"/>
    </row>
    <row r="50" spans="1:9" ht="21.75" customHeight="1" x14ac:dyDescent="0.2">
      <c r="A50" s="49">
        <v>46</v>
      </c>
      <c r="B50" s="49"/>
      <c r="C50" s="50"/>
      <c r="D50" s="49"/>
      <c r="E50" s="49"/>
      <c r="F50" s="49"/>
      <c r="G50" s="49"/>
      <c r="H50" s="49"/>
      <c r="I50" s="49"/>
    </row>
    <row r="51" spans="1:9" ht="21.75" customHeight="1" x14ac:dyDescent="0.2">
      <c r="A51" s="7">
        <v>47</v>
      </c>
      <c r="B51" s="7"/>
      <c r="C51" s="3"/>
      <c r="D51" s="7"/>
      <c r="E51" s="7"/>
      <c r="F51" s="7"/>
      <c r="G51" s="7"/>
      <c r="H51" s="7"/>
      <c r="I51" s="7"/>
    </row>
    <row r="52" spans="1:9" ht="21.75" customHeight="1" x14ac:dyDescent="0.2">
      <c r="A52" s="49">
        <v>48</v>
      </c>
      <c r="B52" s="49"/>
      <c r="C52" s="50"/>
      <c r="D52" s="49"/>
      <c r="E52" s="49"/>
      <c r="F52" s="49"/>
      <c r="G52" s="49"/>
      <c r="H52" s="49"/>
      <c r="I52" s="49"/>
    </row>
    <row r="53" spans="1:9" ht="21.75" customHeight="1" x14ac:dyDescent="0.2">
      <c r="A53" s="7">
        <v>49</v>
      </c>
      <c r="B53" s="7"/>
      <c r="C53" s="3"/>
      <c r="D53" s="7"/>
      <c r="E53" s="7"/>
      <c r="F53" s="7"/>
      <c r="G53" s="7"/>
      <c r="H53" s="7"/>
      <c r="I53" s="7"/>
    </row>
    <row r="54" spans="1:9" ht="21.75" customHeight="1" x14ac:dyDescent="0.2">
      <c r="A54" s="49">
        <v>50</v>
      </c>
      <c r="B54" s="49"/>
      <c r="C54" s="50"/>
      <c r="D54" s="49"/>
      <c r="E54" s="49"/>
      <c r="F54" s="49"/>
      <c r="G54" s="49"/>
      <c r="H54" s="49"/>
      <c r="I54" s="49"/>
    </row>
    <row r="55" spans="1:9" ht="21.75" customHeight="1" x14ac:dyDescent="0.2">
      <c r="A55" s="7">
        <v>51</v>
      </c>
      <c r="B55" s="7"/>
      <c r="C55" s="3"/>
      <c r="D55" s="7"/>
      <c r="E55" s="7"/>
      <c r="F55" s="7"/>
      <c r="G55" s="7"/>
      <c r="H55" s="7"/>
      <c r="I55" s="7"/>
    </row>
    <row r="56" spans="1:9" ht="21.75" customHeight="1" x14ac:dyDescent="0.2">
      <c r="A56" s="49">
        <v>52</v>
      </c>
      <c r="B56" s="49"/>
      <c r="C56" s="50"/>
      <c r="D56" s="49"/>
      <c r="E56" s="49"/>
      <c r="F56" s="49"/>
      <c r="G56" s="49"/>
      <c r="H56" s="49"/>
      <c r="I56" s="49"/>
    </row>
    <row r="57" spans="1:9" ht="21.75" customHeight="1" x14ac:dyDescent="0.2">
      <c r="A57" s="7">
        <v>53</v>
      </c>
      <c r="B57" s="7"/>
      <c r="C57" s="3"/>
      <c r="D57" s="7"/>
      <c r="E57" s="7"/>
      <c r="F57" s="7"/>
      <c r="G57" s="7"/>
      <c r="H57" s="7"/>
      <c r="I57" s="7"/>
    </row>
    <row r="58" spans="1:9" ht="21.75" customHeight="1" x14ac:dyDescent="0.2">
      <c r="A58" s="49">
        <v>54</v>
      </c>
      <c r="B58" s="49"/>
      <c r="C58" s="50"/>
      <c r="D58" s="49"/>
      <c r="E58" s="49"/>
      <c r="F58" s="49"/>
      <c r="G58" s="49"/>
      <c r="H58" s="49"/>
      <c r="I58" s="49"/>
    </row>
    <row r="59" spans="1:9" ht="21.75" customHeight="1" x14ac:dyDescent="0.2">
      <c r="A59" s="7">
        <v>55</v>
      </c>
      <c r="B59" s="7"/>
      <c r="C59" s="3"/>
      <c r="D59" s="7"/>
      <c r="E59" s="7"/>
      <c r="F59" s="7"/>
      <c r="G59" s="7"/>
      <c r="H59" s="7"/>
      <c r="I59" s="7"/>
    </row>
    <row r="60" spans="1:9" ht="21.75" customHeight="1" x14ac:dyDescent="0.2">
      <c r="A60" s="49">
        <v>56</v>
      </c>
      <c r="B60" s="49"/>
      <c r="C60" s="50"/>
      <c r="D60" s="49"/>
      <c r="E60" s="49"/>
      <c r="F60" s="49"/>
      <c r="G60" s="49"/>
      <c r="H60" s="49"/>
      <c r="I60" s="49"/>
    </row>
    <row r="61" spans="1:9" ht="21.75" customHeight="1" x14ac:dyDescent="0.2">
      <c r="A61" s="7">
        <v>57</v>
      </c>
      <c r="B61" s="7"/>
      <c r="C61" s="3"/>
      <c r="D61" s="7"/>
      <c r="E61" s="7"/>
      <c r="F61" s="7"/>
      <c r="G61" s="7"/>
      <c r="H61" s="7"/>
      <c r="I61" s="7"/>
    </row>
    <row r="62" spans="1:9" ht="21.75" customHeight="1" x14ac:dyDescent="0.2">
      <c r="A62" s="49">
        <v>58</v>
      </c>
      <c r="B62" s="49"/>
      <c r="C62" s="50"/>
      <c r="D62" s="49"/>
      <c r="E62" s="49"/>
      <c r="F62" s="49"/>
      <c r="G62" s="49"/>
      <c r="H62" s="49"/>
      <c r="I62" s="49"/>
    </row>
    <row r="63" spans="1:9" ht="21.75" customHeight="1" x14ac:dyDescent="0.2">
      <c r="A63" s="7">
        <v>59</v>
      </c>
      <c r="B63" s="7"/>
      <c r="C63" s="3"/>
      <c r="D63" s="7"/>
      <c r="E63" s="7"/>
      <c r="F63" s="7"/>
      <c r="G63" s="7"/>
      <c r="H63" s="7"/>
      <c r="I63" s="7"/>
    </row>
    <row r="64" spans="1:9" ht="21.75" customHeight="1" x14ac:dyDescent="0.2">
      <c r="A64" s="49">
        <v>60</v>
      </c>
      <c r="B64" s="49"/>
      <c r="C64" s="50"/>
      <c r="D64" s="49"/>
      <c r="E64" s="49"/>
      <c r="F64" s="49"/>
      <c r="G64" s="49"/>
      <c r="H64" s="49"/>
      <c r="I64" s="49"/>
    </row>
    <row r="65" spans="1:9" ht="21.75" customHeight="1" x14ac:dyDescent="0.2">
      <c r="A65" s="7">
        <v>61</v>
      </c>
      <c r="B65" s="7"/>
      <c r="C65" s="3"/>
      <c r="D65" s="7"/>
      <c r="E65" s="7"/>
      <c r="F65" s="7"/>
      <c r="G65" s="7"/>
      <c r="H65" s="7"/>
      <c r="I65" s="7"/>
    </row>
    <row r="66" spans="1:9" ht="21.75" customHeight="1" x14ac:dyDescent="0.2">
      <c r="A66" s="49">
        <v>62</v>
      </c>
      <c r="B66" s="49"/>
      <c r="C66" s="50"/>
      <c r="D66" s="49"/>
      <c r="E66" s="49"/>
      <c r="F66" s="49"/>
      <c r="G66" s="49"/>
      <c r="H66" s="49"/>
      <c r="I66" s="49"/>
    </row>
    <row r="67" spans="1:9" ht="21.75" customHeight="1" x14ac:dyDescent="0.2">
      <c r="A67" s="7">
        <v>63</v>
      </c>
      <c r="B67" s="7"/>
      <c r="C67" s="3"/>
      <c r="D67" s="7"/>
      <c r="E67" s="7"/>
      <c r="F67" s="7"/>
      <c r="G67" s="7"/>
      <c r="H67" s="7"/>
      <c r="I67" s="7"/>
    </row>
    <row r="68" spans="1:9" ht="21.75" customHeight="1" x14ac:dyDescent="0.2">
      <c r="A68" s="49">
        <v>64</v>
      </c>
      <c r="B68" s="49"/>
      <c r="C68" s="50"/>
      <c r="D68" s="49"/>
      <c r="E68" s="49"/>
      <c r="F68" s="49"/>
      <c r="G68" s="49"/>
      <c r="H68" s="49"/>
      <c r="I68" s="49"/>
    </row>
    <row r="69" spans="1:9" ht="21.75" customHeight="1" x14ac:dyDescent="0.2">
      <c r="A69" s="7">
        <v>65</v>
      </c>
      <c r="B69" s="7"/>
      <c r="C69" s="3"/>
      <c r="D69" s="7"/>
      <c r="E69" s="7"/>
      <c r="F69" s="7"/>
      <c r="G69" s="7"/>
      <c r="H69" s="7"/>
      <c r="I69" s="7"/>
    </row>
    <row r="70" spans="1:9" ht="21.75" customHeight="1" x14ac:dyDescent="0.2">
      <c r="A70" s="49">
        <v>66</v>
      </c>
      <c r="B70" s="49"/>
      <c r="C70" s="50"/>
      <c r="D70" s="49"/>
      <c r="E70" s="49"/>
      <c r="F70" s="49"/>
      <c r="G70" s="49"/>
      <c r="H70" s="49"/>
      <c r="I70" s="49"/>
    </row>
    <row r="71" spans="1:9" ht="21.75" customHeight="1" x14ac:dyDescent="0.2">
      <c r="A71" s="7">
        <v>67</v>
      </c>
      <c r="B71" s="7"/>
      <c r="C71" s="3"/>
      <c r="D71" s="7"/>
      <c r="E71" s="7"/>
      <c r="F71" s="7"/>
      <c r="G71" s="7"/>
      <c r="H71" s="7"/>
      <c r="I71" s="7"/>
    </row>
    <row r="72" spans="1:9" ht="21.75" customHeight="1" x14ac:dyDescent="0.2">
      <c r="A72" s="49">
        <v>68</v>
      </c>
      <c r="B72" s="49"/>
      <c r="C72" s="50"/>
      <c r="D72" s="49"/>
      <c r="E72" s="49"/>
      <c r="F72" s="49"/>
      <c r="G72" s="49"/>
      <c r="H72" s="49"/>
      <c r="I72" s="49"/>
    </row>
    <row r="73" spans="1:9" ht="21.75" customHeight="1" x14ac:dyDescent="0.2">
      <c r="A73" s="7">
        <v>69</v>
      </c>
      <c r="B73" s="7"/>
      <c r="C73" s="3"/>
      <c r="D73" s="7"/>
      <c r="E73" s="7"/>
      <c r="F73" s="7"/>
      <c r="G73" s="7"/>
      <c r="H73" s="7"/>
      <c r="I73" s="7"/>
    </row>
    <row r="74" spans="1:9" ht="21.75" customHeight="1" x14ac:dyDescent="0.2">
      <c r="A74" s="49">
        <v>70</v>
      </c>
      <c r="B74" s="49"/>
      <c r="C74" s="50"/>
      <c r="D74" s="49"/>
      <c r="E74" s="49"/>
      <c r="F74" s="49"/>
      <c r="G74" s="49"/>
      <c r="H74" s="49"/>
      <c r="I74" s="49"/>
    </row>
    <row r="75" spans="1:9" ht="21.75" customHeight="1" x14ac:dyDescent="0.2">
      <c r="A75" s="7">
        <v>71</v>
      </c>
      <c r="B75" s="7"/>
      <c r="C75" s="3"/>
      <c r="D75" s="7"/>
      <c r="E75" s="7"/>
      <c r="F75" s="7"/>
      <c r="G75" s="7"/>
      <c r="H75" s="7"/>
      <c r="I75" s="7"/>
    </row>
    <row r="76" spans="1:9" ht="21.75" customHeight="1" x14ac:dyDescent="0.2">
      <c r="A76" s="49">
        <v>72</v>
      </c>
      <c r="B76" s="49"/>
      <c r="C76" s="50"/>
      <c r="D76" s="49"/>
      <c r="E76" s="49"/>
      <c r="F76" s="49"/>
      <c r="G76" s="49"/>
      <c r="H76" s="49"/>
      <c r="I76" s="49"/>
    </row>
    <row r="77" spans="1:9" ht="21.75" customHeight="1" x14ac:dyDescent="0.2">
      <c r="A77" s="7">
        <v>73</v>
      </c>
      <c r="B77" s="7"/>
      <c r="C77" s="3"/>
      <c r="D77" s="7"/>
      <c r="E77" s="7"/>
      <c r="F77" s="7"/>
      <c r="G77" s="7"/>
      <c r="H77" s="7"/>
      <c r="I77" s="7"/>
    </row>
    <row r="78" spans="1:9" ht="21.75" customHeight="1" x14ac:dyDescent="0.2">
      <c r="A78" s="49">
        <v>74</v>
      </c>
      <c r="B78" s="49"/>
      <c r="C78" s="50"/>
      <c r="D78" s="49"/>
      <c r="E78" s="49"/>
      <c r="F78" s="49"/>
      <c r="G78" s="49"/>
      <c r="H78" s="49"/>
      <c r="I78" s="49"/>
    </row>
    <row r="79" spans="1:9" ht="21.75" customHeight="1" x14ac:dyDescent="0.2">
      <c r="A79" s="7">
        <v>75</v>
      </c>
      <c r="B79" s="7"/>
      <c r="C79" s="3"/>
      <c r="D79" s="7"/>
      <c r="E79" s="7"/>
      <c r="F79" s="7"/>
      <c r="G79" s="7"/>
      <c r="H79" s="7"/>
      <c r="I79" s="7"/>
    </row>
    <row r="80" spans="1:9" ht="21.75" customHeight="1" x14ac:dyDescent="0.2">
      <c r="A80" s="49">
        <v>76</v>
      </c>
      <c r="B80" s="49"/>
      <c r="C80" s="50"/>
      <c r="D80" s="49"/>
      <c r="E80" s="49"/>
      <c r="F80" s="49"/>
      <c r="G80" s="49"/>
      <c r="H80" s="49"/>
      <c r="I80" s="49"/>
    </row>
    <row r="81" spans="1:9" ht="21.75" customHeight="1" x14ac:dyDescent="0.2">
      <c r="A81" s="7">
        <v>77</v>
      </c>
      <c r="B81" s="7"/>
      <c r="C81" s="3"/>
      <c r="D81" s="7"/>
      <c r="E81" s="7"/>
      <c r="F81" s="7"/>
      <c r="G81" s="7"/>
      <c r="H81" s="7"/>
      <c r="I81" s="7"/>
    </row>
    <row r="82" spans="1:9" ht="21.75" customHeight="1" x14ac:dyDescent="0.2">
      <c r="A82" s="49">
        <v>78</v>
      </c>
      <c r="B82" s="49"/>
      <c r="C82" s="50"/>
      <c r="D82" s="49"/>
      <c r="E82" s="49"/>
      <c r="F82" s="49"/>
      <c r="G82" s="49"/>
      <c r="H82" s="49"/>
      <c r="I82" s="49"/>
    </row>
    <row r="83" spans="1:9" ht="21.75" customHeight="1" x14ac:dyDescent="0.2">
      <c r="A83" s="7">
        <v>79</v>
      </c>
      <c r="B83" s="7"/>
      <c r="C83" s="3"/>
      <c r="D83" s="7"/>
      <c r="E83" s="7"/>
      <c r="F83" s="7"/>
      <c r="G83" s="7"/>
      <c r="H83" s="7"/>
      <c r="I83" s="7"/>
    </row>
    <row r="84" spans="1:9" ht="21.75" customHeight="1" x14ac:dyDescent="0.2">
      <c r="A84" s="49">
        <v>80</v>
      </c>
      <c r="B84" s="49"/>
      <c r="C84" s="50"/>
      <c r="D84" s="49"/>
      <c r="E84" s="49"/>
      <c r="F84" s="49"/>
      <c r="G84" s="49"/>
      <c r="H84" s="49"/>
      <c r="I84" s="49"/>
    </row>
    <row r="85" spans="1:9" ht="21.75" customHeight="1" x14ac:dyDescent="0.2">
      <c r="A85" s="7">
        <v>81</v>
      </c>
      <c r="B85" s="7"/>
      <c r="C85" s="3"/>
      <c r="D85" s="7"/>
      <c r="E85" s="7"/>
      <c r="F85" s="7"/>
      <c r="G85" s="7"/>
      <c r="H85" s="7"/>
      <c r="I85" s="7"/>
    </row>
    <row r="86" spans="1:9" ht="21.75" customHeight="1" x14ac:dyDescent="0.2">
      <c r="A86" s="49">
        <v>82</v>
      </c>
      <c r="B86" s="49"/>
      <c r="C86" s="50"/>
      <c r="D86" s="49"/>
      <c r="E86" s="49"/>
      <c r="F86" s="49"/>
      <c r="G86" s="49"/>
      <c r="H86" s="49"/>
      <c r="I86" s="49"/>
    </row>
    <row r="87" spans="1:9" ht="21.75" customHeight="1" x14ac:dyDescent="0.2">
      <c r="A87" s="7">
        <v>83</v>
      </c>
      <c r="B87" s="7"/>
      <c r="C87" s="3"/>
      <c r="D87" s="7"/>
      <c r="E87" s="7"/>
      <c r="F87" s="7"/>
      <c r="G87" s="7"/>
      <c r="H87" s="7"/>
      <c r="I87" s="7"/>
    </row>
    <row r="88" spans="1:9" ht="21.75" customHeight="1" x14ac:dyDescent="0.2">
      <c r="A88" s="49">
        <v>84</v>
      </c>
      <c r="B88" s="49"/>
      <c r="C88" s="50"/>
      <c r="D88" s="49"/>
      <c r="E88" s="49"/>
      <c r="F88" s="49"/>
      <c r="G88" s="49"/>
      <c r="H88" s="49"/>
      <c r="I88" s="49"/>
    </row>
    <row r="89" spans="1:9" ht="21.75" customHeight="1" x14ac:dyDescent="0.2">
      <c r="A89" s="7">
        <v>85</v>
      </c>
      <c r="B89" s="7"/>
      <c r="C89" s="3"/>
      <c r="D89" s="7"/>
      <c r="E89" s="7"/>
      <c r="F89" s="7"/>
      <c r="G89" s="7"/>
      <c r="H89" s="7"/>
      <c r="I89" s="7"/>
    </row>
    <row r="90" spans="1:9" ht="21.75" customHeight="1" x14ac:dyDescent="0.2">
      <c r="A90" s="49">
        <v>86</v>
      </c>
      <c r="B90" s="49"/>
      <c r="C90" s="50"/>
      <c r="D90" s="49"/>
      <c r="E90" s="49"/>
      <c r="F90" s="49"/>
      <c r="G90" s="49"/>
      <c r="H90" s="49"/>
      <c r="I90" s="49"/>
    </row>
    <row r="91" spans="1:9" ht="21.75" customHeight="1" x14ac:dyDescent="0.2">
      <c r="A91" s="7">
        <v>87</v>
      </c>
      <c r="B91" s="7"/>
      <c r="C91" s="3"/>
      <c r="D91" s="7"/>
      <c r="E91" s="7"/>
      <c r="F91" s="7"/>
      <c r="G91" s="7"/>
      <c r="H91" s="7"/>
      <c r="I91" s="7"/>
    </row>
    <row r="92" spans="1:9" ht="21.75" customHeight="1" x14ac:dyDescent="0.2">
      <c r="A92" s="49">
        <v>88</v>
      </c>
      <c r="B92" s="49"/>
      <c r="C92" s="50"/>
      <c r="D92" s="49"/>
      <c r="E92" s="49"/>
      <c r="F92" s="49"/>
      <c r="G92" s="49"/>
      <c r="H92" s="49"/>
      <c r="I92" s="49"/>
    </row>
    <row r="93" spans="1:9" ht="21.75" customHeight="1" x14ac:dyDescent="0.2">
      <c r="A93" s="7">
        <v>89</v>
      </c>
      <c r="B93" s="7"/>
      <c r="C93" s="3"/>
      <c r="D93" s="7"/>
      <c r="E93" s="7"/>
      <c r="F93" s="7"/>
      <c r="G93" s="7"/>
      <c r="H93" s="7"/>
      <c r="I93" s="7"/>
    </row>
    <row r="94" spans="1:9" ht="21.75" customHeight="1" x14ac:dyDescent="0.2">
      <c r="A94" s="49">
        <v>90</v>
      </c>
      <c r="B94" s="49"/>
      <c r="C94" s="50"/>
      <c r="D94" s="49"/>
      <c r="E94" s="49"/>
      <c r="F94" s="49"/>
      <c r="G94" s="49"/>
      <c r="H94" s="49"/>
      <c r="I94" s="49"/>
    </row>
    <row r="95" spans="1:9" ht="21.75" customHeight="1" x14ac:dyDescent="0.2">
      <c r="A95" s="7">
        <v>91</v>
      </c>
      <c r="B95" s="7"/>
      <c r="C95" s="3"/>
      <c r="D95" s="7"/>
      <c r="E95" s="7"/>
      <c r="F95" s="7"/>
      <c r="G95" s="7"/>
      <c r="H95" s="7"/>
      <c r="I95" s="7"/>
    </row>
    <row r="96" spans="1:9" ht="21.75" customHeight="1" x14ac:dyDescent="0.2">
      <c r="A96" s="49">
        <v>92</v>
      </c>
      <c r="B96" s="49"/>
      <c r="C96" s="50"/>
      <c r="D96" s="49"/>
      <c r="E96" s="49"/>
      <c r="F96" s="49"/>
      <c r="G96" s="49"/>
      <c r="H96" s="49"/>
      <c r="I96" s="49"/>
    </row>
    <row r="97" spans="1:9" ht="21.75" customHeight="1" x14ac:dyDescent="0.2">
      <c r="A97" s="7">
        <v>93</v>
      </c>
      <c r="B97" s="7"/>
      <c r="C97" s="3"/>
      <c r="D97" s="7"/>
      <c r="E97" s="7"/>
      <c r="F97" s="7"/>
      <c r="G97" s="7"/>
      <c r="H97" s="7"/>
      <c r="I97" s="7"/>
    </row>
    <row r="98" spans="1:9" ht="21.75" customHeight="1" x14ac:dyDescent="0.2">
      <c r="A98" s="49">
        <v>94</v>
      </c>
      <c r="B98" s="49"/>
      <c r="C98" s="50"/>
      <c r="D98" s="49"/>
      <c r="E98" s="49"/>
      <c r="F98" s="49"/>
      <c r="G98" s="49"/>
      <c r="H98" s="49"/>
      <c r="I98" s="49"/>
    </row>
    <row r="99" spans="1:9" ht="21.75" customHeight="1" x14ac:dyDescent="0.2">
      <c r="A99" s="7">
        <v>95</v>
      </c>
      <c r="B99" s="7"/>
      <c r="C99" s="3"/>
      <c r="D99" s="7"/>
      <c r="E99" s="7"/>
      <c r="F99" s="7"/>
      <c r="G99" s="7"/>
      <c r="H99" s="7"/>
      <c r="I99" s="7"/>
    </row>
    <row r="100" spans="1:9" ht="21.75" customHeight="1" x14ac:dyDescent="0.2">
      <c r="A100" s="49">
        <v>96</v>
      </c>
      <c r="B100" s="49"/>
      <c r="C100" s="50"/>
      <c r="D100" s="49"/>
      <c r="E100" s="49"/>
      <c r="F100" s="49"/>
      <c r="G100" s="49"/>
      <c r="H100" s="49"/>
      <c r="I100" s="49"/>
    </row>
    <row r="101" spans="1:9" ht="21.75" customHeight="1" x14ac:dyDescent="0.2">
      <c r="A101" s="7">
        <v>97</v>
      </c>
      <c r="B101" s="7"/>
      <c r="C101" s="3"/>
      <c r="D101" s="7"/>
      <c r="E101" s="7"/>
      <c r="F101" s="7"/>
      <c r="G101" s="7"/>
      <c r="H101" s="7"/>
      <c r="I101" s="7"/>
    </row>
    <row r="102" spans="1:9" ht="21.75" customHeight="1" x14ac:dyDescent="0.2">
      <c r="A102" s="49">
        <v>98</v>
      </c>
      <c r="B102" s="49"/>
      <c r="C102" s="50"/>
      <c r="D102" s="49"/>
      <c r="E102" s="49"/>
      <c r="F102" s="49"/>
      <c r="G102" s="49"/>
      <c r="H102" s="49"/>
      <c r="I102" s="49"/>
    </row>
    <row r="103" spans="1:9" ht="21.75" customHeight="1" x14ac:dyDescent="0.2">
      <c r="A103" s="7">
        <v>99</v>
      </c>
      <c r="B103" s="7"/>
      <c r="C103" s="3"/>
      <c r="D103" s="7"/>
      <c r="E103" s="7"/>
      <c r="F103" s="7"/>
      <c r="G103" s="7"/>
      <c r="H103" s="7"/>
      <c r="I103" s="7"/>
    </row>
    <row r="104" spans="1:9" ht="21.75" customHeight="1" x14ac:dyDescent="0.2">
      <c r="A104" s="49">
        <v>100</v>
      </c>
      <c r="B104" s="49"/>
      <c r="C104" s="50"/>
      <c r="D104" s="49"/>
      <c r="E104" s="49"/>
      <c r="F104" s="49"/>
      <c r="G104" s="49"/>
      <c r="H104" s="49"/>
      <c r="I104" s="49"/>
    </row>
  </sheetData>
  <autoFilter ref="A4:J4" xr:uid="{00000000-0001-0000-0800-000000000000}"/>
  <mergeCells count="2">
    <mergeCell ref="A1:I2"/>
    <mergeCell ref="A3:I3"/>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05"/>
  <sheetViews>
    <sheetView showGridLines="0" zoomScaleNormal="100" workbookViewId="0">
      <pane ySplit="5" topLeftCell="A6" activePane="bottomLeft" state="frozen"/>
      <selection pane="bottomLeft" activeCell="G91" sqref="G91"/>
    </sheetView>
  </sheetViews>
  <sheetFormatPr baseColWidth="10" defaultColWidth="8.6640625" defaultRowHeight="15" x14ac:dyDescent="0.2"/>
  <cols>
    <col min="1" max="1" width="4" customWidth="1"/>
    <col min="2" max="2" width="18" customWidth="1"/>
    <col min="3" max="3" width="6" customWidth="1"/>
    <col min="4" max="4" width="36" customWidth="1"/>
    <col min="5" max="5" width="10" customWidth="1"/>
    <col min="6" max="6" width="48" customWidth="1"/>
    <col min="7" max="7" width="80" customWidth="1"/>
    <col min="8" max="8" width="10" customWidth="1"/>
    <col min="9" max="10" width="14" customWidth="1"/>
    <col min="11" max="11" width="36" customWidth="1"/>
    <col min="12" max="12" width="36" style="52" customWidth="1"/>
    <col min="13" max="13" width="52" style="52" customWidth="1"/>
    <col min="14" max="14" width="33.33203125" customWidth="1"/>
    <col min="15" max="15" width="23" customWidth="1"/>
  </cols>
  <sheetData>
    <row r="1" spans="1:22" ht="30" customHeight="1" x14ac:dyDescent="0.2">
      <c r="A1" s="300" t="s">
        <v>4114</v>
      </c>
      <c r="B1" s="292"/>
      <c r="C1" s="292"/>
      <c r="D1" s="292"/>
      <c r="E1" s="292"/>
      <c r="F1" s="292"/>
      <c r="G1" s="292"/>
      <c r="H1" s="292"/>
      <c r="I1" s="292"/>
      <c r="J1" s="292"/>
      <c r="K1" s="292"/>
      <c r="L1" s="300" t="s">
        <v>4114</v>
      </c>
      <c r="M1" s="318"/>
      <c r="N1" s="292"/>
      <c r="O1" s="292"/>
      <c r="P1" s="292"/>
      <c r="Q1" s="292"/>
      <c r="R1" s="292"/>
      <c r="S1" s="292"/>
      <c r="T1" s="292"/>
      <c r="U1" s="292"/>
      <c r="V1" s="292"/>
    </row>
    <row r="2" spans="1:22" ht="4.5" customHeight="1" x14ac:dyDescent="0.2">
      <c r="A2" s="292"/>
      <c r="B2" s="292"/>
      <c r="C2" s="292"/>
      <c r="D2" s="292"/>
      <c r="E2" s="292"/>
      <c r="F2" s="292"/>
      <c r="G2" s="292"/>
      <c r="H2" s="292"/>
      <c r="I2" s="292"/>
      <c r="J2" s="292"/>
      <c r="K2" s="292"/>
      <c r="L2" s="292"/>
      <c r="M2" s="318"/>
      <c r="N2" s="292"/>
      <c r="O2" s="292"/>
      <c r="P2" s="292"/>
      <c r="Q2" s="292"/>
      <c r="R2" s="292"/>
      <c r="S2" s="292"/>
      <c r="T2" s="292"/>
      <c r="U2" s="292"/>
      <c r="V2" s="292"/>
    </row>
    <row r="3" spans="1:22" ht="18" customHeight="1" x14ac:dyDescent="0.2">
      <c r="A3" s="322" t="s">
        <v>4115</v>
      </c>
      <c r="B3" s="292"/>
      <c r="C3" s="292"/>
      <c r="D3" s="292"/>
      <c r="E3" s="292"/>
      <c r="F3" s="292"/>
      <c r="G3" s="292"/>
      <c r="H3" s="292"/>
      <c r="I3" s="292"/>
      <c r="J3" s="292"/>
      <c r="K3" s="292"/>
    </row>
    <row r="4" spans="1:22" ht="15.75" customHeight="1" x14ac:dyDescent="0.2">
      <c r="A4" s="331" t="s">
        <v>5123</v>
      </c>
      <c r="B4" s="292"/>
      <c r="C4" s="292"/>
      <c r="D4" s="292"/>
      <c r="E4" s="292"/>
      <c r="F4" s="292"/>
      <c r="G4" s="292"/>
      <c r="H4" s="292"/>
      <c r="I4" s="292"/>
      <c r="J4" s="292"/>
      <c r="K4" s="292"/>
    </row>
    <row r="5" spans="1:22" ht="31.5" customHeight="1" x14ac:dyDescent="0.2">
      <c r="A5" s="51" t="s">
        <v>1</v>
      </c>
      <c r="B5" s="51" t="s">
        <v>4116</v>
      </c>
      <c r="C5" s="51" t="s">
        <v>2</v>
      </c>
      <c r="D5" s="51" t="s">
        <v>3</v>
      </c>
      <c r="E5" s="51" t="s">
        <v>5</v>
      </c>
      <c r="F5" s="51" t="s">
        <v>4117</v>
      </c>
      <c r="G5" s="214" t="s">
        <v>4118</v>
      </c>
      <c r="H5" s="51" t="s">
        <v>4119</v>
      </c>
      <c r="I5" s="51" t="s">
        <v>4120</v>
      </c>
      <c r="J5" s="51" t="s">
        <v>7</v>
      </c>
      <c r="K5" s="51" t="s">
        <v>4121</v>
      </c>
      <c r="L5" s="245" t="s">
        <v>4122</v>
      </c>
      <c r="M5" s="245" t="s">
        <v>14</v>
      </c>
      <c r="N5" s="51" t="s">
        <v>15</v>
      </c>
      <c r="O5" s="51" t="s">
        <v>16</v>
      </c>
    </row>
    <row r="6" spans="1:22" ht="19.5" customHeight="1" x14ac:dyDescent="0.2">
      <c r="A6" s="327" t="s">
        <v>4123</v>
      </c>
      <c r="B6" s="292"/>
      <c r="C6" s="292"/>
      <c r="D6" s="292"/>
      <c r="E6" s="292"/>
      <c r="F6" s="292"/>
      <c r="G6" s="320"/>
      <c r="H6" s="292"/>
      <c r="I6" s="292"/>
      <c r="J6" s="292"/>
      <c r="K6" s="292"/>
      <c r="N6" s="52"/>
      <c r="O6" s="52"/>
    </row>
    <row r="7" spans="1:22" ht="31.5" customHeight="1" x14ac:dyDescent="0.2">
      <c r="A7" s="7">
        <v>1</v>
      </c>
      <c r="B7" s="7" t="s">
        <v>166</v>
      </c>
      <c r="C7" s="7">
        <v>1</v>
      </c>
      <c r="D7" s="13" t="s">
        <v>18</v>
      </c>
      <c r="E7" s="21" t="s">
        <v>20</v>
      </c>
      <c r="F7" s="186" t="s">
        <v>4124</v>
      </c>
      <c r="G7" s="199" t="str">
        <f>HYPERLINK("https://leetcode.com/problems/two-sum/","https://leetcode.com/problems/two-sum/")</f>
        <v>https://leetcode.com/problems/two-sum/</v>
      </c>
      <c r="H7" s="187"/>
      <c r="I7" s="7">
        <f>IFERROR(VLOOKUP(C7,'📊 Problem Tracker'!$B$4:$F$1200,5,FALSE()),"")</f>
        <v>0</v>
      </c>
      <c r="J7" s="7"/>
      <c r="K7" s="3"/>
      <c r="L7" s="228" t="s">
        <v>19</v>
      </c>
      <c r="M7" s="228" t="s">
        <v>23</v>
      </c>
      <c r="N7" s="7" t="s">
        <v>24</v>
      </c>
      <c r="O7" s="7" t="s">
        <v>24</v>
      </c>
    </row>
    <row r="8" spans="1:22" ht="31.5" customHeight="1" x14ac:dyDescent="0.2">
      <c r="A8" s="53">
        <v>2</v>
      </c>
      <c r="B8" s="53" t="s">
        <v>166</v>
      </c>
      <c r="C8" s="53">
        <v>121</v>
      </c>
      <c r="D8" s="54" t="s">
        <v>595</v>
      </c>
      <c r="E8" s="55" t="s">
        <v>20</v>
      </c>
      <c r="F8" s="188" t="s">
        <v>4125</v>
      </c>
      <c r="G8" s="200" t="str">
        <f>HYPERLINK("https://leetcode.com/problems/best-time-to-buy-and-sell-stock/","https://leetcode.com/problems/best-time-to-buy-and-sell-stock/")</f>
        <v>https://leetcode.com/problems/best-time-to-buy-and-sell-stock/</v>
      </c>
      <c r="H8" s="189"/>
      <c r="I8" s="53">
        <f>IFERROR(VLOOKUP(C8,'📊 Problem Tracker'!$B$4:$F$1200,5,FALSE()),"")</f>
        <v>0</v>
      </c>
      <c r="J8" s="53"/>
      <c r="K8" s="56"/>
      <c r="L8" s="246" t="s">
        <v>318</v>
      </c>
      <c r="M8" s="246" t="s">
        <v>597</v>
      </c>
      <c r="N8" s="53" t="s">
        <v>24</v>
      </c>
      <c r="O8" s="53" t="s">
        <v>47</v>
      </c>
    </row>
    <row r="9" spans="1:22" ht="31.5" customHeight="1" x14ac:dyDescent="0.2">
      <c r="A9" s="7">
        <v>3</v>
      </c>
      <c r="B9" s="7" t="s">
        <v>166</v>
      </c>
      <c r="C9" s="7">
        <v>217</v>
      </c>
      <c r="D9" s="13" t="s">
        <v>951</v>
      </c>
      <c r="E9" s="21" t="s">
        <v>20</v>
      </c>
      <c r="F9" s="186" t="s">
        <v>4126</v>
      </c>
      <c r="G9" s="199" t="str">
        <f>HYPERLINK("https://leetcode.com/problems/contains-duplicate/","https://leetcode.com/problems/contains-duplicate/")</f>
        <v>https://leetcode.com/problems/contains-duplicate/</v>
      </c>
      <c r="H9" s="187"/>
      <c r="I9" s="7">
        <f>IFERROR(VLOOKUP(C9,'📊 Problem Tracker'!$B$4:$F$1200,5,FALSE()),"")</f>
        <v>0</v>
      </c>
      <c r="J9" s="7"/>
      <c r="K9" s="3"/>
      <c r="L9" s="228" t="s">
        <v>19</v>
      </c>
      <c r="M9" s="228" t="s">
        <v>954</v>
      </c>
      <c r="N9" s="7" t="s">
        <v>24</v>
      </c>
      <c r="O9" s="7" t="s">
        <v>24</v>
      </c>
    </row>
    <row r="10" spans="1:22" ht="31.5" customHeight="1" x14ac:dyDescent="0.2">
      <c r="A10" s="53">
        <v>4</v>
      </c>
      <c r="B10" s="53" t="s">
        <v>166</v>
      </c>
      <c r="C10" s="53">
        <v>238</v>
      </c>
      <c r="D10" s="54" t="s">
        <v>1008</v>
      </c>
      <c r="E10" s="57" t="s">
        <v>28</v>
      </c>
      <c r="F10" s="188" t="s">
        <v>4127</v>
      </c>
      <c r="G10" s="200" t="str">
        <f>HYPERLINK("https://leetcode.com/problems/product-of-array-except-self/","https://leetcode.com/problems/product-of-array-except-self/")</f>
        <v>https://leetcode.com/problems/product-of-array-except-self/</v>
      </c>
      <c r="H10" s="189"/>
      <c r="I10" s="53">
        <f>IFERROR(VLOOKUP(C10,'📊 Problem Tracker'!$B$4:$F$1200,5,FALSE()),"")</f>
        <v>0</v>
      </c>
      <c r="J10" s="53"/>
      <c r="K10" s="56"/>
      <c r="L10" s="246" t="s">
        <v>1009</v>
      </c>
      <c r="M10" s="246" t="s">
        <v>1011</v>
      </c>
      <c r="N10" s="53" t="s">
        <v>24</v>
      </c>
      <c r="O10" s="53" t="s">
        <v>1012</v>
      </c>
    </row>
    <row r="11" spans="1:22" ht="31.5" customHeight="1" x14ac:dyDescent="0.2">
      <c r="A11" s="7">
        <v>5</v>
      </c>
      <c r="B11" s="7" t="s">
        <v>166</v>
      </c>
      <c r="C11" s="7">
        <v>53</v>
      </c>
      <c r="D11" s="13" t="s">
        <v>308</v>
      </c>
      <c r="E11" s="18" t="s">
        <v>28</v>
      </c>
      <c r="F11" s="186" t="s">
        <v>4128</v>
      </c>
      <c r="G11" s="199" t="str">
        <f>HYPERLINK("https://leetcode.com/problems/maximum-subarray/","https://leetcode.com/problems/maximum-subarray/")</f>
        <v>https://leetcode.com/problems/maximum-subarray/</v>
      </c>
      <c r="H11" s="187"/>
      <c r="I11" s="7">
        <f>IFERROR(VLOOKUP(C11,'📊 Problem Tracker'!$B$4:$F$1200,5,FALSE()),"")</f>
        <v>0</v>
      </c>
      <c r="J11" s="7"/>
      <c r="K11" s="3"/>
      <c r="L11" s="228" t="s">
        <v>309</v>
      </c>
      <c r="M11" s="228" t="s">
        <v>311</v>
      </c>
      <c r="N11" s="7" t="s">
        <v>24</v>
      </c>
      <c r="O11" s="7" t="s">
        <v>47</v>
      </c>
    </row>
    <row r="12" spans="1:22" ht="31.5" customHeight="1" x14ac:dyDescent="0.2">
      <c r="A12" s="53">
        <v>6</v>
      </c>
      <c r="B12" s="53" t="s">
        <v>166</v>
      </c>
      <c r="C12" s="53">
        <v>152</v>
      </c>
      <c r="D12" s="54" t="s">
        <v>715</v>
      </c>
      <c r="E12" s="57" t="s">
        <v>28</v>
      </c>
      <c r="F12" s="188" t="s">
        <v>4129</v>
      </c>
      <c r="G12" s="200" t="str">
        <f>HYPERLINK("https://leetcode.com/problems/maximum-product-subarray/","https://leetcode.com/problems/maximum-product-subarray/")</f>
        <v>https://leetcode.com/problems/maximum-product-subarray/</v>
      </c>
      <c r="H12" s="189"/>
      <c r="I12" s="53">
        <f>IFERROR(VLOOKUP(C12,'📊 Problem Tracker'!$B$4:$F$1200,5,FALSE()),"")</f>
        <v>0</v>
      </c>
      <c r="J12" s="53"/>
      <c r="K12" s="56"/>
      <c r="L12" s="246" t="s">
        <v>309</v>
      </c>
      <c r="M12" s="246" t="s">
        <v>718</v>
      </c>
      <c r="N12" s="53" t="s">
        <v>24</v>
      </c>
      <c r="O12" s="53" t="s">
        <v>47</v>
      </c>
    </row>
    <row r="13" spans="1:22" ht="31.5" customHeight="1" x14ac:dyDescent="0.2">
      <c r="A13" s="7">
        <v>7</v>
      </c>
      <c r="B13" s="7" t="s">
        <v>166</v>
      </c>
      <c r="C13" s="7">
        <v>153</v>
      </c>
      <c r="D13" s="13" t="s">
        <v>720</v>
      </c>
      <c r="E13" s="18" t="s">
        <v>28</v>
      </c>
      <c r="F13" s="186" t="s">
        <v>4130</v>
      </c>
      <c r="G13" s="199" t="str">
        <f>HYPERLINK("https://leetcode.com/problems/find-minimum-in-rotated-sorted-array/","https://leetcode.com/problems/find-minimum-in-rotated-sorted-array/")</f>
        <v>https://leetcode.com/problems/find-minimum-in-rotated-sorted-array/</v>
      </c>
      <c r="H13" s="187"/>
      <c r="I13" s="7">
        <f>IFERROR(VLOOKUP(C13,'📊 Problem Tracker'!$B$4:$F$1200,5,FALSE()),"")</f>
        <v>0</v>
      </c>
      <c r="J13" s="7"/>
      <c r="K13" s="3"/>
      <c r="L13" s="228" t="s">
        <v>41</v>
      </c>
      <c r="M13" s="228" t="s">
        <v>722</v>
      </c>
      <c r="N13" s="7" t="s">
        <v>65</v>
      </c>
      <c r="O13" s="7" t="s">
        <v>47</v>
      </c>
    </row>
    <row r="14" spans="1:22" ht="31.5" customHeight="1" x14ac:dyDescent="0.2">
      <c r="A14" s="53">
        <v>8</v>
      </c>
      <c r="B14" s="53" t="s">
        <v>166</v>
      </c>
      <c r="C14" s="53">
        <v>33</v>
      </c>
      <c r="D14" s="54" t="s">
        <v>202</v>
      </c>
      <c r="E14" s="57" t="s">
        <v>28</v>
      </c>
      <c r="F14" s="188" t="s">
        <v>4131</v>
      </c>
      <c r="G14" s="200" t="str">
        <f>HYPERLINK("https://leetcode.com/problems/search-in-rotated-sorted-array/","https://leetcode.com/problems/search-in-rotated-sorted-array/")</f>
        <v>https://leetcode.com/problems/search-in-rotated-sorted-array/</v>
      </c>
      <c r="H14" s="189"/>
      <c r="I14" s="53">
        <f>IFERROR(VLOOKUP(C14,'📊 Problem Tracker'!$B$4:$F$1200,5,FALSE()),"")</f>
        <v>0</v>
      </c>
      <c r="J14" s="53"/>
      <c r="K14" s="56"/>
      <c r="L14" s="246" t="s">
        <v>41</v>
      </c>
      <c r="M14" s="246" t="s">
        <v>204</v>
      </c>
      <c r="N14" s="53" t="s">
        <v>65</v>
      </c>
      <c r="O14" s="53" t="s">
        <v>47</v>
      </c>
    </row>
    <row r="15" spans="1:22" ht="31.5" customHeight="1" x14ac:dyDescent="0.2">
      <c r="A15" s="7">
        <v>9</v>
      </c>
      <c r="B15" s="7" t="s">
        <v>166</v>
      </c>
      <c r="C15" s="7">
        <v>15</v>
      </c>
      <c r="D15" s="13" t="s">
        <v>103</v>
      </c>
      <c r="E15" s="18" t="s">
        <v>28</v>
      </c>
      <c r="F15" s="186" t="s">
        <v>4132</v>
      </c>
      <c r="G15" s="199" t="str">
        <f>HYPERLINK("https://leetcode.com/problems/3sum/","https://leetcode.com/problems/3sum/")</f>
        <v>https://leetcode.com/problems/3sum/</v>
      </c>
      <c r="H15" s="187"/>
      <c r="I15" s="7">
        <f>IFERROR(VLOOKUP(C15,'📊 Problem Tracker'!$B$4:$F$1200,5,FALSE()),"")</f>
        <v>0</v>
      </c>
      <c r="J15" s="7"/>
      <c r="K15" s="3"/>
      <c r="L15" s="228" t="s">
        <v>84</v>
      </c>
      <c r="M15" s="228" t="s">
        <v>106</v>
      </c>
      <c r="N15" s="7" t="s">
        <v>53</v>
      </c>
      <c r="O15" s="7" t="s">
        <v>47</v>
      </c>
    </row>
    <row r="16" spans="1:22" ht="31.5" customHeight="1" x14ac:dyDescent="0.2">
      <c r="A16" s="53">
        <v>10</v>
      </c>
      <c r="B16" s="53" t="s">
        <v>166</v>
      </c>
      <c r="C16" s="53">
        <v>11</v>
      </c>
      <c r="D16" s="54" t="s">
        <v>83</v>
      </c>
      <c r="E16" s="57" t="s">
        <v>28</v>
      </c>
      <c r="F16" s="188" t="s">
        <v>4133</v>
      </c>
      <c r="G16" s="201" t="str">
        <f>HYPERLINK("https://leetcode.com/problems/container-with-most-water/","https://leetcode.com/problems/container-with-most-water/")</f>
        <v>https://leetcode.com/problems/container-with-most-water/</v>
      </c>
      <c r="H16" s="189"/>
      <c r="I16" s="53">
        <f>IFERROR(VLOOKUP(C16,'📊 Problem Tracker'!$B$4:$F$1200,5,FALSE()),"")</f>
        <v>0</v>
      </c>
      <c r="J16" s="53"/>
      <c r="K16" s="56"/>
      <c r="L16" s="246" t="s">
        <v>84</v>
      </c>
      <c r="M16" s="246" t="s">
        <v>86</v>
      </c>
      <c r="N16" s="53" t="s">
        <v>24</v>
      </c>
      <c r="O16" s="53" t="s">
        <v>47</v>
      </c>
    </row>
    <row r="17" spans="1:15" ht="19.5" customHeight="1" x14ac:dyDescent="0.2">
      <c r="A17" s="326" t="s">
        <v>4134</v>
      </c>
      <c r="B17" s="292"/>
      <c r="C17" s="292"/>
      <c r="D17" s="292"/>
      <c r="E17" s="292"/>
      <c r="F17" s="292"/>
      <c r="G17" s="320"/>
      <c r="H17" s="292"/>
      <c r="I17" s="292"/>
      <c r="J17" s="292"/>
      <c r="K17" s="292"/>
      <c r="N17" s="52"/>
      <c r="O17" s="52"/>
    </row>
    <row r="18" spans="1:15" ht="31.5" customHeight="1" x14ac:dyDescent="0.2">
      <c r="A18" s="7">
        <v>1</v>
      </c>
      <c r="B18" s="7" t="s">
        <v>4135</v>
      </c>
      <c r="C18" s="7">
        <v>371</v>
      </c>
      <c r="D18" s="13" t="s">
        <v>1316</v>
      </c>
      <c r="E18" s="18" t="s">
        <v>28</v>
      </c>
      <c r="F18" s="186" t="s">
        <v>4136</v>
      </c>
      <c r="G18" s="199" t="str">
        <f>HYPERLINK("https://leetcode.com/problems/sum-of-two-integers/","https://leetcode.com/problems/sum-of-two-integers/")</f>
        <v>https://leetcode.com/problems/sum-of-two-integers/</v>
      </c>
      <c r="H18" s="187"/>
      <c r="I18" s="7">
        <f>IFERROR(VLOOKUP(C18,'📊 Problem Tracker'!$B$4:$F$1200,5,FALSE()),"")</f>
        <v>0</v>
      </c>
      <c r="J18" s="7"/>
      <c r="K18" s="3"/>
      <c r="L18" s="228" t="s">
        <v>1317</v>
      </c>
      <c r="M18" s="228" t="s">
        <v>1320</v>
      </c>
      <c r="N18" s="7" t="s">
        <v>47</v>
      </c>
      <c r="O18" s="7" t="s">
        <v>47</v>
      </c>
    </row>
    <row r="19" spans="1:15" ht="31.5" customHeight="1" x14ac:dyDescent="0.2">
      <c r="A19" s="53">
        <v>2</v>
      </c>
      <c r="B19" s="53" t="s">
        <v>4135</v>
      </c>
      <c r="C19" s="53">
        <v>191</v>
      </c>
      <c r="D19" s="54" t="s">
        <v>858</v>
      </c>
      <c r="E19" s="55" t="s">
        <v>20</v>
      </c>
      <c r="F19" s="188" t="s">
        <v>4137</v>
      </c>
      <c r="G19" s="200" t="str">
        <f>HYPERLINK("https://leetcode.com/problems/number-of-1-bits/","https://leetcode.com/problems/number-of-1-bits/")</f>
        <v>https://leetcode.com/problems/number-of-1-bits/</v>
      </c>
      <c r="H19" s="189"/>
      <c r="I19" s="53">
        <f>IFERROR(VLOOKUP(C19,'📊 Problem Tracker'!$B$4:$F$1200,5,FALSE()),"")</f>
        <v>0</v>
      </c>
      <c r="J19" s="53"/>
      <c r="K19" s="56"/>
      <c r="L19" s="246" t="s">
        <v>666</v>
      </c>
      <c r="M19" s="246" t="s">
        <v>705</v>
      </c>
      <c r="N19" s="53" t="s">
        <v>47</v>
      </c>
      <c r="O19" s="53" t="s">
        <v>47</v>
      </c>
    </row>
    <row r="20" spans="1:15" ht="31.5" customHeight="1" x14ac:dyDescent="0.2">
      <c r="A20" s="7">
        <v>3</v>
      </c>
      <c r="B20" s="7" t="s">
        <v>4135</v>
      </c>
      <c r="C20" s="7">
        <v>338</v>
      </c>
      <c r="D20" s="13" t="s">
        <v>1247</v>
      </c>
      <c r="E20" s="21" t="s">
        <v>20</v>
      </c>
      <c r="F20" s="186" t="s">
        <v>4138</v>
      </c>
      <c r="G20" s="199" t="str">
        <f>HYPERLINK("https://leetcode.com/problems/counting-bits/","https://leetcode.com/problems/counting-bits/")</f>
        <v>https://leetcode.com/problems/counting-bits/</v>
      </c>
      <c r="H20" s="187"/>
      <c r="I20" s="7">
        <f>IFERROR(VLOOKUP(C20,'📊 Problem Tracker'!$B$4:$F$1200,5,FALSE()),"")</f>
        <v>0</v>
      </c>
      <c r="J20" s="7"/>
      <c r="K20" s="3"/>
      <c r="L20" s="228" t="s">
        <v>1248</v>
      </c>
      <c r="M20" s="228" t="s">
        <v>508</v>
      </c>
      <c r="N20" s="7" t="s">
        <v>24</v>
      </c>
      <c r="O20" s="7" t="s">
        <v>24</v>
      </c>
    </row>
    <row r="21" spans="1:15" ht="31.5" customHeight="1" x14ac:dyDescent="0.2">
      <c r="A21" s="53">
        <v>4</v>
      </c>
      <c r="B21" s="53" t="s">
        <v>4135</v>
      </c>
      <c r="C21" s="53">
        <v>268</v>
      </c>
      <c r="D21" s="54" t="s">
        <v>1057</v>
      </c>
      <c r="E21" s="55" t="s">
        <v>20</v>
      </c>
      <c r="F21" s="188" t="s">
        <v>4139</v>
      </c>
      <c r="G21" s="200" t="str">
        <f>HYPERLINK("https://leetcode.com/problems/missing-number/","https://leetcode.com/problems/missing-number/")</f>
        <v>https://leetcode.com/problems/missing-number/</v>
      </c>
      <c r="H21" s="189"/>
      <c r="I21" s="53">
        <f>IFERROR(VLOOKUP(C21,'📊 Problem Tracker'!$B$4:$F$1200,5,FALSE()),"")</f>
        <v>0</v>
      </c>
      <c r="J21" s="53"/>
      <c r="K21" s="56"/>
      <c r="L21" s="246" t="s">
        <v>1058</v>
      </c>
      <c r="M21" s="246" t="s">
        <v>1061</v>
      </c>
      <c r="N21" s="53" t="s">
        <v>24</v>
      </c>
      <c r="O21" s="53" t="s">
        <v>47</v>
      </c>
    </row>
    <row r="22" spans="1:15" ht="31.5" customHeight="1" x14ac:dyDescent="0.2">
      <c r="A22" s="7">
        <v>5</v>
      </c>
      <c r="B22" s="7" t="s">
        <v>4135</v>
      </c>
      <c r="C22" s="7">
        <v>190</v>
      </c>
      <c r="D22" s="13" t="s">
        <v>855</v>
      </c>
      <c r="E22" s="21" t="s">
        <v>20</v>
      </c>
      <c r="F22" s="186" t="s">
        <v>4140</v>
      </c>
      <c r="G22" s="202" t="str">
        <f>HYPERLINK("https://leetcode.com/problems/reverse-bits/","https://leetcode.com/problems/reverse-bits/")</f>
        <v>https://leetcode.com/problems/reverse-bits/</v>
      </c>
      <c r="H22" s="187"/>
      <c r="I22" s="7">
        <f>IFERROR(VLOOKUP(C22,'📊 Problem Tracker'!$B$4:$F$1200,5,FALSE()),"")</f>
        <v>0</v>
      </c>
      <c r="J22" s="7"/>
      <c r="K22" s="3"/>
      <c r="L22" s="228" t="s">
        <v>666</v>
      </c>
      <c r="M22" s="228" t="s">
        <v>230</v>
      </c>
      <c r="N22" s="7" t="s">
        <v>47</v>
      </c>
      <c r="O22" s="7" t="s">
        <v>47</v>
      </c>
    </row>
    <row r="23" spans="1:15" ht="19.5" customHeight="1" x14ac:dyDescent="0.2">
      <c r="A23" s="321" t="s">
        <v>4141</v>
      </c>
      <c r="B23" s="292"/>
      <c r="C23" s="292"/>
      <c r="D23" s="292"/>
      <c r="E23" s="292"/>
      <c r="F23" s="292"/>
      <c r="G23" s="320"/>
      <c r="H23" s="292"/>
      <c r="I23" s="292"/>
      <c r="J23" s="292"/>
      <c r="K23" s="292"/>
      <c r="N23" s="52"/>
      <c r="O23" s="52"/>
    </row>
    <row r="24" spans="1:15" ht="31.5" customHeight="1" x14ac:dyDescent="0.2">
      <c r="A24" s="53">
        <v>1</v>
      </c>
      <c r="B24" s="53" t="s">
        <v>507</v>
      </c>
      <c r="C24" s="53">
        <v>70</v>
      </c>
      <c r="D24" s="54" t="s">
        <v>398</v>
      </c>
      <c r="E24" s="55" t="s">
        <v>20</v>
      </c>
      <c r="F24" s="188" t="s">
        <v>4142</v>
      </c>
      <c r="G24" s="200" t="str">
        <f>HYPERLINK("https://leetcode.com/problems/climbing-stairs/","https://leetcode.com/problems/climbing-stairs/")</f>
        <v>https://leetcode.com/problems/climbing-stairs/</v>
      </c>
      <c r="H24" s="189"/>
      <c r="I24" s="53">
        <f>IFERROR(VLOOKUP(C24,'📊 Problem Tracker'!$B$4:$F$1200,5,FALSE()),"")</f>
        <v>0</v>
      </c>
      <c r="J24" s="53"/>
      <c r="K24" s="56"/>
      <c r="L24" s="246" t="s">
        <v>1314</v>
      </c>
      <c r="M24" s="246" t="s">
        <v>400</v>
      </c>
      <c r="N24" s="53" t="s">
        <v>24</v>
      </c>
      <c r="O24" s="53" t="s">
        <v>47</v>
      </c>
    </row>
    <row r="25" spans="1:15" ht="31.5" customHeight="1" x14ac:dyDescent="0.2">
      <c r="A25" s="7">
        <v>2</v>
      </c>
      <c r="B25" s="7" t="s">
        <v>507</v>
      </c>
      <c r="C25" s="7">
        <v>322</v>
      </c>
      <c r="D25" s="13" t="s">
        <v>1205</v>
      </c>
      <c r="E25" s="18" t="s">
        <v>28</v>
      </c>
      <c r="F25" s="186" t="s">
        <v>4143</v>
      </c>
      <c r="G25" s="199" t="str">
        <f>HYPERLINK("https://leetcode.com/problems/coin-change/","https://leetcode.com/problems/coin-change/")</f>
        <v>https://leetcode.com/problems/coin-change/</v>
      </c>
      <c r="H25" s="187"/>
      <c r="I25" s="7">
        <f>IFERROR(VLOOKUP(C25,'📊 Problem Tracker'!$B$4:$F$1200,5,FALSE()),"")</f>
        <v>0</v>
      </c>
      <c r="J25" s="7"/>
      <c r="K25" s="3"/>
      <c r="L25" s="228" t="s">
        <v>1206</v>
      </c>
      <c r="M25" s="228" t="s">
        <v>1208</v>
      </c>
      <c r="N25" s="7" t="s">
        <v>1209</v>
      </c>
      <c r="O25" s="7" t="s">
        <v>1210</v>
      </c>
    </row>
    <row r="26" spans="1:15" ht="31.5" customHeight="1" x14ac:dyDescent="0.2">
      <c r="A26" s="53">
        <v>3</v>
      </c>
      <c r="B26" s="53" t="s">
        <v>507</v>
      </c>
      <c r="C26" s="53">
        <v>300</v>
      </c>
      <c r="D26" s="54" t="s">
        <v>1135</v>
      </c>
      <c r="E26" s="57" t="s">
        <v>28</v>
      </c>
      <c r="F26" s="188" t="s">
        <v>4144</v>
      </c>
      <c r="G26" s="200" t="str">
        <f>HYPERLINK("https://leetcode.com/problems/longest-increasing-subsequence/","https://leetcode.com/problems/longest-increasing-subsequence/")</f>
        <v>https://leetcode.com/problems/longest-increasing-subsequence/</v>
      </c>
      <c r="H26" s="189"/>
      <c r="I26" s="53">
        <f>IFERROR(VLOOKUP(C26,'📊 Problem Tracker'!$B$4:$F$1200,5,FALSE()),"")</f>
        <v>0</v>
      </c>
      <c r="J26" s="53"/>
      <c r="K26" s="56"/>
      <c r="L26" s="246" t="s">
        <v>1136</v>
      </c>
      <c r="M26" s="246" t="s">
        <v>1139</v>
      </c>
      <c r="N26" s="53" t="s">
        <v>326</v>
      </c>
      <c r="O26" s="53" t="s">
        <v>24</v>
      </c>
    </row>
    <row r="27" spans="1:15" ht="31.5" customHeight="1" x14ac:dyDescent="0.2">
      <c r="A27" s="7">
        <v>4</v>
      </c>
      <c r="B27" s="7" t="s">
        <v>507</v>
      </c>
      <c r="C27" s="7">
        <v>1143</v>
      </c>
      <c r="D27" s="13" t="s">
        <v>2237</v>
      </c>
      <c r="E27" s="18" t="s">
        <v>28</v>
      </c>
      <c r="F27" s="186" t="s">
        <v>4145</v>
      </c>
      <c r="G27" s="199" t="str">
        <f>HYPERLINK("https://leetcode.com/problems/longest-common-subsequence/","https://leetcode.com/problems/longest-common-subsequence/")</f>
        <v>https://leetcode.com/problems/longest-common-subsequence/</v>
      </c>
      <c r="H27" s="187"/>
      <c r="I27" s="7">
        <f>IFERROR(VLOOKUP(C27,'📊 Problem Tracker'!$B$4:$F$1200,5,FALSE()),"")</f>
        <v>0</v>
      </c>
      <c r="J27" s="7"/>
      <c r="K27" s="3"/>
      <c r="L27" s="228" t="s">
        <v>50</v>
      </c>
      <c r="M27" s="228" t="s">
        <v>2240</v>
      </c>
      <c r="N27" s="7" t="s">
        <v>24</v>
      </c>
      <c r="O27" s="7" t="s">
        <v>24</v>
      </c>
    </row>
    <row r="28" spans="1:15" ht="31.5" customHeight="1" x14ac:dyDescent="0.2">
      <c r="A28" s="53">
        <v>5</v>
      </c>
      <c r="B28" s="53" t="s">
        <v>507</v>
      </c>
      <c r="C28" s="53">
        <v>139</v>
      </c>
      <c r="D28" s="54" t="s">
        <v>671</v>
      </c>
      <c r="E28" s="57" t="s">
        <v>28</v>
      </c>
      <c r="F28" s="188" t="s">
        <v>4146</v>
      </c>
      <c r="G28" s="200" t="str">
        <f>HYPERLINK("https://leetcode.com/problems/word-break/","https://leetcode.com/problems/word-break/")</f>
        <v>https://leetcode.com/problems/word-break/</v>
      </c>
      <c r="H28" s="189"/>
      <c r="I28" s="53">
        <f>IFERROR(VLOOKUP(C28,'📊 Problem Tracker'!$B$4:$F$1200,5,FALSE()),"")</f>
        <v>0</v>
      </c>
      <c r="J28" s="53"/>
      <c r="K28" s="56"/>
      <c r="L28" s="246" t="s">
        <v>672</v>
      </c>
      <c r="M28" s="246" t="s">
        <v>508</v>
      </c>
      <c r="N28" s="53" t="s">
        <v>53</v>
      </c>
      <c r="O28" s="53" t="s">
        <v>24</v>
      </c>
    </row>
    <row r="29" spans="1:15" ht="31.5" customHeight="1" x14ac:dyDescent="0.2">
      <c r="A29" s="7">
        <v>6</v>
      </c>
      <c r="B29" s="7" t="s">
        <v>507</v>
      </c>
      <c r="C29" s="7">
        <v>377</v>
      </c>
      <c r="D29" s="13" t="s">
        <v>1324</v>
      </c>
      <c r="E29" s="18" t="s">
        <v>28</v>
      </c>
      <c r="F29" s="186" t="s">
        <v>4147</v>
      </c>
      <c r="G29" s="199" t="str">
        <f>HYPERLINK("https://leetcode.com/problems/combination-sum-iv/","https://leetcode.com/problems/combination-sum-iv/")</f>
        <v>https://leetcode.com/problems/combination-sum-iv/</v>
      </c>
      <c r="H29" s="187"/>
      <c r="I29" s="7">
        <f>IFERROR(VLOOKUP(C29,'📊 Problem Tracker'!$B$4:$F$1200,5,FALSE()),"")</f>
        <v>0</v>
      </c>
      <c r="J29" s="7"/>
      <c r="K29" s="3"/>
      <c r="L29" s="228" t="s">
        <v>309</v>
      </c>
      <c r="M29" s="228" t="s">
        <v>508</v>
      </c>
      <c r="N29" s="7" t="s">
        <v>1326</v>
      </c>
      <c r="O29" s="7" t="s">
        <v>1327</v>
      </c>
    </row>
    <row r="30" spans="1:15" ht="31.5" customHeight="1" x14ac:dyDescent="0.2">
      <c r="A30" s="53">
        <v>7</v>
      </c>
      <c r="B30" s="53" t="s">
        <v>507</v>
      </c>
      <c r="C30" s="53">
        <v>198</v>
      </c>
      <c r="D30" s="54" t="s">
        <v>874</v>
      </c>
      <c r="E30" s="57" t="s">
        <v>28</v>
      </c>
      <c r="F30" s="188" t="s">
        <v>4148</v>
      </c>
      <c r="G30" s="200" t="str">
        <f>HYPERLINK("https://leetcode.com/problems/house-robber/","https://leetcode.com/problems/house-robber/")</f>
        <v>https://leetcode.com/problems/house-robber/</v>
      </c>
      <c r="H30" s="189"/>
      <c r="I30" s="53">
        <f>IFERROR(VLOOKUP(C30,'📊 Problem Tracker'!$B$4:$F$1200,5,FALSE()),"")</f>
        <v>0</v>
      </c>
      <c r="J30" s="53"/>
      <c r="K30" s="56"/>
      <c r="L30" s="246" t="s">
        <v>309</v>
      </c>
      <c r="M30" s="246" t="s">
        <v>876</v>
      </c>
      <c r="N30" s="53" t="s">
        <v>24</v>
      </c>
      <c r="O30" s="53" t="s">
        <v>47</v>
      </c>
    </row>
    <row r="31" spans="1:15" ht="31.5" customHeight="1" x14ac:dyDescent="0.2">
      <c r="A31" s="7">
        <v>8</v>
      </c>
      <c r="B31" s="7" t="s">
        <v>507</v>
      </c>
      <c r="C31" s="7">
        <v>213</v>
      </c>
      <c r="D31" s="13" t="s">
        <v>934</v>
      </c>
      <c r="E31" s="18" t="s">
        <v>28</v>
      </c>
      <c r="F31" s="186" t="s">
        <v>4149</v>
      </c>
      <c r="G31" s="199" t="str">
        <f>HYPERLINK("https://leetcode.com/problems/house-robber-ii/","https://leetcode.com/problems/house-robber-ii/")</f>
        <v>https://leetcode.com/problems/house-robber-ii/</v>
      </c>
      <c r="H31" s="187"/>
      <c r="I31" s="7">
        <f>IFERROR(VLOOKUP(C31,'📊 Problem Tracker'!$B$4:$F$1200,5,FALSE()),"")</f>
        <v>0</v>
      </c>
      <c r="J31" s="7"/>
      <c r="K31" s="3"/>
      <c r="L31" s="228" t="s">
        <v>309</v>
      </c>
      <c r="M31" s="228" t="s">
        <v>508</v>
      </c>
      <c r="N31" s="7" t="s">
        <v>24</v>
      </c>
      <c r="O31" s="7" t="s">
        <v>24</v>
      </c>
    </row>
    <row r="32" spans="1:15" ht="31.5" customHeight="1" x14ac:dyDescent="0.2">
      <c r="A32" s="53">
        <v>9</v>
      </c>
      <c r="B32" s="53" t="s">
        <v>507</v>
      </c>
      <c r="C32" s="53">
        <v>91</v>
      </c>
      <c r="D32" s="54" t="s">
        <v>490</v>
      </c>
      <c r="E32" s="57" t="s">
        <v>28</v>
      </c>
      <c r="F32" s="188" t="s">
        <v>4150</v>
      </c>
      <c r="G32" s="200" t="str">
        <f>HYPERLINK("https://leetcode.com/problems/decode-ways/","https://leetcode.com/problems/decode-ways/")</f>
        <v>https://leetcode.com/problems/decode-ways/</v>
      </c>
      <c r="H32" s="189"/>
      <c r="I32" s="53">
        <f>IFERROR(VLOOKUP(C32,'📊 Problem Tracker'!$B$4:$F$1200,5,FALSE()),"")</f>
        <v>0</v>
      </c>
      <c r="J32" s="53"/>
      <c r="K32" s="56"/>
      <c r="L32" s="246" t="s">
        <v>50</v>
      </c>
      <c r="M32" s="246" t="s">
        <v>492</v>
      </c>
      <c r="N32" s="53" t="s">
        <v>24</v>
      </c>
      <c r="O32" s="53" t="s">
        <v>47</v>
      </c>
    </row>
    <row r="33" spans="1:15" ht="31.5" customHeight="1" x14ac:dyDescent="0.2">
      <c r="A33" s="7">
        <v>10</v>
      </c>
      <c r="B33" s="7" t="s">
        <v>507</v>
      </c>
      <c r="C33" s="7">
        <v>62</v>
      </c>
      <c r="D33" s="13" t="s">
        <v>353</v>
      </c>
      <c r="E33" s="18" t="s">
        <v>28</v>
      </c>
      <c r="F33" s="186" t="s">
        <v>4151</v>
      </c>
      <c r="G33" s="199" t="str">
        <f>HYPERLINK("https://leetcode.com/problems/unique-paths/","https://leetcode.com/problems/unique-paths/")</f>
        <v>https://leetcode.com/problems/unique-paths/</v>
      </c>
      <c r="H33" s="187"/>
      <c r="I33" s="7">
        <f>IFERROR(VLOOKUP(C33,'📊 Problem Tracker'!$B$4:$F$1200,5,FALSE()),"")</f>
        <v>0</v>
      </c>
      <c r="J33" s="7"/>
      <c r="K33" s="3"/>
      <c r="L33" s="228" t="s">
        <v>354</v>
      </c>
      <c r="M33" s="228" t="s">
        <v>357</v>
      </c>
      <c r="N33" s="7" t="s">
        <v>81</v>
      </c>
      <c r="O33" s="7" t="s">
        <v>24</v>
      </c>
    </row>
    <row r="34" spans="1:15" ht="31.5" customHeight="1" x14ac:dyDescent="0.2">
      <c r="A34" s="53">
        <v>11</v>
      </c>
      <c r="B34" s="53" t="s">
        <v>507</v>
      </c>
      <c r="C34" s="53">
        <v>55</v>
      </c>
      <c r="D34" s="54" t="s">
        <v>317</v>
      </c>
      <c r="E34" s="57" t="s">
        <v>28</v>
      </c>
      <c r="F34" s="188" t="s">
        <v>4152</v>
      </c>
      <c r="G34" s="201" t="str">
        <f>HYPERLINK("https://leetcode.com/problems/jump-game/","https://leetcode.com/problems/jump-game/")</f>
        <v>https://leetcode.com/problems/jump-game/</v>
      </c>
      <c r="H34" s="189"/>
      <c r="I34" s="53">
        <f>IFERROR(VLOOKUP(C34,'📊 Problem Tracker'!$B$4:$F$1200,5,FALSE()),"")</f>
        <v>0</v>
      </c>
      <c r="J34" s="53"/>
      <c r="K34" s="56"/>
      <c r="L34" s="246" t="s">
        <v>318</v>
      </c>
      <c r="M34" s="246" t="s">
        <v>320</v>
      </c>
      <c r="N34" s="53" t="s">
        <v>24</v>
      </c>
      <c r="O34" s="53" t="s">
        <v>47</v>
      </c>
    </row>
    <row r="35" spans="1:15" ht="19.5" customHeight="1" x14ac:dyDescent="0.2">
      <c r="A35" s="330" t="s">
        <v>4153</v>
      </c>
      <c r="B35" s="292"/>
      <c r="C35" s="292"/>
      <c r="D35" s="292"/>
      <c r="E35" s="292"/>
      <c r="F35" s="292"/>
      <c r="G35" s="320"/>
      <c r="H35" s="292"/>
      <c r="I35" s="292"/>
      <c r="J35" s="292"/>
      <c r="K35" s="292"/>
      <c r="N35" s="52"/>
      <c r="O35" s="52"/>
    </row>
    <row r="36" spans="1:15" ht="31.5" customHeight="1" x14ac:dyDescent="0.2">
      <c r="A36" s="7">
        <v>1</v>
      </c>
      <c r="B36" s="7" t="s">
        <v>2716</v>
      </c>
      <c r="C36" s="7">
        <v>133</v>
      </c>
      <c r="D36" s="13" t="s">
        <v>645</v>
      </c>
      <c r="E36" s="18" t="s">
        <v>28</v>
      </c>
      <c r="F36" s="186" t="s">
        <v>4154</v>
      </c>
      <c r="G36" s="199" t="str">
        <f>HYPERLINK("https://leetcode.com/problems/clone-graph/","https://leetcode.com/problems/clone-graph/")</f>
        <v>https://leetcode.com/problems/clone-graph/</v>
      </c>
      <c r="H36" s="187"/>
      <c r="I36" s="7">
        <f>IFERROR(VLOOKUP(C36,'📊 Problem Tracker'!$B$4:$F$1200,5,FALSE()),"")</f>
        <v>0</v>
      </c>
      <c r="J36" s="7"/>
      <c r="K36" s="3"/>
      <c r="L36" s="228" t="s">
        <v>646</v>
      </c>
      <c r="M36" s="228" t="s">
        <v>619</v>
      </c>
      <c r="N36" s="7" t="s">
        <v>648</v>
      </c>
      <c r="O36" s="7" t="s">
        <v>649</v>
      </c>
    </row>
    <row r="37" spans="1:15" ht="31.5" customHeight="1" x14ac:dyDescent="0.2">
      <c r="A37" s="53">
        <v>2</v>
      </c>
      <c r="B37" s="53" t="s">
        <v>2716</v>
      </c>
      <c r="C37" s="53">
        <v>207</v>
      </c>
      <c r="D37" s="54" t="s">
        <v>903</v>
      </c>
      <c r="E37" s="57" t="s">
        <v>28</v>
      </c>
      <c r="F37" s="188" t="s">
        <v>4155</v>
      </c>
      <c r="G37" s="200" t="str">
        <f>HYPERLINK("https://leetcode.com/problems/course-schedule/","https://leetcode.com/problems/course-schedule/")</f>
        <v>https://leetcode.com/problems/course-schedule/</v>
      </c>
      <c r="H37" s="189"/>
      <c r="I37" s="53">
        <f>IFERROR(VLOOKUP(C37,'📊 Problem Tracker'!$B$4:$F$1200,5,FALSE()),"")</f>
        <v>0</v>
      </c>
      <c r="J37" s="53"/>
      <c r="K37" s="56"/>
      <c r="L37" s="246" t="s">
        <v>4156</v>
      </c>
      <c r="M37" s="246" t="s">
        <v>906</v>
      </c>
      <c r="N37" s="53" t="s">
        <v>648</v>
      </c>
      <c r="O37" s="53" t="s">
        <v>648</v>
      </c>
    </row>
    <row r="38" spans="1:15" ht="31.5" customHeight="1" x14ac:dyDescent="0.2">
      <c r="A38" s="7">
        <v>3</v>
      </c>
      <c r="B38" s="7" t="s">
        <v>2716</v>
      </c>
      <c r="C38" s="7">
        <v>417</v>
      </c>
      <c r="D38" s="13" t="s">
        <v>1411</v>
      </c>
      <c r="E38" s="18" t="s">
        <v>28</v>
      </c>
      <c r="F38" s="186" t="s">
        <v>4157</v>
      </c>
      <c r="G38" s="199" t="str">
        <f>HYPERLINK("https://leetcode.com/problems/pacific-atlantic-water-flow/","https://leetcode.com/problems/pacific-atlantic-water-flow/")</f>
        <v>https://leetcode.com/problems/pacific-atlantic-water-flow/</v>
      </c>
      <c r="H38" s="187"/>
      <c r="I38" s="7">
        <f>IFERROR(VLOOKUP(C38,'📊 Problem Tracker'!$B$4:$F$1200,5,FALSE()),"")</f>
        <v>0</v>
      </c>
      <c r="J38" s="7"/>
      <c r="K38" s="3"/>
      <c r="L38" s="228" t="s">
        <v>637</v>
      </c>
      <c r="M38" s="228" t="s">
        <v>619</v>
      </c>
      <c r="N38" s="7" t="s">
        <v>81</v>
      </c>
      <c r="O38" s="7" t="s">
        <v>81</v>
      </c>
    </row>
    <row r="39" spans="1:15" ht="31.5" customHeight="1" x14ac:dyDescent="0.2">
      <c r="A39" s="53">
        <v>4</v>
      </c>
      <c r="B39" s="53" t="s">
        <v>2716</v>
      </c>
      <c r="C39" s="53">
        <v>200</v>
      </c>
      <c r="D39" s="54" t="s">
        <v>882</v>
      </c>
      <c r="E39" s="57" t="s">
        <v>28</v>
      </c>
      <c r="F39" s="188" t="s">
        <v>4158</v>
      </c>
      <c r="G39" s="200" t="str">
        <f>HYPERLINK("https://leetcode.com/problems/number-of-islands/","https://leetcode.com/problems/number-of-islands/")</f>
        <v>https://leetcode.com/problems/number-of-islands/</v>
      </c>
      <c r="H39" s="189"/>
      <c r="I39" s="53">
        <f>IFERROR(VLOOKUP(C39,'📊 Problem Tracker'!$B$4:$F$1200,5,FALSE()),"")</f>
        <v>0</v>
      </c>
      <c r="J39" s="53"/>
      <c r="K39" s="56"/>
      <c r="L39" s="246" t="s">
        <v>4159</v>
      </c>
      <c r="M39" s="246" t="s">
        <v>884</v>
      </c>
      <c r="N39" s="53" t="s">
        <v>81</v>
      </c>
      <c r="O39" s="53" t="s">
        <v>81</v>
      </c>
    </row>
    <row r="40" spans="1:15" ht="31.5" customHeight="1" x14ac:dyDescent="0.2">
      <c r="A40" s="7">
        <v>5</v>
      </c>
      <c r="B40" s="7" t="s">
        <v>2716</v>
      </c>
      <c r="C40" s="7">
        <v>128</v>
      </c>
      <c r="D40" s="13" t="s">
        <v>628</v>
      </c>
      <c r="E40" s="18" t="s">
        <v>28</v>
      </c>
      <c r="F40" s="186" t="s">
        <v>4160</v>
      </c>
      <c r="G40" s="199" t="str">
        <f>HYPERLINK("https://leetcode.com/problems/longest-consecutive-sequence/","https://leetcode.com/problems/longest-consecutive-sequence/")</f>
        <v>https://leetcode.com/problems/longest-consecutive-sequence/</v>
      </c>
      <c r="H40" s="187"/>
      <c r="I40" s="7">
        <f>IFERROR(VLOOKUP(C40,'📊 Problem Tracker'!$B$4:$F$1200,5,FALSE()),"")</f>
        <v>0</v>
      </c>
      <c r="J40" s="7"/>
      <c r="K40" s="3"/>
      <c r="L40" s="228" t="s">
        <v>629</v>
      </c>
      <c r="M40" s="228" t="s">
        <v>631</v>
      </c>
      <c r="N40" s="7" t="s">
        <v>24</v>
      </c>
      <c r="O40" s="7" t="s">
        <v>24</v>
      </c>
    </row>
    <row r="41" spans="1:15" ht="31.5" customHeight="1" x14ac:dyDescent="0.2">
      <c r="A41" s="53">
        <v>6</v>
      </c>
      <c r="B41" s="53" t="s">
        <v>2716</v>
      </c>
      <c r="C41" s="53">
        <v>269</v>
      </c>
      <c r="D41" s="54" t="s">
        <v>1063</v>
      </c>
      <c r="E41" s="58" t="s">
        <v>42</v>
      </c>
      <c r="F41" s="188" t="s">
        <v>4161</v>
      </c>
      <c r="G41" s="200" t="str">
        <f>HYPERLINK("https://leetcode.com/problems/alien-dictionary/","https://leetcode.com/problems/alien-dictionary/")</f>
        <v>https://leetcode.com/problems/alien-dictionary/</v>
      </c>
      <c r="H41" s="189" t="s">
        <v>4162</v>
      </c>
      <c r="I41" s="53">
        <f>IFERROR(VLOOKUP(C41,'📊 Problem Tracker'!$B$4:$F$1200,5,FALSE()),"")</f>
        <v>0</v>
      </c>
      <c r="J41" s="53"/>
      <c r="K41" s="56"/>
      <c r="L41" s="246" t="s">
        <v>1167</v>
      </c>
      <c r="M41" s="246" t="s">
        <v>619</v>
      </c>
      <c r="N41" s="53" t="s">
        <v>1065</v>
      </c>
      <c r="O41" s="53" t="s">
        <v>47</v>
      </c>
    </row>
    <row r="42" spans="1:15" ht="31.5" customHeight="1" x14ac:dyDescent="0.2">
      <c r="A42" s="7">
        <v>7</v>
      </c>
      <c r="B42" s="7" t="s">
        <v>2716</v>
      </c>
      <c r="C42" s="7">
        <v>261</v>
      </c>
      <c r="D42" s="13" t="s">
        <v>1049</v>
      </c>
      <c r="E42" s="18" t="s">
        <v>28</v>
      </c>
      <c r="F42" s="186" t="s">
        <v>4163</v>
      </c>
      <c r="G42" s="199" t="str">
        <f>HYPERLINK("https://leetcode.com/problems/graph-valid-tree/","https://leetcode.com/problems/graph-valid-tree/")</f>
        <v>https://leetcode.com/problems/graph-valid-tree/</v>
      </c>
      <c r="H42" s="187" t="s">
        <v>4162</v>
      </c>
      <c r="I42" s="7">
        <f>IFERROR(VLOOKUP(C42,'📊 Problem Tracker'!$B$4:$F$1200,5,FALSE()),"")</f>
        <v>0</v>
      </c>
      <c r="J42" s="7"/>
      <c r="K42" s="3"/>
      <c r="L42" s="228" t="s">
        <v>4164</v>
      </c>
      <c r="M42" s="228" t="s">
        <v>571</v>
      </c>
      <c r="N42" s="7" t="s">
        <v>648</v>
      </c>
      <c r="O42" s="7" t="s">
        <v>648</v>
      </c>
    </row>
    <row r="43" spans="1:15" ht="31.5" customHeight="1" x14ac:dyDescent="0.2">
      <c r="A43" s="53">
        <v>8</v>
      </c>
      <c r="B43" s="53" t="s">
        <v>2716</v>
      </c>
      <c r="C43" s="53">
        <v>323</v>
      </c>
      <c r="D43" s="54" t="s">
        <v>1212</v>
      </c>
      <c r="E43" s="57" t="s">
        <v>28</v>
      </c>
      <c r="F43" s="188" t="s">
        <v>4165</v>
      </c>
      <c r="G43" s="201" t="str">
        <f>HYPERLINK("https://leetcode.com/problems/number-of-connected-components-in-an-undirected-graph/","https://leetcode.com/problems/number-of-connected-components-in-an-undirected-graph/")</f>
        <v>https://leetcode.com/problems/number-of-connected-components-in-an-undirected-graph/</v>
      </c>
      <c r="H43" s="189" t="s">
        <v>4162</v>
      </c>
      <c r="I43" s="53">
        <f>IFERROR(VLOOKUP(C43,'📊 Problem Tracker'!$B$4:$F$1200,5,FALSE()),"")</f>
        <v>0</v>
      </c>
      <c r="J43" s="53"/>
      <c r="K43" s="56"/>
      <c r="L43" s="246" t="s">
        <v>1213</v>
      </c>
      <c r="M43" s="246" t="s">
        <v>619</v>
      </c>
      <c r="N43" s="53" t="s">
        <v>1169</v>
      </c>
      <c r="O43" s="53" t="s">
        <v>649</v>
      </c>
    </row>
    <row r="44" spans="1:15" ht="19.5" customHeight="1" x14ac:dyDescent="0.2">
      <c r="A44" s="319" t="s">
        <v>4166</v>
      </c>
      <c r="B44" s="292"/>
      <c r="C44" s="292"/>
      <c r="D44" s="292"/>
      <c r="E44" s="292"/>
      <c r="F44" s="292"/>
      <c r="G44" s="320"/>
      <c r="H44" s="292"/>
      <c r="I44" s="292"/>
      <c r="J44" s="292"/>
      <c r="K44" s="292"/>
      <c r="N44" s="52"/>
      <c r="O44" s="52"/>
    </row>
    <row r="45" spans="1:15" ht="31.5" customHeight="1" x14ac:dyDescent="0.2">
      <c r="A45" s="7">
        <v>1</v>
      </c>
      <c r="B45" s="7" t="s">
        <v>4167</v>
      </c>
      <c r="C45" s="7">
        <v>57</v>
      </c>
      <c r="D45" s="13" t="s">
        <v>328</v>
      </c>
      <c r="E45" s="18" t="s">
        <v>28</v>
      </c>
      <c r="F45" s="186" t="s">
        <v>4168</v>
      </c>
      <c r="G45" s="199" t="str">
        <f>HYPERLINK("https://leetcode.com/problems/insert-interval/","https://leetcode.com/problems/insert-interval/")</f>
        <v>https://leetcode.com/problems/insert-interval/</v>
      </c>
      <c r="H45" s="187"/>
      <c r="I45" s="7">
        <f>IFERROR(VLOOKUP(C45,'📊 Problem Tracker'!$B$4:$F$1200,5,FALSE()),"")</f>
        <v>0</v>
      </c>
      <c r="J45" s="7"/>
      <c r="K45" s="3"/>
      <c r="L45" s="228" t="s">
        <v>323</v>
      </c>
      <c r="M45" s="228" t="s">
        <v>331</v>
      </c>
      <c r="N45" s="7" t="s">
        <v>24</v>
      </c>
      <c r="O45" s="7" t="s">
        <v>24</v>
      </c>
    </row>
    <row r="46" spans="1:15" ht="31.5" customHeight="1" x14ac:dyDescent="0.2">
      <c r="A46" s="53">
        <v>2</v>
      </c>
      <c r="B46" s="53" t="s">
        <v>4167</v>
      </c>
      <c r="C46" s="53">
        <v>56</v>
      </c>
      <c r="D46" s="54" t="s">
        <v>322</v>
      </c>
      <c r="E46" s="57" t="s">
        <v>28</v>
      </c>
      <c r="F46" s="188" t="s">
        <v>4169</v>
      </c>
      <c r="G46" s="200" t="str">
        <f>HYPERLINK("https://leetcode.com/problems/merge-intervals/","https://leetcode.com/problems/merge-intervals/")</f>
        <v>https://leetcode.com/problems/merge-intervals/</v>
      </c>
      <c r="H46" s="189"/>
      <c r="I46" s="53">
        <f>IFERROR(VLOOKUP(C46,'📊 Problem Tracker'!$B$4:$F$1200,5,FALSE()),"")</f>
        <v>0</v>
      </c>
      <c r="J46" s="53"/>
      <c r="K46" s="56"/>
      <c r="L46" s="246" t="s">
        <v>323</v>
      </c>
      <c r="M46" s="246" t="s">
        <v>325</v>
      </c>
      <c r="N46" s="53" t="s">
        <v>326</v>
      </c>
      <c r="O46" s="53" t="s">
        <v>24</v>
      </c>
    </row>
    <row r="47" spans="1:15" ht="31.5" customHeight="1" x14ac:dyDescent="0.2">
      <c r="A47" s="7">
        <v>3</v>
      </c>
      <c r="B47" s="7" t="s">
        <v>4167</v>
      </c>
      <c r="C47" s="7">
        <v>435</v>
      </c>
      <c r="D47" s="13" t="s">
        <v>1430</v>
      </c>
      <c r="E47" s="18" t="s">
        <v>28</v>
      </c>
      <c r="F47" s="186" t="s">
        <v>4170</v>
      </c>
      <c r="G47" s="199" t="str">
        <f>HYPERLINK("https://leetcode.com/problems/non-overlapping-intervals/","https://leetcode.com/problems/non-overlapping-intervals/")</f>
        <v>https://leetcode.com/problems/non-overlapping-intervals/</v>
      </c>
      <c r="H47" s="187"/>
      <c r="I47" s="7">
        <f>IFERROR(VLOOKUP(C47,'📊 Problem Tracker'!$B$4:$F$1200,5,FALSE()),"")</f>
        <v>0</v>
      </c>
      <c r="J47" s="7"/>
      <c r="K47" s="3"/>
      <c r="L47" s="228" t="s">
        <v>1431</v>
      </c>
      <c r="M47" s="228" t="s">
        <v>1077</v>
      </c>
      <c r="N47" s="7" t="s">
        <v>326</v>
      </c>
      <c r="O47" s="7" t="s">
        <v>47</v>
      </c>
    </row>
    <row r="48" spans="1:15" ht="31.5" customHeight="1" x14ac:dyDescent="0.2">
      <c r="A48" s="53">
        <v>4</v>
      </c>
      <c r="B48" s="53" t="s">
        <v>4167</v>
      </c>
      <c r="C48" s="53">
        <v>252</v>
      </c>
      <c r="D48" s="54" t="s">
        <v>1033</v>
      </c>
      <c r="E48" s="55" t="s">
        <v>20</v>
      </c>
      <c r="F48" s="188" t="s">
        <v>4171</v>
      </c>
      <c r="G48" s="200" t="str">
        <f>HYPERLINK("https://leetcode.com/problems/meeting-rooms/","https://leetcode.com/problems/meeting-rooms/")</f>
        <v>https://leetcode.com/problems/meeting-rooms/</v>
      </c>
      <c r="H48" s="189" t="s">
        <v>4162</v>
      </c>
      <c r="I48" s="53">
        <f>IFERROR(VLOOKUP(C48,'📊 Problem Tracker'!$B$4:$F$1200,5,FALSE()),"")</f>
        <v>0</v>
      </c>
      <c r="J48" s="53"/>
      <c r="K48" s="56"/>
      <c r="L48" s="246" t="s">
        <v>4172</v>
      </c>
      <c r="M48" s="246" t="s">
        <v>1077</v>
      </c>
      <c r="N48" s="53" t="s">
        <v>326</v>
      </c>
      <c r="O48" s="53" t="s">
        <v>24</v>
      </c>
    </row>
    <row r="49" spans="1:15" ht="31.5" customHeight="1" x14ac:dyDescent="0.2">
      <c r="A49" s="7">
        <v>5</v>
      </c>
      <c r="B49" s="7" t="s">
        <v>4167</v>
      </c>
      <c r="C49" s="7">
        <v>253</v>
      </c>
      <c r="D49" s="13" t="s">
        <v>1036</v>
      </c>
      <c r="E49" s="18" t="s">
        <v>28</v>
      </c>
      <c r="F49" s="186" t="s">
        <v>4173</v>
      </c>
      <c r="G49" s="202" t="str">
        <f>HYPERLINK("https://leetcode.com/problems/meeting-rooms-ii/","https://leetcode.com/problems/meeting-rooms-ii/")</f>
        <v>https://leetcode.com/problems/meeting-rooms-ii/</v>
      </c>
      <c r="H49" s="187" t="s">
        <v>4162</v>
      </c>
      <c r="I49" s="7">
        <f>IFERROR(VLOOKUP(C49,'📊 Problem Tracker'!$B$4:$F$1200,5,FALSE()),"")</f>
        <v>0</v>
      </c>
      <c r="J49" s="7"/>
      <c r="K49" s="3"/>
      <c r="L49" s="228" t="s">
        <v>4174</v>
      </c>
      <c r="M49" s="228" t="s">
        <v>959</v>
      </c>
      <c r="N49" s="7" t="s">
        <v>960</v>
      </c>
      <c r="O49" s="7" t="s">
        <v>153</v>
      </c>
    </row>
    <row r="50" spans="1:15" ht="19.5" customHeight="1" x14ac:dyDescent="0.2">
      <c r="A50" s="329" t="s">
        <v>4175</v>
      </c>
      <c r="B50" s="292"/>
      <c r="C50" s="292"/>
      <c r="D50" s="292"/>
      <c r="E50" s="292"/>
      <c r="F50" s="292"/>
      <c r="G50" s="320"/>
      <c r="H50" s="292"/>
      <c r="I50" s="292"/>
      <c r="J50" s="292"/>
      <c r="K50" s="292"/>
      <c r="N50" s="52"/>
      <c r="O50" s="52"/>
    </row>
    <row r="51" spans="1:15" ht="31.5" customHeight="1" x14ac:dyDescent="0.2">
      <c r="A51" s="53">
        <v>1</v>
      </c>
      <c r="B51" s="53" t="s">
        <v>127</v>
      </c>
      <c r="C51" s="53">
        <v>206</v>
      </c>
      <c r="D51" s="54" t="s">
        <v>4176</v>
      </c>
      <c r="E51" s="55" t="s">
        <v>20</v>
      </c>
      <c r="F51" s="188" t="s">
        <v>4177</v>
      </c>
      <c r="G51" s="200" t="str">
        <f>HYPERLINK("https://leetcode.com/problems/reverse-linked-list/","https://leetcode.com/problems/reverse-linked-list/")</f>
        <v>https://leetcode.com/problems/reverse-linked-list/</v>
      </c>
      <c r="H51" s="189"/>
      <c r="I51" s="53">
        <f>IFERROR(VLOOKUP(C51,'📊 Problem Tracker'!$B$4:$F$1200,5,FALSE()),"")</f>
        <v>0</v>
      </c>
      <c r="J51" s="53"/>
      <c r="K51" s="56"/>
      <c r="L51" s="246" t="s">
        <v>127</v>
      </c>
      <c r="M51" s="246" t="s">
        <v>901</v>
      </c>
      <c r="N51" s="53" t="s">
        <v>24</v>
      </c>
      <c r="O51" s="53" t="s">
        <v>47</v>
      </c>
    </row>
    <row r="52" spans="1:15" ht="31.5" customHeight="1" x14ac:dyDescent="0.2">
      <c r="A52" s="7">
        <v>2</v>
      </c>
      <c r="B52" s="7" t="s">
        <v>127</v>
      </c>
      <c r="C52" s="7">
        <v>141</v>
      </c>
      <c r="D52" s="13" t="s">
        <v>4178</v>
      </c>
      <c r="E52" s="21" t="s">
        <v>20</v>
      </c>
      <c r="F52" s="186" t="s">
        <v>4179</v>
      </c>
      <c r="G52" s="199" t="str">
        <f>HYPERLINK("https://leetcode.com/problems/linked-list-cycle/","https://leetcode.com/problems/linked-list-cycle/")</f>
        <v>https://leetcode.com/problems/linked-list-cycle/</v>
      </c>
      <c r="H52" s="187"/>
      <c r="I52" s="7">
        <f>IFERROR(VLOOKUP(C52,'📊 Problem Tracker'!$B$4:$F$1200,5,FALSE()),"")</f>
        <v>0</v>
      </c>
      <c r="J52" s="7"/>
      <c r="K52" s="3"/>
      <c r="L52" s="228" t="s">
        <v>679</v>
      </c>
      <c r="M52" s="228" t="s">
        <v>682</v>
      </c>
      <c r="N52" s="7" t="s">
        <v>24</v>
      </c>
      <c r="O52" s="7" t="s">
        <v>47</v>
      </c>
    </row>
    <row r="53" spans="1:15" ht="31.5" customHeight="1" x14ac:dyDescent="0.2">
      <c r="A53" s="53">
        <v>3</v>
      </c>
      <c r="B53" s="53" t="s">
        <v>127</v>
      </c>
      <c r="C53" s="53">
        <v>21</v>
      </c>
      <c r="D53" s="54" t="s">
        <v>137</v>
      </c>
      <c r="E53" s="55" t="s">
        <v>20</v>
      </c>
      <c r="F53" s="188" t="s">
        <v>4180</v>
      </c>
      <c r="G53" s="200" t="str">
        <f>HYPERLINK("https://leetcode.com/problems/merge-two-sorted-lists/","https://leetcode.com/problems/merge-two-sorted-lists/")</f>
        <v>https://leetcode.com/problems/merge-two-sorted-lists/</v>
      </c>
      <c r="H53" s="189"/>
      <c r="I53" s="53">
        <f>IFERROR(VLOOKUP(C53,'📊 Problem Tracker'!$B$4:$F$1200,5,FALSE()),"")</f>
        <v>0</v>
      </c>
      <c r="J53" s="53"/>
      <c r="K53" s="56"/>
      <c r="L53" s="246" t="s">
        <v>127</v>
      </c>
      <c r="M53" s="246" t="s">
        <v>139</v>
      </c>
      <c r="N53" s="53" t="s">
        <v>140</v>
      </c>
      <c r="O53" s="53" t="s">
        <v>141</v>
      </c>
    </row>
    <row r="54" spans="1:15" ht="31.5" customHeight="1" x14ac:dyDescent="0.2">
      <c r="A54" s="7">
        <v>4</v>
      </c>
      <c r="B54" s="7" t="s">
        <v>127</v>
      </c>
      <c r="C54" s="7">
        <v>23</v>
      </c>
      <c r="D54" s="13" t="s">
        <v>4181</v>
      </c>
      <c r="E54" s="20" t="s">
        <v>42</v>
      </c>
      <c r="F54" s="186" t="s">
        <v>4182</v>
      </c>
      <c r="G54" s="199" t="str">
        <f>HYPERLINK("https://leetcode.com/problems/merge-k-sorted-lists/","https://leetcode.com/problems/merge-k-sorted-lists/")</f>
        <v>https://leetcode.com/problems/merge-k-sorted-lists/</v>
      </c>
      <c r="H54" s="187"/>
      <c r="I54" s="7">
        <f>IFERROR(VLOOKUP(C54,'📊 Problem Tracker'!$B$4:$F$1200,5,FALSE()),"")</f>
        <v>0</v>
      </c>
      <c r="J54" s="7"/>
      <c r="K54" s="3"/>
      <c r="L54" s="228" t="s">
        <v>149</v>
      </c>
      <c r="M54" s="228" t="s">
        <v>151</v>
      </c>
      <c r="N54" s="7" t="s">
        <v>152</v>
      </c>
      <c r="O54" s="7" t="s">
        <v>153</v>
      </c>
    </row>
    <row r="55" spans="1:15" ht="31.5" customHeight="1" x14ac:dyDescent="0.2">
      <c r="A55" s="53">
        <v>5</v>
      </c>
      <c r="B55" s="53" t="s">
        <v>127</v>
      </c>
      <c r="C55" s="53">
        <v>19</v>
      </c>
      <c r="D55" s="54" t="s">
        <v>4183</v>
      </c>
      <c r="E55" s="57" t="s">
        <v>28</v>
      </c>
      <c r="F55" s="188" t="s">
        <v>4184</v>
      </c>
      <c r="G55" s="200" t="str">
        <f>HYPERLINK("https://leetcode.com/problems/remove-nth-node-from-end-of-list/","https://leetcode.com/problems/remove-nth-node-from-end-of-list/")</f>
        <v>https://leetcode.com/problems/remove-nth-node-from-end-of-list/</v>
      </c>
      <c r="H55" s="189"/>
      <c r="I55" s="53">
        <f>IFERROR(VLOOKUP(C55,'📊 Problem Tracker'!$B$4:$F$1200,5,FALSE()),"")</f>
        <v>0</v>
      </c>
      <c r="J55" s="53"/>
      <c r="K55" s="56"/>
      <c r="L55" s="246" t="s">
        <v>679</v>
      </c>
      <c r="M55" s="246" t="s">
        <v>130</v>
      </c>
      <c r="N55" s="53" t="s">
        <v>24</v>
      </c>
      <c r="O55" s="53" t="s">
        <v>47</v>
      </c>
    </row>
    <row r="56" spans="1:15" ht="31.5" customHeight="1" x14ac:dyDescent="0.2">
      <c r="A56" s="7">
        <v>6</v>
      </c>
      <c r="B56" s="7" t="s">
        <v>127</v>
      </c>
      <c r="C56" s="7">
        <v>143</v>
      </c>
      <c r="D56" s="13" t="s">
        <v>688</v>
      </c>
      <c r="E56" s="18" t="s">
        <v>28</v>
      </c>
      <c r="F56" s="186" t="s">
        <v>4185</v>
      </c>
      <c r="G56" s="202" t="str">
        <f>HYPERLINK("https://leetcode.com/problems/reorder-list/","https://leetcode.com/problems/reorder-list/")</f>
        <v>https://leetcode.com/problems/reorder-list/</v>
      </c>
      <c r="H56" s="187"/>
      <c r="I56" s="7">
        <f>IFERROR(VLOOKUP(C56,'📊 Problem Tracker'!$B$4:$F$1200,5,FALSE()),"")</f>
        <v>0</v>
      </c>
      <c r="J56" s="7"/>
      <c r="K56" s="3"/>
      <c r="L56" s="228" t="s">
        <v>679</v>
      </c>
      <c r="M56" s="228" t="s">
        <v>461</v>
      </c>
      <c r="N56" s="7" t="s">
        <v>24</v>
      </c>
      <c r="O56" s="7" t="s">
        <v>47</v>
      </c>
    </row>
    <row r="57" spans="1:15" ht="19.5" customHeight="1" x14ac:dyDescent="0.2">
      <c r="A57" s="324" t="s">
        <v>4186</v>
      </c>
      <c r="B57" s="292"/>
      <c r="C57" s="292"/>
      <c r="D57" s="292"/>
      <c r="E57" s="292"/>
      <c r="F57" s="292"/>
      <c r="G57" s="320"/>
      <c r="H57" s="292"/>
      <c r="I57" s="292"/>
      <c r="J57" s="292"/>
      <c r="K57" s="292"/>
      <c r="N57" s="52"/>
      <c r="O57" s="52"/>
    </row>
    <row r="58" spans="1:15" ht="31.5" customHeight="1" x14ac:dyDescent="0.2">
      <c r="A58" s="53">
        <v>1</v>
      </c>
      <c r="B58" s="53" t="s">
        <v>4187</v>
      </c>
      <c r="C58" s="53">
        <v>73</v>
      </c>
      <c r="D58" s="54" t="s">
        <v>411</v>
      </c>
      <c r="E58" s="57" t="s">
        <v>28</v>
      </c>
      <c r="F58" s="188" t="s">
        <v>4188</v>
      </c>
      <c r="G58" s="200" t="str">
        <f>HYPERLINK("https://leetcode.com/problems/set-matrix-zeroes/","https://leetcode.com/problems/set-matrix-zeroes/")</f>
        <v>https://leetcode.com/problems/set-matrix-zeroes/</v>
      </c>
      <c r="H58" s="189"/>
      <c r="I58" s="53">
        <f>IFERROR(VLOOKUP(C58,'📊 Problem Tracker'!$B$4:$F$1200,5,FALSE()),"")</f>
        <v>0</v>
      </c>
      <c r="J58" s="53"/>
      <c r="K58" s="56"/>
      <c r="L58" s="246" t="s">
        <v>283</v>
      </c>
      <c r="M58" s="246" t="s">
        <v>413</v>
      </c>
      <c r="N58" s="53" t="s">
        <v>81</v>
      </c>
      <c r="O58" s="53" t="s">
        <v>47</v>
      </c>
    </row>
    <row r="59" spans="1:15" ht="31.5" customHeight="1" x14ac:dyDescent="0.2">
      <c r="A59" s="7">
        <v>2</v>
      </c>
      <c r="B59" s="7" t="s">
        <v>4187</v>
      </c>
      <c r="C59" s="7">
        <v>54</v>
      </c>
      <c r="D59" s="13" t="s">
        <v>313</v>
      </c>
      <c r="E59" s="18" t="s">
        <v>28</v>
      </c>
      <c r="F59" s="186" t="s">
        <v>4189</v>
      </c>
      <c r="G59" s="199" t="str">
        <f>HYPERLINK("https://leetcode.com/problems/spiral-matrix/","https://leetcode.com/problems/spiral-matrix/")</f>
        <v>https://leetcode.com/problems/spiral-matrix/</v>
      </c>
      <c r="H59" s="187"/>
      <c r="I59" s="7">
        <f>IFERROR(VLOOKUP(C59,'📊 Problem Tracker'!$B$4:$F$1200,5,FALSE()),"")</f>
        <v>0</v>
      </c>
      <c r="J59" s="7"/>
      <c r="K59" s="3"/>
      <c r="L59" s="228" t="s">
        <v>283</v>
      </c>
      <c r="M59" s="228" t="s">
        <v>315</v>
      </c>
      <c r="N59" s="7" t="s">
        <v>81</v>
      </c>
      <c r="O59" s="7" t="s">
        <v>47</v>
      </c>
    </row>
    <row r="60" spans="1:15" ht="31.5" customHeight="1" x14ac:dyDescent="0.2">
      <c r="A60" s="53">
        <v>3</v>
      </c>
      <c r="B60" s="53" t="s">
        <v>4187</v>
      </c>
      <c r="C60" s="53">
        <v>48</v>
      </c>
      <c r="D60" s="54" t="s">
        <v>282</v>
      </c>
      <c r="E60" s="57" t="s">
        <v>28</v>
      </c>
      <c r="F60" s="188" t="s">
        <v>4190</v>
      </c>
      <c r="G60" s="200" t="str">
        <f>HYPERLINK("https://leetcode.com/problems/rotate-image/","https://leetcode.com/problems/rotate-image/")</f>
        <v>https://leetcode.com/problems/rotate-image/</v>
      </c>
      <c r="H60" s="189"/>
      <c r="I60" s="53">
        <f>IFERROR(VLOOKUP(C60,'📊 Problem Tracker'!$B$4:$F$1200,5,FALSE()),"")</f>
        <v>0</v>
      </c>
      <c r="J60" s="53"/>
      <c r="K60" s="56"/>
      <c r="L60" s="246" t="s">
        <v>283</v>
      </c>
      <c r="M60" s="246" t="s">
        <v>286</v>
      </c>
      <c r="N60" s="53" t="s">
        <v>53</v>
      </c>
      <c r="O60" s="53" t="s">
        <v>47</v>
      </c>
    </row>
    <row r="61" spans="1:15" ht="31.5" customHeight="1" x14ac:dyDescent="0.2">
      <c r="A61" s="7">
        <v>4</v>
      </c>
      <c r="B61" s="7" t="s">
        <v>4187</v>
      </c>
      <c r="C61" s="7">
        <v>79</v>
      </c>
      <c r="D61" s="13" t="s">
        <v>442</v>
      </c>
      <c r="E61" s="18" t="s">
        <v>28</v>
      </c>
      <c r="F61" s="186" t="s">
        <v>4191</v>
      </c>
      <c r="G61" s="202" t="str">
        <f>HYPERLINK("https://leetcode.com/problems/word-search/","https://leetcode.com/problems/word-search/")</f>
        <v>https://leetcode.com/problems/word-search/</v>
      </c>
      <c r="H61" s="187"/>
      <c r="I61" s="7">
        <f>IFERROR(VLOOKUP(C61,'📊 Problem Tracker'!$B$4:$F$1200,5,FALSE()),"")</f>
        <v>0</v>
      </c>
      <c r="J61" s="7"/>
      <c r="K61" s="3"/>
      <c r="L61" s="228" t="s">
        <v>4192</v>
      </c>
      <c r="M61" s="228" t="s">
        <v>445</v>
      </c>
      <c r="N61" s="7" t="s">
        <v>446</v>
      </c>
      <c r="O61" s="7" t="s">
        <v>392</v>
      </c>
    </row>
    <row r="62" spans="1:15" ht="19.5" customHeight="1" x14ac:dyDescent="0.2">
      <c r="A62" s="323" t="s">
        <v>4193</v>
      </c>
      <c r="B62" s="292"/>
      <c r="C62" s="292"/>
      <c r="D62" s="292"/>
      <c r="E62" s="292"/>
      <c r="F62" s="292"/>
      <c r="G62" s="320"/>
      <c r="H62" s="292"/>
      <c r="I62" s="292"/>
      <c r="J62" s="292"/>
      <c r="K62" s="292"/>
      <c r="N62" s="52"/>
      <c r="O62" s="52"/>
    </row>
    <row r="63" spans="1:15" ht="31.5" customHeight="1" x14ac:dyDescent="0.2">
      <c r="A63" s="53">
        <v>1</v>
      </c>
      <c r="B63" s="53" t="s">
        <v>98</v>
      </c>
      <c r="C63" s="53">
        <v>3</v>
      </c>
      <c r="D63" s="54" t="s">
        <v>4194</v>
      </c>
      <c r="E63" s="57" t="s">
        <v>28</v>
      </c>
      <c r="F63" s="188" t="s">
        <v>4195</v>
      </c>
      <c r="G63" s="200" t="str">
        <f>HYPERLINK("https://leetcode.com/problems/longest-substring-without-repeating-characters/","https://leetcode.com/problems/longest-substring-without-repeating-characters/")</f>
        <v>https://leetcode.com/problems/longest-substring-without-repeating-characters/</v>
      </c>
      <c r="H63" s="189"/>
      <c r="I63" s="53">
        <f>IFERROR(VLOOKUP(C63,'📊 Problem Tracker'!$B$4:$F$1200,5,FALSE()),"")</f>
        <v>0</v>
      </c>
      <c r="J63" s="53"/>
      <c r="K63" s="56"/>
      <c r="L63" s="246" t="s">
        <v>427</v>
      </c>
      <c r="M63" s="246" t="s">
        <v>37</v>
      </c>
      <c r="N63" s="53" t="s">
        <v>24</v>
      </c>
      <c r="O63" s="53" t="s">
        <v>38</v>
      </c>
    </row>
    <row r="64" spans="1:15" ht="31.5" customHeight="1" x14ac:dyDescent="0.2">
      <c r="A64" s="7">
        <v>2</v>
      </c>
      <c r="B64" s="7" t="s">
        <v>98</v>
      </c>
      <c r="C64" s="7">
        <v>424</v>
      </c>
      <c r="D64" s="13" t="s">
        <v>1416</v>
      </c>
      <c r="E64" s="18" t="s">
        <v>28</v>
      </c>
      <c r="F64" s="186" t="s">
        <v>4196</v>
      </c>
      <c r="G64" s="199" t="str">
        <f>HYPERLINK("https://leetcode.com/problems/longest-repeating-character-replacement/","https://leetcode.com/problems/longest-repeating-character-replacement/")</f>
        <v>https://leetcode.com/problems/longest-repeating-character-replacement/</v>
      </c>
      <c r="H64" s="187"/>
      <c r="I64" s="7">
        <f>IFERROR(VLOOKUP(C64,'📊 Problem Tracker'!$B$4:$F$1200,5,FALSE()),"")</f>
        <v>0</v>
      </c>
      <c r="J64" s="7"/>
      <c r="K64" s="3"/>
      <c r="L64" s="228" t="s">
        <v>427</v>
      </c>
      <c r="M64" s="228" t="s">
        <v>1418</v>
      </c>
      <c r="N64" s="7" t="s">
        <v>24</v>
      </c>
      <c r="O64" s="7" t="s">
        <v>1096</v>
      </c>
    </row>
    <row r="65" spans="1:15" ht="31.5" customHeight="1" x14ac:dyDescent="0.2">
      <c r="A65" s="53">
        <v>3</v>
      </c>
      <c r="B65" s="53" t="s">
        <v>98</v>
      </c>
      <c r="C65" s="53">
        <v>76</v>
      </c>
      <c r="D65" s="54" t="s">
        <v>426</v>
      </c>
      <c r="E65" s="58" t="s">
        <v>42</v>
      </c>
      <c r="F65" s="188" t="s">
        <v>4197</v>
      </c>
      <c r="G65" s="200" t="str">
        <f>HYPERLINK("https://leetcode.com/problems/minimum-window-substring/","https://leetcode.com/problems/minimum-window-substring/")</f>
        <v>https://leetcode.com/problems/minimum-window-substring/</v>
      </c>
      <c r="H65" s="189"/>
      <c r="I65" s="53">
        <f>IFERROR(VLOOKUP(C65,'📊 Problem Tracker'!$B$4:$F$1200,5,FALSE()),"")</f>
        <v>0</v>
      </c>
      <c r="J65" s="53"/>
      <c r="K65" s="56"/>
      <c r="L65" s="246" t="s">
        <v>427</v>
      </c>
      <c r="M65" s="246" t="s">
        <v>430</v>
      </c>
      <c r="N65" s="53" t="s">
        <v>178</v>
      </c>
      <c r="O65" s="53" t="s">
        <v>153</v>
      </c>
    </row>
    <row r="66" spans="1:15" ht="31.5" customHeight="1" x14ac:dyDescent="0.2">
      <c r="A66" s="7">
        <v>4</v>
      </c>
      <c r="B66" s="7" t="s">
        <v>98</v>
      </c>
      <c r="C66" s="7">
        <v>242</v>
      </c>
      <c r="D66" s="13" t="s">
        <v>1022</v>
      </c>
      <c r="E66" s="21" t="s">
        <v>20</v>
      </c>
      <c r="F66" s="186" t="s">
        <v>4198</v>
      </c>
      <c r="G66" s="199" t="str">
        <f>HYPERLINK("https://leetcode.com/problems/valid-anagram/","https://leetcode.com/problems/valid-anagram/")</f>
        <v>https://leetcode.com/problems/valid-anagram/</v>
      </c>
      <c r="H66" s="187"/>
      <c r="I66" s="7">
        <f>IFERROR(VLOOKUP(C66,'📊 Problem Tracker'!$B$4:$F$1200,5,FALSE()),"")</f>
        <v>0</v>
      </c>
      <c r="J66" s="7"/>
      <c r="K66" s="3"/>
      <c r="L66" s="228" t="s">
        <v>897</v>
      </c>
      <c r="M66" s="228" t="s">
        <v>1024</v>
      </c>
      <c r="N66" s="7" t="s">
        <v>24</v>
      </c>
      <c r="O66" s="7" t="s">
        <v>47</v>
      </c>
    </row>
    <row r="67" spans="1:15" ht="31.5" customHeight="1" x14ac:dyDescent="0.2">
      <c r="A67" s="53">
        <v>5</v>
      </c>
      <c r="B67" s="53" t="s">
        <v>98</v>
      </c>
      <c r="C67" s="53">
        <v>49</v>
      </c>
      <c r="D67" s="54" t="s">
        <v>288</v>
      </c>
      <c r="E67" s="57" t="s">
        <v>28</v>
      </c>
      <c r="F67" s="188" t="s">
        <v>4199</v>
      </c>
      <c r="G67" s="200" t="str">
        <f>HYPERLINK("https://leetcode.com/problems/group-anagrams/","https://leetcode.com/problems/group-anagrams/")</f>
        <v>https://leetcode.com/problems/group-anagrams/</v>
      </c>
      <c r="H67" s="189"/>
      <c r="I67" s="53">
        <f>IFERROR(VLOOKUP(C67,'📊 Problem Tracker'!$B$4:$F$1200,5,FALSE()),"")</f>
        <v>0</v>
      </c>
      <c r="J67" s="53"/>
      <c r="K67" s="56"/>
      <c r="L67" s="246" t="s">
        <v>289</v>
      </c>
      <c r="M67" s="246" t="s">
        <v>291</v>
      </c>
      <c r="N67" s="53" t="s">
        <v>292</v>
      </c>
      <c r="O67" s="53" t="s">
        <v>292</v>
      </c>
    </row>
    <row r="68" spans="1:15" ht="31.5" customHeight="1" x14ac:dyDescent="0.2">
      <c r="A68" s="7">
        <v>6</v>
      </c>
      <c r="B68" s="7" t="s">
        <v>98</v>
      </c>
      <c r="C68" s="7">
        <v>20</v>
      </c>
      <c r="D68" s="13" t="s">
        <v>132</v>
      </c>
      <c r="E68" s="21" t="s">
        <v>20</v>
      </c>
      <c r="F68" s="186" t="s">
        <v>4200</v>
      </c>
      <c r="G68" s="199" t="str">
        <f>HYPERLINK("https://leetcode.com/problems/valid-parentheses/","https://leetcode.com/problems/valid-parentheses/")</f>
        <v>https://leetcode.com/problems/valid-parentheses/</v>
      </c>
      <c r="H68" s="187"/>
      <c r="I68" s="7">
        <f>IFERROR(VLOOKUP(C68,'📊 Problem Tracker'!$B$4:$F$1200,5,FALSE()),"")</f>
        <v>0</v>
      </c>
      <c r="J68" s="7"/>
      <c r="K68" s="3"/>
      <c r="L68" s="228" t="s">
        <v>133</v>
      </c>
      <c r="M68" s="228" t="s">
        <v>135</v>
      </c>
      <c r="N68" s="7" t="s">
        <v>24</v>
      </c>
      <c r="O68" s="7" t="s">
        <v>24</v>
      </c>
    </row>
    <row r="69" spans="1:15" ht="31.5" customHeight="1" x14ac:dyDescent="0.2">
      <c r="A69" s="53">
        <v>7</v>
      </c>
      <c r="B69" s="53" t="s">
        <v>98</v>
      </c>
      <c r="C69" s="53">
        <v>125</v>
      </c>
      <c r="D69" s="54" t="s">
        <v>610</v>
      </c>
      <c r="E69" s="55" t="s">
        <v>20</v>
      </c>
      <c r="F69" s="188" t="s">
        <v>4201</v>
      </c>
      <c r="G69" s="200" t="str">
        <f>HYPERLINK("https://leetcode.com/problems/valid-palindrome/","https://leetcode.com/problems/valid-palindrome/")</f>
        <v>https://leetcode.com/problems/valid-palindrome/</v>
      </c>
      <c r="H69" s="189"/>
      <c r="I69" s="53">
        <f>IFERROR(VLOOKUP(C69,'📊 Problem Tracker'!$B$4:$F$1200,5,FALSE()),"")</f>
        <v>0</v>
      </c>
      <c r="J69" s="53"/>
      <c r="K69" s="56"/>
      <c r="L69" s="246" t="s">
        <v>611</v>
      </c>
      <c r="M69" s="246" t="s">
        <v>613</v>
      </c>
      <c r="N69" s="53" t="s">
        <v>24</v>
      </c>
      <c r="O69" s="53" t="s">
        <v>47</v>
      </c>
    </row>
    <row r="70" spans="1:15" ht="31.5" customHeight="1" x14ac:dyDescent="0.2">
      <c r="A70" s="7">
        <v>8</v>
      </c>
      <c r="B70" s="7" t="s">
        <v>98</v>
      </c>
      <c r="C70" s="7">
        <v>5</v>
      </c>
      <c r="D70" s="13" t="s">
        <v>49</v>
      </c>
      <c r="E70" s="18" t="s">
        <v>28</v>
      </c>
      <c r="F70" s="186" t="s">
        <v>4202</v>
      </c>
      <c r="G70" s="199" t="str">
        <f>HYPERLINK("https://leetcode.com/problems/longest-palindromic-substring/","https://leetcode.com/problems/longest-palindromic-substring/")</f>
        <v>https://leetcode.com/problems/longest-palindromic-substring/</v>
      </c>
      <c r="H70" s="187"/>
      <c r="I70" s="7">
        <f>IFERROR(VLOOKUP(C70,'📊 Problem Tracker'!$B$4:$F$1200,5,FALSE()),"")</f>
        <v>0</v>
      </c>
      <c r="J70" s="7"/>
      <c r="K70" s="3"/>
      <c r="L70" s="228" t="s">
        <v>50</v>
      </c>
      <c r="M70" s="228" t="s">
        <v>52</v>
      </c>
      <c r="N70" s="7" t="s">
        <v>53</v>
      </c>
      <c r="O70" s="7" t="s">
        <v>47</v>
      </c>
    </row>
    <row r="71" spans="1:15" ht="31.5" customHeight="1" x14ac:dyDescent="0.2">
      <c r="A71" s="53">
        <v>9</v>
      </c>
      <c r="B71" s="53" t="s">
        <v>98</v>
      </c>
      <c r="C71" s="53">
        <v>647</v>
      </c>
      <c r="D71" s="54" t="s">
        <v>1702</v>
      </c>
      <c r="E71" s="57" t="s">
        <v>28</v>
      </c>
      <c r="F71" s="188" t="s">
        <v>4203</v>
      </c>
      <c r="G71" s="200" t="str">
        <f>HYPERLINK("https://leetcode.com/problems/palindromic-substrings/","https://leetcode.com/problems/palindromic-substrings/")</f>
        <v>https://leetcode.com/problems/palindromic-substrings/</v>
      </c>
      <c r="H71" s="189"/>
      <c r="I71" s="53">
        <f>IFERROR(VLOOKUP(C71,'📊 Problem Tracker'!$B$4:$F$1200,5,FALSE()),"")</f>
        <v>0</v>
      </c>
      <c r="J71" s="53"/>
      <c r="K71" s="56"/>
      <c r="L71" s="246" t="s">
        <v>4204</v>
      </c>
      <c r="M71" s="246" t="s">
        <v>571</v>
      </c>
      <c r="N71" s="53" t="s">
        <v>53</v>
      </c>
      <c r="O71" s="53" t="s">
        <v>47</v>
      </c>
    </row>
    <row r="72" spans="1:15" ht="31.5" customHeight="1" x14ac:dyDescent="0.2">
      <c r="A72" s="7">
        <v>10</v>
      </c>
      <c r="B72" s="7" t="s">
        <v>98</v>
      </c>
      <c r="C72" s="7">
        <v>659</v>
      </c>
      <c r="D72" s="13" t="s">
        <v>1069</v>
      </c>
      <c r="E72" s="18" t="s">
        <v>28</v>
      </c>
      <c r="F72" s="186" t="s">
        <v>4205</v>
      </c>
      <c r="G72" s="202" t="str">
        <f>HYPERLINK("https://leetcode.com/problems/encode-and-decode-strings/","https://leetcode.com/problems/encode-and-decode-strings/")</f>
        <v>https://leetcode.com/problems/encode-and-decode-strings/</v>
      </c>
      <c r="H72" s="187" t="s">
        <v>4162</v>
      </c>
      <c r="I72" s="7">
        <f>IFERROR(VLOOKUP(C72,'📊 Problem Tracker'!$B$4:$F$1200,5,FALSE()),"")</f>
        <v>0</v>
      </c>
      <c r="J72" s="7"/>
      <c r="K72" s="3"/>
      <c r="L72" s="228" t="s">
        <v>1715</v>
      </c>
      <c r="M72" s="228" t="s">
        <v>750</v>
      </c>
      <c r="N72" s="7" t="s">
        <v>24</v>
      </c>
      <c r="O72" s="7" t="s">
        <v>24</v>
      </c>
    </row>
    <row r="73" spans="1:15" ht="19.5" customHeight="1" x14ac:dyDescent="0.2">
      <c r="A73" s="325" t="s">
        <v>4206</v>
      </c>
      <c r="B73" s="292"/>
      <c r="C73" s="292"/>
      <c r="D73" s="292"/>
      <c r="E73" s="292"/>
      <c r="F73" s="292"/>
      <c r="G73" s="320"/>
      <c r="H73" s="292"/>
      <c r="I73" s="292"/>
      <c r="J73" s="292"/>
      <c r="K73" s="292"/>
      <c r="N73" s="52"/>
      <c r="O73" s="52"/>
    </row>
    <row r="74" spans="1:15" ht="31.5" customHeight="1" x14ac:dyDescent="0.2">
      <c r="A74" s="53">
        <v>1</v>
      </c>
      <c r="B74" s="53" t="s">
        <v>4207</v>
      </c>
      <c r="C74" s="53">
        <v>104</v>
      </c>
      <c r="D74" s="54" t="s">
        <v>544</v>
      </c>
      <c r="E74" s="55" t="s">
        <v>20</v>
      </c>
      <c r="F74" s="188" t="s">
        <v>4208</v>
      </c>
      <c r="G74" s="200" t="str">
        <f>HYPERLINK("https://leetcode.com/problems/maximum-depth-of-binary-tree/","https://leetcode.com/problems/maximum-depth-of-binary-tree/")</f>
        <v>https://leetcode.com/problems/maximum-depth-of-binary-tree/</v>
      </c>
      <c r="H74" s="189"/>
      <c r="I74" s="53">
        <f>IFERROR(VLOOKUP(C74,'📊 Problem Tracker'!$B$4:$F$1200,5,FALSE()),"")</f>
        <v>0</v>
      </c>
      <c r="J74" s="53"/>
      <c r="K74" s="56"/>
      <c r="L74" s="246" t="s">
        <v>500</v>
      </c>
      <c r="M74" s="246" t="s">
        <v>546</v>
      </c>
      <c r="N74" s="53" t="s">
        <v>24</v>
      </c>
      <c r="O74" s="53" t="s">
        <v>503</v>
      </c>
    </row>
    <row r="75" spans="1:15" ht="31.5" customHeight="1" x14ac:dyDescent="0.2">
      <c r="A75" s="7">
        <v>2</v>
      </c>
      <c r="B75" s="7" t="s">
        <v>4207</v>
      </c>
      <c r="C75" s="7">
        <v>100</v>
      </c>
      <c r="D75" s="13" t="s">
        <v>524</v>
      </c>
      <c r="E75" s="21" t="s">
        <v>20</v>
      </c>
      <c r="F75" s="186" t="s">
        <v>4209</v>
      </c>
      <c r="G75" s="199" t="str">
        <f>HYPERLINK("https://leetcode.com/problems/same-tree/","https://leetcode.com/problems/same-tree/")</f>
        <v>https://leetcode.com/problems/same-tree/</v>
      </c>
      <c r="H75" s="187"/>
      <c r="I75" s="7">
        <f>IFERROR(VLOOKUP(C75,'📊 Problem Tracker'!$B$4:$F$1200,5,FALSE()),"")</f>
        <v>0</v>
      </c>
      <c r="J75" s="7"/>
      <c r="K75" s="3"/>
      <c r="L75" s="228" t="s">
        <v>500</v>
      </c>
      <c r="M75" s="228" t="s">
        <v>526</v>
      </c>
      <c r="N75" s="7" t="s">
        <v>24</v>
      </c>
      <c r="O75" s="7" t="s">
        <v>503</v>
      </c>
    </row>
    <row r="76" spans="1:15" ht="31.5" customHeight="1" x14ac:dyDescent="0.2">
      <c r="A76" s="53">
        <v>3</v>
      </c>
      <c r="B76" s="53" t="s">
        <v>4207</v>
      </c>
      <c r="C76" s="53">
        <v>226</v>
      </c>
      <c r="D76" s="54" t="s">
        <v>4210</v>
      </c>
      <c r="E76" s="55" t="s">
        <v>20</v>
      </c>
      <c r="F76" s="188" t="s">
        <v>4211</v>
      </c>
      <c r="G76" s="200" t="str">
        <f>HYPERLINK("https://leetcode.com/problems/invert-binary-tree/","https://leetcode.com/problems/invert-binary-tree/")</f>
        <v>https://leetcode.com/problems/invert-binary-tree/</v>
      </c>
      <c r="H76" s="189"/>
      <c r="I76" s="53">
        <f>IFERROR(VLOOKUP(C76,'📊 Problem Tracker'!$B$4:$F$1200,5,FALSE()),"")</f>
        <v>0</v>
      </c>
      <c r="J76" s="53"/>
      <c r="K76" s="56"/>
      <c r="L76" s="246" t="s">
        <v>500</v>
      </c>
      <c r="M76" s="246" t="s">
        <v>978</v>
      </c>
      <c r="N76" s="53" t="s">
        <v>24</v>
      </c>
      <c r="O76" s="53" t="s">
        <v>503</v>
      </c>
    </row>
    <row r="77" spans="1:15" ht="31.5" customHeight="1" x14ac:dyDescent="0.2">
      <c r="A77" s="7">
        <v>4</v>
      </c>
      <c r="B77" s="7" t="s">
        <v>4207</v>
      </c>
      <c r="C77" s="7">
        <v>124</v>
      </c>
      <c r="D77" s="13" t="s">
        <v>605</v>
      </c>
      <c r="E77" s="20" t="s">
        <v>42</v>
      </c>
      <c r="F77" s="186" t="s">
        <v>4212</v>
      </c>
      <c r="G77" s="199" t="str">
        <f>HYPERLINK("https://leetcode.com/problems/binary-tree-maximum-path-sum/","https://leetcode.com/problems/binary-tree-maximum-path-sum/")</f>
        <v>https://leetcode.com/problems/binary-tree-maximum-path-sum/</v>
      </c>
      <c r="H77" s="187"/>
      <c r="I77" s="7">
        <f>IFERROR(VLOOKUP(C77,'📊 Problem Tracker'!$B$4:$F$1200,5,FALSE()),"")</f>
        <v>0</v>
      </c>
      <c r="J77" s="7"/>
      <c r="K77" s="3"/>
      <c r="L77" s="228" t="s">
        <v>606</v>
      </c>
      <c r="M77" s="228" t="s">
        <v>608</v>
      </c>
      <c r="N77" s="7" t="s">
        <v>24</v>
      </c>
      <c r="O77" s="7" t="s">
        <v>503</v>
      </c>
    </row>
    <row r="78" spans="1:15" ht="31.5" customHeight="1" x14ac:dyDescent="0.2">
      <c r="A78" s="53">
        <v>5</v>
      </c>
      <c r="B78" s="53" t="s">
        <v>4207</v>
      </c>
      <c r="C78" s="53">
        <v>102</v>
      </c>
      <c r="D78" s="54" t="s">
        <v>533</v>
      </c>
      <c r="E78" s="57" t="s">
        <v>28</v>
      </c>
      <c r="F78" s="188" t="s">
        <v>4213</v>
      </c>
      <c r="G78" s="200" t="str">
        <f>HYPERLINK("https://leetcode.com/problems/binary-tree-level-order-traversal/","https://leetcode.com/problems/binary-tree-level-order-traversal/")</f>
        <v>https://leetcode.com/problems/binary-tree-level-order-traversal/</v>
      </c>
      <c r="H78" s="189"/>
      <c r="I78" s="53">
        <f>IFERROR(VLOOKUP(C78,'📊 Problem Tracker'!$B$4:$F$1200,5,FALSE()),"")</f>
        <v>0</v>
      </c>
      <c r="J78" s="53"/>
      <c r="K78" s="56"/>
      <c r="L78" s="246" t="s">
        <v>534</v>
      </c>
      <c r="M78" s="246" t="s">
        <v>536</v>
      </c>
      <c r="N78" s="53" t="s">
        <v>24</v>
      </c>
      <c r="O78" s="53" t="s">
        <v>24</v>
      </c>
    </row>
    <row r="79" spans="1:15" ht="31.5" customHeight="1" x14ac:dyDescent="0.2">
      <c r="A79" s="7">
        <v>6</v>
      </c>
      <c r="B79" s="7" t="s">
        <v>4207</v>
      </c>
      <c r="C79" s="7">
        <v>297</v>
      </c>
      <c r="D79" s="13" t="s">
        <v>1126</v>
      </c>
      <c r="E79" s="20" t="s">
        <v>42</v>
      </c>
      <c r="F79" s="186" t="s">
        <v>4214</v>
      </c>
      <c r="G79" s="199" t="str">
        <f>HYPERLINK("https://leetcode.com/problems/serialize-and-deserialize-binary-tree/","https://leetcode.com/problems/serialize-and-deserialize-binary-tree/")</f>
        <v>https://leetcode.com/problems/serialize-and-deserialize-binary-tree/</v>
      </c>
      <c r="H79" s="187"/>
      <c r="I79" s="7">
        <f>IFERROR(VLOOKUP(C79,'📊 Problem Tracker'!$B$4:$F$1200,5,FALSE()),"")</f>
        <v>0</v>
      </c>
      <c r="J79" s="7"/>
      <c r="K79" s="3"/>
      <c r="L79" s="228" t="s">
        <v>4215</v>
      </c>
      <c r="M79" s="228" t="s">
        <v>571</v>
      </c>
      <c r="N79" s="7" t="s">
        <v>24</v>
      </c>
      <c r="O79" s="7" t="s">
        <v>24</v>
      </c>
    </row>
    <row r="80" spans="1:15" ht="31.5" customHeight="1" x14ac:dyDescent="0.2">
      <c r="A80" s="53">
        <v>7</v>
      </c>
      <c r="B80" s="53" t="s">
        <v>4207</v>
      </c>
      <c r="C80" s="53">
        <v>572</v>
      </c>
      <c r="D80" s="54" t="s">
        <v>1634</v>
      </c>
      <c r="E80" s="55" t="s">
        <v>20</v>
      </c>
      <c r="F80" s="188" t="s">
        <v>4216</v>
      </c>
      <c r="G80" s="200" t="str">
        <f>HYPERLINK("https://leetcode.com/problems/subtree-of-another-tree/","https://leetcode.com/problems/subtree-of-another-tree/")</f>
        <v>https://leetcode.com/problems/subtree-of-another-tree/</v>
      </c>
      <c r="H80" s="189"/>
      <c r="I80" s="53">
        <f>IFERROR(VLOOKUP(C80,'📊 Problem Tracker'!$B$4:$F$1200,5,FALSE()),"")</f>
        <v>0</v>
      </c>
      <c r="J80" s="53"/>
      <c r="K80" s="56"/>
      <c r="L80" s="246" t="s">
        <v>500</v>
      </c>
      <c r="M80" s="246" t="s">
        <v>571</v>
      </c>
      <c r="N80" s="53" t="s">
        <v>1636</v>
      </c>
      <c r="O80" s="53" t="s">
        <v>503</v>
      </c>
    </row>
    <row r="81" spans="1:15" ht="31.5" customHeight="1" x14ac:dyDescent="0.2">
      <c r="A81" s="7">
        <v>8</v>
      </c>
      <c r="B81" s="7" t="s">
        <v>4207</v>
      </c>
      <c r="C81" s="7">
        <v>105</v>
      </c>
      <c r="D81" s="13" t="s">
        <v>4217</v>
      </c>
      <c r="E81" s="18" t="s">
        <v>28</v>
      </c>
      <c r="F81" s="186" t="s">
        <v>4218</v>
      </c>
      <c r="G81" s="199" t="str">
        <f>HYPERLINK("https://leetcode.com/problems/construct-binary-tree-from-preorder-and-inorder-traversal/","https://leetcode.com/problems/construct-binary-tree-from-preorder-and-inorder-traversal/")</f>
        <v>https://leetcode.com/problems/construct-binary-tree-from-preorder-and-inorder-traversal/</v>
      </c>
      <c r="H81" s="187"/>
      <c r="I81" s="7">
        <f>IFERROR(VLOOKUP(C81,'📊 Problem Tracker'!$B$4:$F$1200,5,FALSE()),"")</f>
        <v>0</v>
      </c>
      <c r="J81" s="7"/>
      <c r="K81" s="3"/>
      <c r="L81" s="228" t="s">
        <v>549</v>
      </c>
      <c r="M81" s="228" t="s">
        <v>551</v>
      </c>
      <c r="N81" s="7" t="s">
        <v>24</v>
      </c>
      <c r="O81" s="7" t="s">
        <v>24</v>
      </c>
    </row>
    <row r="82" spans="1:15" ht="31.5" customHeight="1" x14ac:dyDescent="0.2">
      <c r="A82" s="53">
        <v>9</v>
      </c>
      <c r="B82" s="53" t="s">
        <v>4207</v>
      </c>
      <c r="C82" s="53">
        <v>98</v>
      </c>
      <c r="D82" s="54" t="s">
        <v>517</v>
      </c>
      <c r="E82" s="57" t="s">
        <v>28</v>
      </c>
      <c r="F82" s="188" t="s">
        <v>4219</v>
      </c>
      <c r="G82" s="200" t="str">
        <f>HYPERLINK("https://leetcode.com/problems/validate-binary-search-tree/","https://leetcode.com/problems/validate-binary-search-tree/")</f>
        <v>https://leetcode.com/problems/validate-binary-search-tree/</v>
      </c>
      <c r="H82" s="189"/>
      <c r="I82" s="53">
        <f>IFERROR(VLOOKUP(C82,'📊 Problem Tracker'!$B$4:$F$1200,5,FALSE()),"")</f>
        <v>0</v>
      </c>
      <c r="J82" s="53"/>
      <c r="K82" s="56"/>
      <c r="L82" s="246" t="s">
        <v>518</v>
      </c>
      <c r="M82" s="246" t="s">
        <v>520</v>
      </c>
      <c r="N82" s="53" t="s">
        <v>24</v>
      </c>
      <c r="O82" s="53" t="s">
        <v>503</v>
      </c>
    </row>
    <row r="83" spans="1:15" ht="31.5" customHeight="1" x14ac:dyDescent="0.2">
      <c r="A83" s="7">
        <v>10</v>
      </c>
      <c r="B83" s="7" t="s">
        <v>4207</v>
      </c>
      <c r="C83" s="7">
        <v>230</v>
      </c>
      <c r="D83" s="13" t="s">
        <v>989</v>
      </c>
      <c r="E83" s="18" t="s">
        <v>28</v>
      </c>
      <c r="F83" s="186" t="s">
        <v>4220</v>
      </c>
      <c r="G83" s="199" t="str">
        <f>HYPERLINK("https://leetcode.com/problems/kth-smallest-element-in-a-bst/","https://leetcode.com/problems/kth-smallest-element-in-a-bst/")</f>
        <v>https://leetcode.com/problems/kth-smallest-element-in-a-bst/</v>
      </c>
      <c r="H83" s="187"/>
      <c r="I83" s="7">
        <f>IFERROR(VLOOKUP(C83,'📊 Problem Tracker'!$B$4:$F$1200,5,FALSE()),"")</f>
        <v>0</v>
      </c>
      <c r="J83" s="7"/>
      <c r="K83" s="3"/>
      <c r="L83" s="228" t="s">
        <v>518</v>
      </c>
      <c r="M83" s="228" t="s">
        <v>571</v>
      </c>
      <c r="N83" s="7" t="s">
        <v>991</v>
      </c>
      <c r="O83" s="7" t="s">
        <v>503</v>
      </c>
    </row>
    <row r="84" spans="1:15" ht="31.5" customHeight="1" x14ac:dyDescent="0.2">
      <c r="A84" s="53">
        <v>11</v>
      </c>
      <c r="B84" s="53" t="s">
        <v>4207</v>
      </c>
      <c r="C84" s="53">
        <v>235</v>
      </c>
      <c r="D84" s="54" t="s">
        <v>4221</v>
      </c>
      <c r="E84" s="57" t="s">
        <v>28</v>
      </c>
      <c r="F84" s="188" t="s">
        <v>4222</v>
      </c>
      <c r="G84" s="200" t="str">
        <f>HYPERLINK("https://leetcode.com/problems/lowest-common-ancestor-of-a-binary-search-tree/","https://leetcode.com/problems/lowest-common-ancestor-of-a-binary-search-tree/")</f>
        <v>https://leetcode.com/problems/lowest-common-ancestor-of-a-binary-search-tree/</v>
      </c>
      <c r="H84" s="189"/>
      <c r="I84" s="53">
        <f>IFERROR(VLOOKUP(C84,'📊 Problem Tracker'!$B$4:$F$1200,5,FALSE()),"")</f>
        <v>0</v>
      </c>
      <c r="J84" s="53"/>
      <c r="K84" s="56"/>
      <c r="L84" s="246" t="s">
        <v>518</v>
      </c>
      <c r="M84" s="246" t="s">
        <v>571</v>
      </c>
      <c r="N84" s="53" t="s">
        <v>503</v>
      </c>
      <c r="O84" s="53" t="s">
        <v>47</v>
      </c>
    </row>
    <row r="85" spans="1:15" ht="31.5" customHeight="1" x14ac:dyDescent="0.2">
      <c r="A85" s="7">
        <v>12</v>
      </c>
      <c r="B85" s="7" t="s">
        <v>4207</v>
      </c>
      <c r="C85" s="7">
        <v>208</v>
      </c>
      <c r="D85" s="13" t="s">
        <v>908</v>
      </c>
      <c r="E85" s="18" t="s">
        <v>28</v>
      </c>
      <c r="F85" s="186" t="s">
        <v>4223</v>
      </c>
      <c r="G85" s="199" t="str">
        <f>HYPERLINK("https://leetcode.com/problems/implement-trie-prefix-tree/","https://leetcode.com/problems/implement-trie-prefix-tree/")</f>
        <v>https://leetcode.com/problems/implement-trie-prefix-tree/</v>
      </c>
      <c r="H85" s="187"/>
      <c r="I85" s="7">
        <f>IFERROR(VLOOKUP(C85,'📊 Problem Tracker'!$B$4:$F$1200,5,FALSE()),"")</f>
        <v>0</v>
      </c>
      <c r="J85" s="7"/>
      <c r="K85" s="3"/>
      <c r="L85" s="228" t="s">
        <v>909</v>
      </c>
      <c r="M85" s="228" t="s">
        <v>911</v>
      </c>
      <c r="N85" s="7" t="s">
        <v>912</v>
      </c>
      <c r="O85" s="7" t="s">
        <v>913</v>
      </c>
    </row>
    <row r="86" spans="1:15" ht="31.5" customHeight="1" x14ac:dyDescent="0.2">
      <c r="A86" s="53">
        <v>13</v>
      </c>
      <c r="B86" s="53" t="s">
        <v>4207</v>
      </c>
      <c r="C86" s="53">
        <v>211</v>
      </c>
      <c r="D86" s="54" t="s">
        <v>4224</v>
      </c>
      <c r="E86" s="57" t="s">
        <v>28</v>
      </c>
      <c r="F86" s="188" t="s">
        <v>4225</v>
      </c>
      <c r="G86" s="200" t="str">
        <f>HYPERLINK("https://leetcode.com/problems/add-and-search-word-data-structure-design/","https://leetcode.com/problems/add-and-search-word-data-structure-design/")</f>
        <v>https://leetcode.com/problems/add-and-search-word-data-structure-design/</v>
      </c>
      <c r="H86" s="189"/>
      <c r="I86" s="53">
        <f>IFERROR(VLOOKUP(C86,'📊 Problem Tracker'!$B$4:$F$1200,5,FALSE()),"")</f>
        <v>0</v>
      </c>
      <c r="J86" s="53"/>
      <c r="K86" s="56"/>
      <c r="L86" s="246" t="s">
        <v>924</v>
      </c>
      <c r="M86" s="246" t="s">
        <v>927</v>
      </c>
      <c r="N86" s="53" t="s">
        <v>928</v>
      </c>
      <c r="O86" s="53" t="s">
        <v>913</v>
      </c>
    </row>
    <row r="87" spans="1:15" ht="31.5" customHeight="1" x14ac:dyDescent="0.2">
      <c r="A87" s="7">
        <v>14</v>
      </c>
      <c r="B87" s="7" t="s">
        <v>4207</v>
      </c>
      <c r="C87" s="7">
        <v>212</v>
      </c>
      <c r="D87" s="13" t="s">
        <v>930</v>
      </c>
      <c r="E87" s="20" t="s">
        <v>42</v>
      </c>
      <c r="F87" s="186" t="s">
        <v>4226</v>
      </c>
      <c r="G87" s="202" t="str">
        <f>HYPERLINK("https://leetcode.com/problems/word-search-ii/","https://leetcode.com/problems/word-search-ii/")</f>
        <v>https://leetcode.com/problems/word-search-ii/</v>
      </c>
      <c r="H87" s="187"/>
      <c r="I87" s="7">
        <f>IFERROR(VLOOKUP(C87,'📊 Problem Tracker'!$B$4:$F$1200,5,FALSE()),"")</f>
        <v>0</v>
      </c>
      <c r="J87" s="7"/>
      <c r="K87" s="3"/>
      <c r="L87" s="228" t="s">
        <v>4227</v>
      </c>
      <c r="M87" s="228" t="s">
        <v>302</v>
      </c>
      <c r="N87" s="7" t="s">
        <v>446</v>
      </c>
      <c r="O87" s="7" t="s">
        <v>913</v>
      </c>
    </row>
    <row r="88" spans="1:15" ht="19.5" customHeight="1" x14ac:dyDescent="0.2">
      <c r="A88" s="328" t="s">
        <v>4228</v>
      </c>
      <c r="B88" s="292"/>
      <c r="C88" s="292"/>
      <c r="D88" s="292"/>
      <c r="E88" s="292"/>
      <c r="F88" s="292"/>
      <c r="G88" s="320"/>
      <c r="H88" s="292"/>
      <c r="I88" s="292"/>
      <c r="J88" s="292"/>
      <c r="K88" s="292"/>
      <c r="N88" s="52"/>
      <c r="O88" s="52"/>
    </row>
    <row r="89" spans="1:15" ht="31.5" customHeight="1" x14ac:dyDescent="0.2">
      <c r="A89" s="53">
        <v>1</v>
      </c>
      <c r="B89" s="53" t="s">
        <v>4229</v>
      </c>
      <c r="C89" s="53">
        <v>23</v>
      </c>
      <c r="D89" s="54" t="s">
        <v>4181</v>
      </c>
      <c r="E89" s="58" t="s">
        <v>42</v>
      </c>
      <c r="F89" s="188" t="s">
        <v>4230</v>
      </c>
      <c r="G89" s="200" t="str">
        <f>HYPERLINK("https://leetcode.com/problems/merge-k-sorted-lists/","https://leetcode.com/problems/merge-k-sorted-lists/")</f>
        <v>https://leetcode.com/problems/merge-k-sorted-lists/</v>
      </c>
      <c r="H89" s="189"/>
      <c r="I89" s="53">
        <f>IFERROR(VLOOKUP(C89,'📊 Problem Tracker'!$B$4:$F$1200,5,FALSE()),"")</f>
        <v>0</v>
      </c>
      <c r="J89" s="53"/>
      <c r="K89" s="56"/>
      <c r="L89" s="246" t="s">
        <v>149</v>
      </c>
      <c r="M89" s="246" t="s">
        <v>151</v>
      </c>
      <c r="N89" s="53" t="s">
        <v>152</v>
      </c>
      <c r="O89" s="53" t="s">
        <v>153</v>
      </c>
    </row>
    <row r="90" spans="1:15" ht="31.5" customHeight="1" x14ac:dyDescent="0.2">
      <c r="A90" s="7">
        <v>2</v>
      </c>
      <c r="B90" s="7" t="s">
        <v>4229</v>
      </c>
      <c r="C90" s="7">
        <v>347</v>
      </c>
      <c r="D90" s="13" t="s">
        <v>1269</v>
      </c>
      <c r="E90" s="18" t="s">
        <v>28</v>
      </c>
      <c r="F90" s="186" t="s">
        <v>4231</v>
      </c>
      <c r="G90" s="199" t="str">
        <f>HYPERLINK("https://leetcode.com/problems/top-k-frequent-elements/","https://leetcode.com/problems/top-k-frequent-elements/")</f>
        <v>https://leetcode.com/problems/top-k-frequent-elements/</v>
      </c>
      <c r="H90" s="187"/>
      <c r="I90" s="7">
        <f>IFERROR(VLOOKUP(C90,'📊 Problem Tracker'!$B$4:$F$1200,5,FALSE()),"")</f>
        <v>0</v>
      </c>
      <c r="J90" s="7"/>
      <c r="K90" s="3"/>
      <c r="L90" s="228" t="s">
        <v>1270</v>
      </c>
      <c r="M90" s="228" t="s">
        <v>1273</v>
      </c>
      <c r="N90" s="7" t="s">
        <v>24</v>
      </c>
      <c r="O90" s="7" t="s">
        <v>24</v>
      </c>
    </row>
    <row r="91" spans="1:15" ht="31.5" customHeight="1" x14ac:dyDescent="0.2">
      <c r="A91" s="53">
        <v>3</v>
      </c>
      <c r="B91" s="53" t="s">
        <v>4229</v>
      </c>
      <c r="C91" s="53">
        <v>295</v>
      </c>
      <c r="D91" s="54" t="s">
        <v>1120</v>
      </c>
      <c r="E91" s="58" t="s">
        <v>42</v>
      </c>
      <c r="F91" s="188" t="s">
        <v>4232</v>
      </c>
      <c r="G91" s="201" t="str">
        <f>HYPERLINK("https://leetcode.com/problems/find-median-from-data-stream/","https://leetcode.com/problems/find-median-from-data-stream/")</f>
        <v>https://leetcode.com/problems/find-median-from-data-stream/</v>
      </c>
      <c r="H91" s="189"/>
      <c r="I91" s="53">
        <f>IFERROR(VLOOKUP(C91,'📊 Problem Tracker'!$B$4:$F$1200,5,FALSE()),"")</f>
        <v>0</v>
      </c>
      <c r="J91" s="53"/>
      <c r="K91" s="56"/>
      <c r="L91" s="246" t="s">
        <v>4233</v>
      </c>
      <c r="M91" s="246" t="s">
        <v>1123</v>
      </c>
      <c r="N91" s="53" t="s">
        <v>1124</v>
      </c>
      <c r="O91" s="53" t="s">
        <v>24</v>
      </c>
    </row>
    <row r="92" spans="1:15" ht="19.5" customHeight="1" x14ac:dyDescent="0.2">
      <c r="G92" s="215"/>
      <c r="N92" s="52"/>
      <c r="O92" s="52"/>
    </row>
    <row r="93" spans="1:15" ht="19.5" customHeight="1" x14ac:dyDescent="0.2">
      <c r="A93" s="317" t="s">
        <v>4234</v>
      </c>
      <c r="B93" s="292"/>
      <c r="C93" s="292"/>
      <c r="D93" s="292"/>
      <c r="E93" s="292"/>
      <c r="G93" s="215"/>
      <c r="N93" s="52"/>
      <c r="O93" s="52"/>
    </row>
    <row r="94" spans="1:15" ht="19.5" customHeight="1" x14ac:dyDescent="0.2">
      <c r="A94" s="59" t="s">
        <v>4116</v>
      </c>
      <c r="B94" s="59" t="s">
        <v>4235</v>
      </c>
      <c r="C94" s="59" t="s">
        <v>20</v>
      </c>
      <c r="D94" s="59" t="s">
        <v>28</v>
      </c>
      <c r="E94" s="59" t="s">
        <v>42</v>
      </c>
      <c r="F94" s="59" t="s">
        <v>4236</v>
      </c>
      <c r="G94" s="215"/>
      <c r="N94" s="52" t="s">
        <v>24</v>
      </c>
      <c r="O94" s="52" t="s">
        <v>24</v>
      </c>
    </row>
    <row r="95" spans="1:15" ht="31.5" customHeight="1" x14ac:dyDescent="0.2">
      <c r="A95" s="7" t="s">
        <v>166</v>
      </c>
      <c r="B95" s="7">
        <v>10</v>
      </c>
      <c r="C95" s="7">
        <v>3</v>
      </c>
      <c r="D95" s="13">
        <v>7</v>
      </c>
      <c r="E95" s="14">
        <v>0</v>
      </c>
      <c r="F95" s="3">
        <v>0</v>
      </c>
      <c r="G95" s="3"/>
      <c r="H95" s="7"/>
      <c r="I95" s="7">
        <f>IFERROR(VLOOKUP(C95,'📊 Problem Tracker'!$B$4:$F$1200,5,FALSE()),"")</f>
        <v>0</v>
      </c>
      <c r="J95" s="7"/>
      <c r="K95" s="3"/>
      <c r="L95" s="228" t="s">
        <v>427</v>
      </c>
      <c r="M95" s="228" t="s">
        <v>37</v>
      </c>
      <c r="N95" s="7"/>
      <c r="O95" s="7"/>
    </row>
    <row r="96" spans="1:15" ht="31.5" customHeight="1" x14ac:dyDescent="0.2">
      <c r="A96" s="53" t="s">
        <v>4135</v>
      </c>
      <c r="B96" s="53">
        <v>5</v>
      </c>
      <c r="C96" s="53">
        <v>4</v>
      </c>
      <c r="D96" s="54">
        <v>1</v>
      </c>
      <c r="E96" s="60">
        <v>0</v>
      </c>
      <c r="F96" s="56">
        <v>0</v>
      </c>
      <c r="G96" s="56"/>
      <c r="H96" s="53"/>
      <c r="I96" s="53">
        <f>IFERROR(VLOOKUP(C96,'📊 Problem Tracker'!$B$4:$F$1200,5,FALSE()),"")</f>
        <v>0</v>
      </c>
      <c r="J96" s="53"/>
      <c r="K96" s="56"/>
      <c r="L96" s="246" t="s">
        <v>4237</v>
      </c>
      <c r="M96" s="246" t="s">
        <v>4238</v>
      </c>
      <c r="N96" s="53"/>
      <c r="O96" s="53"/>
    </row>
    <row r="97" spans="1:15" ht="31.5" customHeight="1" x14ac:dyDescent="0.2">
      <c r="A97" s="7" t="s">
        <v>507</v>
      </c>
      <c r="B97" s="7">
        <v>11</v>
      </c>
      <c r="C97" s="7">
        <v>1</v>
      </c>
      <c r="D97" s="13">
        <v>10</v>
      </c>
      <c r="E97" s="14">
        <v>0</v>
      </c>
      <c r="F97" s="3">
        <v>0</v>
      </c>
      <c r="G97" s="3"/>
      <c r="H97" s="7"/>
      <c r="I97" s="7">
        <f>IFERROR(VLOOKUP(C97,'📊 Problem Tracker'!$B$4:$F$1200,5,FALSE()),"")</f>
        <v>0</v>
      </c>
      <c r="J97" s="7"/>
      <c r="K97" s="3"/>
      <c r="L97" s="228" t="s">
        <v>19</v>
      </c>
      <c r="M97" s="228" t="s">
        <v>23</v>
      </c>
      <c r="N97" s="7"/>
      <c r="O97" s="7"/>
    </row>
    <row r="98" spans="1:15" ht="31.5" customHeight="1" x14ac:dyDescent="0.2">
      <c r="A98" s="53" t="s">
        <v>2716</v>
      </c>
      <c r="B98" s="53">
        <v>8</v>
      </c>
      <c r="C98" s="53">
        <v>0</v>
      </c>
      <c r="D98" s="54">
        <v>7</v>
      </c>
      <c r="E98" s="60">
        <v>1</v>
      </c>
      <c r="F98" s="56">
        <v>3</v>
      </c>
      <c r="G98" s="56"/>
      <c r="H98" s="53"/>
      <c r="I98" s="53" t="str">
        <f>IFERROR(VLOOKUP(C98,'📊 Problem Tracker'!$B$4:$F$1200,5,FALSE()),"")</f>
        <v/>
      </c>
      <c r="J98" s="53"/>
      <c r="K98" s="56"/>
      <c r="L98" s="246"/>
      <c r="M98" s="246" t="s">
        <v>4239</v>
      </c>
      <c r="N98" s="53"/>
      <c r="O98" s="53"/>
    </row>
    <row r="99" spans="1:15" ht="31.5" customHeight="1" x14ac:dyDescent="0.2">
      <c r="A99" s="7" t="s">
        <v>4167</v>
      </c>
      <c r="B99" s="7">
        <v>5</v>
      </c>
      <c r="C99" s="7">
        <v>1</v>
      </c>
      <c r="D99" s="13">
        <v>4</v>
      </c>
      <c r="E99" s="14">
        <v>0</v>
      </c>
      <c r="F99" s="3">
        <v>2</v>
      </c>
      <c r="G99" s="3"/>
      <c r="H99" s="7"/>
      <c r="I99" s="7">
        <f>IFERROR(VLOOKUP(C99,'📊 Problem Tracker'!$B$4:$F$1200,5,FALSE()),"")</f>
        <v>0</v>
      </c>
      <c r="J99" s="7"/>
      <c r="K99" s="3"/>
      <c r="L99" s="228" t="s">
        <v>19</v>
      </c>
      <c r="M99" s="228" t="s">
        <v>23</v>
      </c>
      <c r="N99" s="7"/>
      <c r="O99" s="7"/>
    </row>
    <row r="100" spans="1:15" ht="31.5" customHeight="1" x14ac:dyDescent="0.2">
      <c r="A100" s="53" t="s">
        <v>127</v>
      </c>
      <c r="B100" s="53">
        <v>6</v>
      </c>
      <c r="C100" s="53">
        <v>3</v>
      </c>
      <c r="D100" s="54">
        <v>2</v>
      </c>
      <c r="E100" s="60">
        <v>1</v>
      </c>
      <c r="F100" s="56">
        <v>0</v>
      </c>
      <c r="G100" s="56"/>
      <c r="H100" s="53"/>
      <c r="I100" s="53">
        <f>IFERROR(VLOOKUP(C100,'📊 Problem Tracker'!$B$4:$F$1200,5,FALSE()),"")</f>
        <v>0</v>
      </c>
      <c r="J100" s="53"/>
      <c r="K100" s="56"/>
      <c r="L100" s="246" t="s">
        <v>427</v>
      </c>
      <c r="M100" s="246" t="s">
        <v>37</v>
      </c>
      <c r="N100" s="53"/>
      <c r="O100" s="53"/>
    </row>
    <row r="101" spans="1:15" ht="31.5" customHeight="1" x14ac:dyDescent="0.2">
      <c r="A101" s="7" t="s">
        <v>4187</v>
      </c>
      <c r="B101" s="7">
        <v>4</v>
      </c>
      <c r="C101" s="7">
        <v>0</v>
      </c>
      <c r="D101" s="13">
        <v>4</v>
      </c>
      <c r="E101" s="14">
        <v>0</v>
      </c>
      <c r="F101" s="3">
        <v>0</v>
      </c>
      <c r="G101" s="3"/>
      <c r="H101" s="7"/>
      <c r="I101" s="7" t="str">
        <f>IFERROR(VLOOKUP(C101,'📊 Problem Tracker'!$B$4:$F$1200,5,FALSE()),"")</f>
        <v/>
      </c>
      <c r="J101" s="7"/>
      <c r="K101" s="3"/>
      <c r="L101" s="228"/>
      <c r="M101" s="228" t="s">
        <v>4239</v>
      </c>
      <c r="N101" s="7"/>
      <c r="O101" s="7"/>
    </row>
    <row r="102" spans="1:15" ht="31.5" customHeight="1" x14ac:dyDescent="0.2">
      <c r="A102" s="53" t="s">
        <v>98</v>
      </c>
      <c r="B102" s="53">
        <v>10</v>
      </c>
      <c r="C102" s="53">
        <v>3</v>
      </c>
      <c r="D102" s="54">
        <v>6</v>
      </c>
      <c r="E102" s="60">
        <v>1</v>
      </c>
      <c r="F102" s="56">
        <v>1</v>
      </c>
      <c r="G102" s="56"/>
      <c r="H102" s="53"/>
      <c r="I102" s="53">
        <f>IFERROR(VLOOKUP(C102,'📊 Problem Tracker'!$B$4:$F$1200,5,FALSE()),"")</f>
        <v>0</v>
      </c>
      <c r="J102" s="53"/>
      <c r="K102" s="56"/>
      <c r="L102" s="246" t="s">
        <v>427</v>
      </c>
      <c r="M102" s="246" t="s">
        <v>37</v>
      </c>
      <c r="N102" s="53"/>
      <c r="O102" s="53"/>
    </row>
    <row r="103" spans="1:15" ht="31.5" customHeight="1" x14ac:dyDescent="0.2">
      <c r="A103" s="7" t="s">
        <v>4207</v>
      </c>
      <c r="B103" s="7">
        <v>14</v>
      </c>
      <c r="C103" s="7">
        <v>4</v>
      </c>
      <c r="D103" s="13">
        <v>7</v>
      </c>
      <c r="E103" s="14">
        <v>3</v>
      </c>
      <c r="F103" s="3">
        <v>0</v>
      </c>
      <c r="G103" s="3"/>
      <c r="H103" s="7"/>
      <c r="I103" s="7">
        <f>IFERROR(VLOOKUP(C103,'📊 Problem Tracker'!$B$4:$F$1200,5,FALSE()),"")</f>
        <v>0</v>
      </c>
      <c r="J103" s="7"/>
      <c r="K103" s="3"/>
      <c r="L103" s="228" t="s">
        <v>4237</v>
      </c>
      <c r="M103" s="228" t="s">
        <v>4238</v>
      </c>
      <c r="N103" s="7"/>
      <c r="O103" s="7"/>
    </row>
    <row r="104" spans="1:15" ht="31.5" customHeight="1" x14ac:dyDescent="0.2">
      <c r="A104" s="53" t="s">
        <v>4229</v>
      </c>
      <c r="B104" s="53">
        <v>3</v>
      </c>
      <c r="C104" s="53">
        <v>0</v>
      </c>
      <c r="D104" s="54">
        <v>1</v>
      </c>
      <c r="E104" s="60">
        <v>2</v>
      </c>
      <c r="F104" s="56">
        <v>0</v>
      </c>
      <c r="G104" s="56"/>
      <c r="H104" s="53"/>
      <c r="I104" s="53" t="str">
        <f>IFERROR(VLOOKUP(C104,'📊 Problem Tracker'!$B$4:$F$1200,5,FALSE()),"")</f>
        <v/>
      </c>
      <c r="J104" s="53"/>
      <c r="K104" s="56"/>
      <c r="L104" s="246"/>
      <c r="M104" s="246" t="s">
        <v>4239</v>
      </c>
      <c r="N104" s="53"/>
      <c r="O104" s="53"/>
    </row>
    <row r="105" spans="1:15" ht="31.5" customHeight="1" x14ac:dyDescent="0.2">
      <c r="A105" s="7" t="s">
        <v>4240</v>
      </c>
      <c r="B105" s="7">
        <v>76</v>
      </c>
      <c r="C105" s="7">
        <v>19</v>
      </c>
      <c r="D105" s="13">
        <v>49</v>
      </c>
      <c r="E105" s="14">
        <v>8</v>
      </c>
      <c r="F105" s="3">
        <v>6</v>
      </c>
      <c r="G105" s="3"/>
      <c r="H105" s="7"/>
      <c r="I105" s="7">
        <f>IFERROR(VLOOKUP(C105,'📊 Problem Tracker'!$B$4:$F$1200,5,FALSE()),"")</f>
        <v>0</v>
      </c>
      <c r="J105" s="7"/>
      <c r="K105" s="3"/>
      <c r="L105" s="228" t="s">
        <v>679</v>
      </c>
      <c r="M105" s="228" t="s">
        <v>130</v>
      </c>
      <c r="N105" s="7"/>
      <c r="O105" s="7"/>
    </row>
  </sheetData>
  <autoFilter ref="A5:O5" xr:uid="{00000000-0001-0000-0900-000000000000}"/>
  <mergeCells count="15">
    <mergeCell ref="A93:E93"/>
    <mergeCell ref="L1:V2"/>
    <mergeCell ref="A44:K44"/>
    <mergeCell ref="A23:K23"/>
    <mergeCell ref="A1:K2"/>
    <mergeCell ref="A3:K3"/>
    <mergeCell ref="A62:K62"/>
    <mergeCell ref="A57:K57"/>
    <mergeCell ref="A73:K73"/>
    <mergeCell ref="A17:K17"/>
    <mergeCell ref="A6:K6"/>
    <mergeCell ref="A88:K88"/>
    <mergeCell ref="A50:K50"/>
    <mergeCell ref="A35:K35"/>
    <mergeCell ref="A4:K4"/>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73"/>
  <sheetViews>
    <sheetView showGridLines="0" zoomScaleNormal="100" workbookViewId="0">
      <pane ySplit="4" topLeftCell="A5" activePane="bottomLeft" state="frozen"/>
      <selection pane="bottomLeft" activeCell="T11" sqref="T11"/>
    </sheetView>
  </sheetViews>
  <sheetFormatPr baseColWidth="10" defaultColWidth="8.6640625" defaultRowHeight="15" x14ac:dyDescent="0.2"/>
  <cols>
    <col min="1" max="1" width="4" customWidth="1"/>
    <col min="2" max="2" width="7" customWidth="1"/>
    <col min="3" max="3" width="38" customWidth="1"/>
    <col min="4" max="4" width="10" customWidth="1"/>
    <col min="5" max="6" width="28" customWidth="1"/>
    <col min="7" max="7" width="12" customWidth="1"/>
    <col min="8" max="8" width="14" customWidth="1"/>
    <col min="9" max="9" width="30" customWidth="1"/>
    <col min="10" max="10" width="40" customWidth="1"/>
    <col min="11" max="11" width="52" style="52" customWidth="1"/>
    <col min="12" max="13" width="33.33203125" customWidth="1"/>
    <col min="14" max="14" width="80" customWidth="1"/>
  </cols>
  <sheetData>
    <row r="1" spans="1:14" ht="27.75" customHeight="1" x14ac:dyDescent="0.2">
      <c r="A1" s="332" t="s">
        <v>4241</v>
      </c>
      <c r="B1" s="292"/>
      <c r="C1" s="292"/>
      <c r="D1" s="292"/>
      <c r="E1" s="292"/>
      <c r="F1" s="292"/>
      <c r="G1" s="292"/>
      <c r="H1" s="292"/>
      <c r="I1" s="292"/>
      <c r="J1" s="292"/>
    </row>
    <row r="2" spans="1:14" ht="4.5" customHeight="1" x14ac:dyDescent="0.2">
      <c r="A2" s="292"/>
      <c r="B2" s="292"/>
      <c r="C2" s="292"/>
      <c r="D2" s="292"/>
      <c r="E2" s="292"/>
      <c r="F2" s="292"/>
      <c r="G2" s="292"/>
      <c r="H2" s="292"/>
      <c r="I2" s="292"/>
      <c r="J2" s="292"/>
    </row>
    <row r="3" spans="1:14" ht="15.75" customHeight="1" x14ac:dyDescent="0.2">
      <c r="A3" s="331" t="s">
        <v>5123</v>
      </c>
      <c r="B3" s="292"/>
      <c r="C3" s="292"/>
      <c r="D3" s="292"/>
      <c r="E3" s="292"/>
      <c r="F3" s="292"/>
      <c r="G3" s="292"/>
      <c r="H3" s="292"/>
      <c r="I3" s="292"/>
      <c r="J3" s="292"/>
    </row>
    <row r="4" spans="1:14" ht="31.5" customHeight="1" x14ac:dyDescent="0.2">
      <c r="A4" s="61" t="s">
        <v>1</v>
      </c>
      <c r="B4" s="61" t="s">
        <v>2</v>
      </c>
      <c r="C4" s="61" t="s">
        <v>3</v>
      </c>
      <c r="D4" s="61" t="s">
        <v>5</v>
      </c>
      <c r="E4" s="61" t="s">
        <v>4242</v>
      </c>
      <c r="F4" s="61" t="s">
        <v>4243</v>
      </c>
      <c r="G4" s="61" t="s">
        <v>3842</v>
      </c>
      <c r="H4" s="61" t="s">
        <v>4120</v>
      </c>
      <c r="I4" s="61" t="s">
        <v>13</v>
      </c>
      <c r="J4" s="61" t="s">
        <v>4122</v>
      </c>
      <c r="K4" s="247" t="s">
        <v>14</v>
      </c>
      <c r="L4" s="61" t="s">
        <v>15</v>
      </c>
      <c r="M4" s="61" t="s">
        <v>16</v>
      </c>
      <c r="N4" s="216" t="s">
        <v>17</v>
      </c>
    </row>
    <row r="5" spans="1:14" ht="31.5" customHeight="1" x14ac:dyDescent="0.2">
      <c r="A5" s="7">
        <v>1</v>
      </c>
      <c r="B5" s="7">
        <v>1</v>
      </c>
      <c r="C5" s="13" t="s">
        <v>18</v>
      </c>
      <c r="D5" s="21" t="s">
        <v>20</v>
      </c>
      <c r="E5" s="3" t="s">
        <v>4244</v>
      </c>
      <c r="F5" s="3"/>
      <c r="G5" s="7"/>
      <c r="H5" s="7">
        <f>IFERROR(VLOOKUP(B5,'📊 Problem Tracker'!$B$4:$F$1200,5,FALSE()),"")</f>
        <v>0</v>
      </c>
      <c r="I5" s="3"/>
      <c r="J5" s="3" t="s">
        <v>19</v>
      </c>
      <c r="K5" s="228" t="s">
        <v>23</v>
      </c>
      <c r="L5" s="7" t="s">
        <v>24</v>
      </c>
      <c r="M5" s="176" t="s">
        <v>24</v>
      </c>
      <c r="N5" s="191" t="str">
        <f>HYPERLINK("https://leetcode.com/problems/two-sum/","https://leetcode.com/problems/two-sum/")</f>
        <v>https://leetcode.com/problems/two-sum/</v>
      </c>
    </row>
    <row r="6" spans="1:14" ht="31.5" customHeight="1" x14ac:dyDescent="0.2">
      <c r="A6" s="62">
        <v>2</v>
      </c>
      <c r="B6" s="62">
        <v>2</v>
      </c>
      <c r="C6" s="63" t="s">
        <v>26</v>
      </c>
      <c r="D6" s="64" t="s">
        <v>28</v>
      </c>
      <c r="E6" s="65" t="s">
        <v>127</v>
      </c>
      <c r="F6" s="65"/>
      <c r="G6" s="62"/>
      <c r="H6" s="62">
        <f>IFERROR(VLOOKUP(B6,'📊 Problem Tracker'!$B$4:$F$1200,5,FALSE()),"")</f>
        <v>0</v>
      </c>
      <c r="I6" s="65"/>
      <c r="J6" s="65" t="s">
        <v>27</v>
      </c>
      <c r="K6" s="248" t="s">
        <v>31</v>
      </c>
      <c r="L6" s="62" t="s">
        <v>32</v>
      </c>
      <c r="M6" s="177" t="s">
        <v>32</v>
      </c>
      <c r="N6" s="203" t="str">
        <f>HYPERLINK("https://leetcode.com/problems/add-two-numbers/","https://leetcode.com/problems/add-two-numbers/")</f>
        <v>https://leetcode.com/problems/add-two-numbers/</v>
      </c>
    </row>
    <row r="7" spans="1:14" ht="31.5" customHeight="1" x14ac:dyDescent="0.2">
      <c r="A7" s="7">
        <v>3</v>
      </c>
      <c r="B7" s="7">
        <v>3</v>
      </c>
      <c r="C7" s="13" t="s">
        <v>34</v>
      </c>
      <c r="D7" s="18" t="s">
        <v>28</v>
      </c>
      <c r="E7" s="3" t="s">
        <v>917</v>
      </c>
      <c r="F7" s="3" t="s">
        <v>4244</v>
      </c>
      <c r="G7" s="7"/>
      <c r="H7" s="7">
        <f>IFERROR(VLOOKUP(B7,'📊 Problem Tracker'!$B$4:$F$1200,5,FALSE()),"")</f>
        <v>0</v>
      </c>
      <c r="I7" s="3"/>
      <c r="J7" s="3" t="s">
        <v>427</v>
      </c>
      <c r="K7" s="228" t="s">
        <v>37</v>
      </c>
      <c r="L7" s="7" t="s">
        <v>24</v>
      </c>
      <c r="M7" s="176" t="s">
        <v>38</v>
      </c>
      <c r="N7" s="191" t="str">
        <f>HYPERLINK("https://leetcode.com/problems/longest-substring-without-repeating-characters/","https://leetcode.com/problems/longest-substring-without-repeating-characters/")</f>
        <v>https://leetcode.com/problems/longest-substring-without-repeating-characters/</v>
      </c>
    </row>
    <row r="8" spans="1:14" ht="31.5" customHeight="1" x14ac:dyDescent="0.2">
      <c r="A8" s="62">
        <v>4</v>
      </c>
      <c r="B8" s="62">
        <v>4</v>
      </c>
      <c r="C8" s="63" t="s">
        <v>40</v>
      </c>
      <c r="D8" s="66" t="s">
        <v>42</v>
      </c>
      <c r="E8" s="65" t="s">
        <v>512</v>
      </c>
      <c r="F8" s="65" t="s">
        <v>1368</v>
      </c>
      <c r="G8" s="62"/>
      <c r="H8" s="62">
        <f>IFERROR(VLOOKUP(B8,'📊 Problem Tracker'!$B$4:$F$1200,5,FALSE()),"")</f>
        <v>0</v>
      </c>
      <c r="I8" s="65"/>
      <c r="J8" s="65" t="s">
        <v>4237</v>
      </c>
      <c r="K8" s="248" t="s">
        <v>4238</v>
      </c>
      <c r="L8" s="62" t="s">
        <v>46</v>
      </c>
      <c r="M8" s="177" t="s">
        <v>47</v>
      </c>
      <c r="N8" s="203" t="str">
        <f>HYPERLINK("https://leetcode.com/problems/median-of-two-sorted-arrays/","https://leetcode.com/problems/median-of-two-sorted-arrays/")</f>
        <v>https://leetcode.com/problems/median-of-two-sorted-arrays/</v>
      </c>
    </row>
    <row r="9" spans="1:14" ht="31.5" customHeight="1" x14ac:dyDescent="0.2">
      <c r="A9" s="7">
        <v>5</v>
      </c>
      <c r="B9" s="7">
        <v>5</v>
      </c>
      <c r="C9" s="13" t="s">
        <v>49</v>
      </c>
      <c r="D9" s="18" t="s">
        <v>28</v>
      </c>
      <c r="E9" s="3" t="s">
        <v>4245</v>
      </c>
      <c r="F9" s="3"/>
      <c r="G9" s="7"/>
      <c r="H9" s="7">
        <f>IFERROR(VLOOKUP(B9,'📊 Problem Tracker'!$B$4:$F$1200,5,FALSE()),"")</f>
        <v>0</v>
      </c>
      <c r="I9" s="3"/>
      <c r="J9" s="3" t="s">
        <v>50</v>
      </c>
      <c r="K9" s="228" t="s">
        <v>52</v>
      </c>
      <c r="L9" s="7" t="s">
        <v>53</v>
      </c>
      <c r="M9" s="176" t="s">
        <v>47</v>
      </c>
      <c r="N9" s="191" t="str">
        <f>HYPERLINK("https://leetcode.com/problems/longest-palindromic-substring/","https://leetcode.com/problems/longest-palindromic-substring/")</f>
        <v>https://leetcode.com/problems/longest-palindromic-substring/</v>
      </c>
    </row>
    <row r="10" spans="1:14" ht="31.5" customHeight="1" x14ac:dyDescent="0.2">
      <c r="A10" s="62">
        <v>6</v>
      </c>
      <c r="B10" s="62">
        <v>7</v>
      </c>
      <c r="C10" s="63" t="s">
        <v>61</v>
      </c>
      <c r="D10" s="64" t="s">
        <v>28</v>
      </c>
      <c r="E10" s="65" t="s">
        <v>62</v>
      </c>
      <c r="F10" s="65"/>
      <c r="G10" s="62"/>
      <c r="H10" s="62">
        <f>IFERROR(VLOOKUP(B10,'📊 Problem Tracker'!$B$4:$F$1200,5,FALSE()),"")</f>
        <v>0</v>
      </c>
      <c r="I10" s="65"/>
      <c r="J10" s="65" t="s">
        <v>62</v>
      </c>
      <c r="K10" s="248" t="s">
        <v>64</v>
      </c>
      <c r="L10" s="62" t="s">
        <v>65</v>
      </c>
      <c r="M10" s="177" t="s">
        <v>47</v>
      </c>
      <c r="N10" s="203" t="str">
        <f>HYPERLINK("https://leetcode.com/problems/reverse-integer/","https://leetcode.com/problems/reverse-integer/")</f>
        <v>https://leetcode.com/problems/reverse-integer/</v>
      </c>
    </row>
    <row r="11" spans="1:14" ht="31.5" customHeight="1" x14ac:dyDescent="0.2">
      <c r="A11" s="7">
        <v>7</v>
      </c>
      <c r="B11" s="7">
        <v>8</v>
      </c>
      <c r="C11" s="13" t="s">
        <v>67</v>
      </c>
      <c r="D11" s="18" t="s">
        <v>28</v>
      </c>
      <c r="E11" s="3" t="s">
        <v>4246</v>
      </c>
      <c r="F11" s="3"/>
      <c r="G11" s="7"/>
      <c r="H11" s="7">
        <f>IFERROR(VLOOKUP(B11,'📊 Problem Tracker'!$B$4:$F$1200,5,FALSE()),"")</f>
        <v>0</v>
      </c>
      <c r="I11" s="3"/>
      <c r="J11" s="3" t="s">
        <v>56</v>
      </c>
      <c r="K11" s="228" t="s">
        <v>70</v>
      </c>
      <c r="L11" s="7" t="s">
        <v>24</v>
      </c>
      <c r="M11" s="176" t="s">
        <v>47</v>
      </c>
      <c r="N11" s="191" t="str">
        <f>HYPERLINK("https://leetcode.com/problems/string-to-integer-atoi/","https://leetcode.com/problems/string-to-integer-atoi/")</f>
        <v>https://leetcode.com/problems/string-to-integer-atoi/</v>
      </c>
    </row>
    <row r="12" spans="1:14" ht="31.5" customHeight="1" x14ac:dyDescent="0.2">
      <c r="A12" s="62">
        <v>8</v>
      </c>
      <c r="B12" s="62">
        <v>9</v>
      </c>
      <c r="C12" s="63" t="s">
        <v>72</v>
      </c>
      <c r="D12" s="67" t="s">
        <v>20</v>
      </c>
      <c r="E12" s="65" t="s">
        <v>62</v>
      </c>
      <c r="F12" s="65"/>
      <c r="G12" s="62"/>
      <c r="H12" s="62">
        <f>IFERROR(VLOOKUP(B12,'📊 Problem Tracker'!$B$4:$F$1200,5,FALSE()),"")</f>
        <v>0</v>
      </c>
      <c r="I12" s="65"/>
      <c r="J12" s="65" t="s">
        <v>62</v>
      </c>
      <c r="K12" s="248" t="s">
        <v>75</v>
      </c>
      <c r="L12" s="62" t="s">
        <v>65</v>
      </c>
      <c r="M12" s="177" t="s">
        <v>47</v>
      </c>
      <c r="N12" s="203" t="str">
        <f>HYPERLINK("https://leetcode.com/problems/palindrome-number/","https://leetcode.com/problems/palindrome-number/")</f>
        <v>https://leetcode.com/problems/palindrome-number/</v>
      </c>
    </row>
    <row r="13" spans="1:14" ht="31.5" customHeight="1" x14ac:dyDescent="0.2">
      <c r="A13" s="7">
        <v>9</v>
      </c>
      <c r="B13" s="7">
        <v>11</v>
      </c>
      <c r="C13" s="13" t="s">
        <v>83</v>
      </c>
      <c r="D13" s="18" t="s">
        <v>28</v>
      </c>
      <c r="E13" s="3" t="s">
        <v>689</v>
      </c>
      <c r="F13" s="3"/>
      <c r="G13" s="7"/>
      <c r="H13" s="7">
        <f>IFERROR(VLOOKUP(B13,'📊 Problem Tracker'!$B$4:$F$1200,5,FALSE()),"")</f>
        <v>0</v>
      </c>
      <c r="I13" s="3"/>
      <c r="J13" s="3" t="s">
        <v>84</v>
      </c>
      <c r="K13" s="228" t="s">
        <v>86</v>
      </c>
      <c r="L13" s="7" t="s">
        <v>24</v>
      </c>
      <c r="M13" s="176" t="s">
        <v>47</v>
      </c>
      <c r="N13" s="191" t="str">
        <f>HYPERLINK("https://leetcode.com/problems/container-with-most-water/","https://leetcode.com/problems/container-with-most-water/")</f>
        <v>https://leetcode.com/problems/container-with-most-water/</v>
      </c>
    </row>
    <row r="14" spans="1:14" ht="31.5" customHeight="1" x14ac:dyDescent="0.2">
      <c r="A14" s="62">
        <v>10</v>
      </c>
      <c r="B14" s="62">
        <v>994</v>
      </c>
      <c r="C14" s="63" t="s">
        <v>2153</v>
      </c>
      <c r="D14" s="64" t="s">
        <v>28</v>
      </c>
      <c r="E14" s="65" t="s">
        <v>4247</v>
      </c>
      <c r="F14" s="65"/>
      <c r="G14" s="62"/>
      <c r="H14" s="62">
        <f>IFERROR(VLOOKUP(B14,'📊 Problem Tracker'!$B$4:$F$1200,5,FALSE()),"")</f>
        <v>0</v>
      </c>
      <c r="I14" s="65"/>
      <c r="J14" s="65" t="s">
        <v>1106</v>
      </c>
      <c r="K14" s="248" t="s">
        <v>2155</v>
      </c>
      <c r="L14" s="62" t="s">
        <v>81</v>
      </c>
      <c r="M14" s="177" t="s">
        <v>81</v>
      </c>
      <c r="N14" s="203" t="str">
        <f>HYPERLINK("https://leetcode.com/problems/rotting-oranges/","https://leetcode.com/problems/rotting-oranges/")</f>
        <v>https://leetcode.com/problems/rotting-oranges/</v>
      </c>
    </row>
    <row r="15" spans="1:14" ht="31.5" customHeight="1" x14ac:dyDescent="0.2">
      <c r="A15" s="7">
        <v>11</v>
      </c>
      <c r="B15" s="7">
        <v>13</v>
      </c>
      <c r="C15" s="13" t="s">
        <v>93</v>
      </c>
      <c r="D15" s="21" t="s">
        <v>20</v>
      </c>
      <c r="E15" s="3" t="s">
        <v>4248</v>
      </c>
      <c r="F15" s="3"/>
      <c r="G15" s="7"/>
      <c r="H15" s="7">
        <f>IFERROR(VLOOKUP(B15,'📊 Problem Tracker'!$B$4:$F$1200,5,FALSE()),"")</f>
        <v>0</v>
      </c>
      <c r="I15" s="3"/>
      <c r="J15" s="3" t="s">
        <v>56</v>
      </c>
      <c r="K15" s="228" t="s">
        <v>95</v>
      </c>
      <c r="L15" s="7" t="s">
        <v>24</v>
      </c>
      <c r="M15" s="176" t="s">
        <v>47</v>
      </c>
      <c r="N15" s="191" t="str">
        <f>HYPERLINK("https://leetcode.com/problems/roman-to-integer/","https://leetcode.com/problems/roman-to-integer/")</f>
        <v>https://leetcode.com/problems/roman-to-integer/</v>
      </c>
    </row>
    <row r="16" spans="1:14" ht="31.5" customHeight="1" x14ac:dyDescent="0.2">
      <c r="A16" s="62">
        <v>12</v>
      </c>
      <c r="B16" s="62">
        <v>14</v>
      </c>
      <c r="C16" s="63" t="s">
        <v>97</v>
      </c>
      <c r="D16" s="67" t="s">
        <v>20</v>
      </c>
      <c r="E16" s="65" t="s">
        <v>98</v>
      </c>
      <c r="F16" s="65"/>
      <c r="G16" s="62"/>
      <c r="H16" s="62">
        <f>IFERROR(VLOOKUP(B16,'📊 Problem Tracker'!$B$4:$F$1200,5,FALSE()),"")</f>
        <v>0</v>
      </c>
      <c r="I16" s="65"/>
      <c r="J16" s="65" t="s">
        <v>98</v>
      </c>
      <c r="K16" s="248" t="s">
        <v>100</v>
      </c>
      <c r="L16" s="62" t="s">
        <v>101</v>
      </c>
      <c r="M16" s="177" t="s">
        <v>47</v>
      </c>
      <c r="N16" s="203" t="str">
        <f>HYPERLINK("https://leetcode.com/problems/longest-common-prefix/","https://leetcode.com/problems/longest-common-prefix/")</f>
        <v>https://leetcode.com/problems/longest-common-prefix/</v>
      </c>
    </row>
    <row r="17" spans="1:14" ht="31.5" customHeight="1" x14ac:dyDescent="0.2">
      <c r="A17" s="7">
        <v>13</v>
      </c>
      <c r="B17" s="7">
        <v>15</v>
      </c>
      <c r="C17" s="13" t="s">
        <v>103</v>
      </c>
      <c r="D17" s="18" t="s">
        <v>28</v>
      </c>
      <c r="E17" s="3" t="s">
        <v>689</v>
      </c>
      <c r="F17" s="3" t="s">
        <v>4249</v>
      </c>
      <c r="G17" s="7"/>
      <c r="H17" s="7">
        <f>IFERROR(VLOOKUP(B17,'📊 Problem Tracker'!$B$4:$F$1200,5,FALSE()),"")</f>
        <v>0</v>
      </c>
      <c r="I17" s="3"/>
      <c r="J17" s="3" t="s">
        <v>84</v>
      </c>
      <c r="K17" s="228" t="s">
        <v>106</v>
      </c>
      <c r="L17" s="7" t="s">
        <v>53</v>
      </c>
      <c r="M17" s="176" t="s">
        <v>47</v>
      </c>
      <c r="N17" s="191" t="str">
        <f>HYPERLINK("https://leetcode.com/problems/3sum/","https://leetcode.com/problems/3sum/")</f>
        <v>https://leetcode.com/problems/3sum/</v>
      </c>
    </row>
    <row r="18" spans="1:14" ht="31.5" customHeight="1" x14ac:dyDescent="0.2">
      <c r="A18" s="62">
        <v>14</v>
      </c>
      <c r="B18" s="62">
        <v>16</v>
      </c>
      <c r="C18" s="63" t="s">
        <v>108</v>
      </c>
      <c r="D18" s="64" t="s">
        <v>28</v>
      </c>
      <c r="E18" s="65" t="s">
        <v>689</v>
      </c>
      <c r="F18" s="65" t="s">
        <v>512</v>
      </c>
      <c r="G18" s="62"/>
      <c r="H18" s="62">
        <f>IFERROR(VLOOKUP(B18,'📊 Problem Tracker'!$B$4:$F$1200,5,FALSE()),"")</f>
        <v>0</v>
      </c>
      <c r="I18" s="65"/>
      <c r="J18" s="65" t="s">
        <v>1110</v>
      </c>
      <c r="K18" s="248" t="s">
        <v>111</v>
      </c>
      <c r="L18" s="62" t="s">
        <v>53</v>
      </c>
      <c r="M18" s="177" t="s">
        <v>47</v>
      </c>
      <c r="N18" s="203" t="str">
        <f>HYPERLINK("https://leetcode.com/problems/3sum-closest/","https://leetcode.com/problems/3sum-closest/")</f>
        <v>https://leetcode.com/problems/3sum-closest/</v>
      </c>
    </row>
    <row r="19" spans="1:14" ht="31.5" customHeight="1" x14ac:dyDescent="0.2">
      <c r="A19" s="7">
        <v>15</v>
      </c>
      <c r="B19" s="7">
        <v>17</v>
      </c>
      <c r="C19" s="13" t="s">
        <v>113</v>
      </c>
      <c r="D19" s="18" t="s">
        <v>28</v>
      </c>
      <c r="E19" s="3" t="s">
        <v>300</v>
      </c>
      <c r="F19" s="3"/>
      <c r="G19" s="7"/>
      <c r="H19" s="7">
        <f>IFERROR(VLOOKUP(B19,'📊 Problem Tracker'!$B$4:$F$1200,5,FALSE()),"")</f>
        <v>0</v>
      </c>
      <c r="I19" s="3"/>
      <c r="J19" s="3" t="s">
        <v>114</v>
      </c>
      <c r="K19" s="228" t="s">
        <v>117</v>
      </c>
      <c r="L19" s="7" t="s">
        <v>118</v>
      </c>
      <c r="M19" s="176" t="s">
        <v>24</v>
      </c>
      <c r="N19" s="191" t="str">
        <f>HYPERLINK("https://leetcode.com/problems/letter-combinations-of-a-phone-number/","https://leetcode.com/problems/letter-combinations-of-a-phone-number/")</f>
        <v>https://leetcode.com/problems/letter-combinations-of-a-phone-number/</v>
      </c>
    </row>
    <row r="20" spans="1:14" ht="31.5" customHeight="1" x14ac:dyDescent="0.2">
      <c r="A20" s="62">
        <v>16</v>
      </c>
      <c r="B20" s="62">
        <v>525</v>
      </c>
      <c r="C20" s="63" t="s">
        <v>1561</v>
      </c>
      <c r="D20" s="64" t="s">
        <v>28</v>
      </c>
      <c r="E20" s="65" t="s">
        <v>4250</v>
      </c>
      <c r="F20" s="65"/>
      <c r="G20" s="62"/>
      <c r="H20" s="62">
        <f>IFERROR(VLOOKUP(B20,'📊 Problem Tracker'!$B$4:$F$1200,5,FALSE()),"")</f>
        <v>0</v>
      </c>
      <c r="I20" s="65"/>
      <c r="J20" s="65" t="s">
        <v>1559</v>
      </c>
      <c r="K20" s="248" t="s">
        <v>705</v>
      </c>
      <c r="L20" s="62" t="s">
        <v>24</v>
      </c>
      <c r="M20" s="177" t="s">
        <v>24</v>
      </c>
      <c r="N20" s="203" t="str">
        <f>HYPERLINK("https://leetcode.com/problems/contiguous-array/","https://leetcode.com/problems/contiguous-array/")</f>
        <v>https://leetcode.com/problems/contiguous-array/</v>
      </c>
    </row>
    <row r="21" spans="1:14" ht="31.5" customHeight="1" x14ac:dyDescent="0.2">
      <c r="A21" s="7">
        <v>17</v>
      </c>
      <c r="B21" s="7">
        <v>19</v>
      </c>
      <c r="C21" s="13" t="s">
        <v>126</v>
      </c>
      <c r="D21" s="18" t="s">
        <v>28</v>
      </c>
      <c r="E21" s="3" t="s">
        <v>127</v>
      </c>
      <c r="F21" s="3" t="s">
        <v>689</v>
      </c>
      <c r="G21" s="7"/>
      <c r="H21" s="7">
        <f>IFERROR(VLOOKUP(B21,'📊 Problem Tracker'!$B$4:$F$1200,5,FALSE()),"")</f>
        <v>0</v>
      </c>
      <c r="I21" s="3"/>
      <c r="J21" s="3" t="s">
        <v>679</v>
      </c>
      <c r="K21" s="228" t="s">
        <v>130</v>
      </c>
      <c r="L21" s="7" t="s">
        <v>24</v>
      </c>
      <c r="M21" s="176" t="s">
        <v>47</v>
      </c>
      <c r="N21" s="191" t="str">
        <f>HYPERLINK("https://leetcode.com/problems/remove-nth-node-from-end-of-list/","https://leetcode.com/problems/remove-nth-node-from-end-of-list/")</f>
        <v>https://leetcode.com/problems/remove-nth-node-from-end-of-list/</v>
      </c>
    </row>
    <row r="22" spans="1:14" ht="31.5" customHeight="1" x14ac:dyDescent="0.2">
      <c r="A22" s="62">
        <v>18</v>
      </c>
      <c r="B22" s="62">
        <v>20</v>
      </c>
      <c r="C22" s="63" t="s">
        <v>132</v>
      </c>
      <c r="D22" s="67" t="s">
        <v>20</v>
      </c>
      <c r="E22" s="65" t="s">
        <v>540</v>
      </c>
      <c r="F22" s="65"/>
      <c r="G22" s="62"/>
      <c r="H22" s="62">
        <f>IFERROR(VLOOKUP(B22,'📊 Problem Tracker'!$B$4:$F$1200,5,FALSE()),"")</f>
        <v>0</v>
      </c>
      <c r="I22" s="65"/>
      <c r="J22" s="65" t="s">
        <v>133</v>
      </c>
      <c r="K22" s="248" t="s">
        <v>135</v>
      </c>
      <c r="L22" s="62" t="s">
        <v>24</v>
      </c>
      <c r="M22" s="177" t="s">
        <v>24</v>
      </c>
      <c r="N22" s="203" t="str">
        <f>HYPERLINK("https://leetcode.com/problems/valid-parentheses/","https://leetcode.com/problems/valid-parentheses/")</f>
        <v>https://leetcode.com/problems/valid-parentheses/</v>
      </c>
    </row>
    <row r="23" spans="1:14" ht="31.5" customHeight="1" x14ac:dyDescent="0.2">
      <c r="A23" s="7">
        <v>19</v>
      </c>
      <c r="B23" s="7">
        <v>21</v>
      </c>
      <c r="C23" s="13" t="s">
        <v>137</v>
      </c>
      <c r="D23" s="21" t="s">
        <v>20</v>
      </c>
      <c r="E23" s="3" t="s">
        <v>127</v>
      </c>
      <c r="F23" s="3"/>
      <c r="G23" s="7"/>
      <c r="H23" s="7">
        <f>IFERROR(VLOOKUP(B23,'📊 Problem Tracker'!$B$4:$F$1200,5,FALSE()),"")</f>
        <v>0</v>
      </c>
      <c r="I23" s="3"/>
      <c r="J23" s="3" t="s">
        <v>127</v>
      </c>
      <c r="K23" s="228" t="s">
        <v>139</v>
      </c>
      <c r="L23" s="7" t="s">
        <v>140</v>
      </c>
      <c r="M23" s="176" t="s">
        <v>141</v>
      </c>
      <c r="N23" s="191" t="str">
        <f>HYPERLINK("https://leetcode.com/problems/merge-two-sorted-lists/","https://leetcode.com/problems/merge-two-sorted-lists/")</f>
        <v>https://leetcode.com/problems/merge-two-sorted-lists/</v>
      </c>
    </row>
    <row r="24" spans="1:14" ht="31.5" customHeight="1" x14ac:dyDescent="0.2">
      <c r="A24" s="62">
        <v>20</v>
      </c>
      <c r="B24" s="62">
        <v>22</v>
      </c>
      <c r="C24" s="63" t="s">
        <v>143</v>
      </c>
      <c r="D24" s="64" t="s">
        <v>28</v>
      </c>
      <c r="E24" s="65" t="s">
        <v>300</v>
      </c>
      <c r="F24" s="65"/>
      <c r="G24" s="62"/>
      <c r="H24" s="62">
        <f>IFERROR(VLOOKUP(B24,'📊 Problem Tracker'!$B$4:$F$1200,5,FALSE()),"")</f>
        <v>0</v>
      </c>
      <c r="I24" s="65"/>
      <c r="J24" s="65" t="s">
        <v>4251</v>
      </c>
      <c r="K24" s="248" t="s">
        <v>145</v>
      </c>
      <c r="L24" s="62" t="s">
        <v>146</v>
      </c>
      <c r="M24" s="177" t="s">
        <v>24</v>
      </c>
      <c r="N24" s="203" t="str">
        <f>HYPERLINK("https://leetcode.com/problems/generate-parentheses/","https://leetcode.com/problems/generate-parentheses/")</f>
        <v>https://leetcode.com/problems/generate-parentheses/</v>
      </c>
    </row>
    <row r="25" spans="1:14" ht="31.5" customHeight="1" x14ac:dyDescent="0.2">
      <c r="A25" s="7">
        <v>21</v>
      </c>
      <c r="B25" s="7">
        <v>23</v>
      </c>
      <c r="C25" s="13" t="s">
        <v>148</v>
      </c>
      <c r="D25" s="20" t="s">
        <v>42</v>
      </c>
      <c r="E25" s="3" t="s">
        <v>4252</v>
      </c>
      <c r="F25" s="3"/>
      <c r="G25" s="7"/>
      <c r="H25" s="7">
        <f>IFERROR(VLOOKUP(B25,'📊 Problem Tracker'!$B$4:$F$1200,5,FALSE()),"")</f>
        <v>0</v>
      </c>
      <c r="I25" s="3"/>
      <c r="J25" s="3" t="s">
        <v>149</v>
      </c>
      <c r="K25" s="228" t="s">
        <v>151</v>
      </c>
      <c r="L25" s="7" t="s">
        <v>152</v>
      </c>
      <c r="M25" s="176" t="s">
        <v>153</v>
      </c>
      <c r="N25" s="191" t="str">
        <f>HYPERLINK("https://leetcode.com/problems/merge-k-sorted-lists/","https://leetcode.com/problems/merge-k-sorted-lists/")</f>
        <v>https://leetcode.com/problems/merge-k-sorted-lists/</v>
      </c>
    </row>
    <row r="26" spans="1:14" ht="31.5" customHeight="1" x14ac:dyDescent="0.2">
      <c r="A26" s="62">
        <v>22</v>
      </c>
      <c r="B26" s="62">
        <v>24</v>
      </c>
      <c r="C26" s="63" t="s">
        <v>155</v>
      </c>
      <c r="D26" s="64" t="s">
        <v>28</v>
      </c>
      <c r="E26" s="65" t="s">
        <v>127</v>
      </c>
      <c r="F26" s="65"/>
      <c r="G26" s="62"/>
      <c r="H26" s="62">
        <f>IFERROR(VLOOKUP(B26,'📊 Problem Tracker'!$B$4:$F$1200,5,FALSE()),"")</f>
        <v>0</v>
      </c>
      <c r="I26" s="65"/>
      <c r="J26" s="65" t="s">
        <v>127</v>
      </c>
      <c r="K26" s="248" t="s">
        <v>158</v>
      </c>
      <c r="L26" s="62" t="s">
        <v>24</v>
      </c>
      <c r="M26" s="177" t="s">
        <v>47</v>
      </c>
      <c r="N26" s="203" t="str">
        <f>HYPERLINK("https://leetcode.com/problems/swap-nodes-in-pairs/","https://leetcode.com/problems/swap-nodes-in-pairs/")</f>
        <v>https://leetcode.com/problems/swap-nodes-in-pairs/</v>
      </c>
    </row>
    <row r="27" spans="1:14" ht="31.5" customHeight="1" x14ac:dyDescent="0.2">
      <c r="A27" s="7">
        <v>23</v>
      </c>
      <c r="B27" s="7">
        <v>25</v>
      </c>
      <c r="C27" s="13" t="s">
        <v>160</v>
      </c>
      <c r="D27" s="20" t="s">
        <v>42</v>
      </c>
      <c r="E27" s="3" t="s">
        <v>4253</v>
      </c>
      <c r="F27" s="3"/>
      <c r="G27" s="7"/>
      <c r="H27" s="7">
        <f>IFERROR(VLOOKUP(B27,'📊 Problem Tracker'!$B$4:$F$1200,5,FALSE()),"")</f>
        <v>0</v>
      </c>
      <c r="I27" s="3"/>
      <c r="J27" s="3" t="s">
        <v>127</v>
      </c>
      <c r="K27" s="228" t="s">
        <v>163</v>
      </c>
      <c r="L27" s="7" t="s">
        <v>24</v>
      </c>
      <c r="M27" s="176" t="s">
        <v>47</v>
      </c>
      <c r="N27" s="191" t="str">
        <f>HYPERLINK("https://leetcode.com/problems/reverse-nodes-in-k-group/","https://leetcode.com/problems/reverse-nodes-in-k-group/")</f>
        <v>https://leetcode.com/problems/reverse-nodes-in-k-group/</v>
      </c>
    </row>
    <row r="28" spans="1:14" ht="31.5" customHeight="1" x14ac:dyDescent="0.2">
      <c r="A28" s="62">
        <v>24</v>
      </c>
      <c r="B28" s="62">
        <v>542</v>
      </c>
      <c r="C28" s="63" t="s">
        <v>1581</v>
      </c>
      <c r="D28" s="64" t="s">
        <v>28</v>
      </c>
      <c r="E28" s="65" t="s">
        <v>4247</v>
      </c>
      <c r="F28" s="65"/>
      <c r="G28" s="62"/>
      <c r="H28" s="62">
        <f>IFERROR(VLOOKUP(B28,'📊 Problem Tracker'!$B$4:$F$1200,5,FALSE()),"")</f>
        <v>0</v>
      </c>
      <c r="I28" s="65"/>
      <c r="J28" s="65" t="s">
        <v>1106</v>
      </c>
      <c r="K28" s="248" t="s">
        <v>619</v>
      </c>
      <c r="L28" s="62" t="s">
        <v>81</v>
      </c>
      <c r="M28" s="177" t="s">
        <v>81</v>
      </c>
      <c r="N28" s="203" t="str">
        <f>HYPERLINK("https://leetcode.com/problems/01-matrix/","https://leetcode.com/problems/01-matrix/")</f>
        <v>https://leetcode.com/problems/01-matrix/</v>
      </c>
    </row>
    <row r="29" spans="1:14" ht="31.5" customHeight="1" x14ac:dyDescent="0.2">
      <c r="A29" s="7">
        <v>25</v>
      </c>
      <c r="B29" s="7">
        <v>31</v>
      </c>
      <c r="C29" s="13" t="s">
        <v>192</v>
      </c>
      <c r="D29" s="18" t="s">
        <v>28</v>
      </c>
      <c r="E29" s="3" t="s">
        <v>4254</v>
      </c>
      <c r="F29" s="3"/>
      <c r="G29" s="7"/>
      <c r="H29" s="7">
        <f>IFERROR(VLOOKUP(B29,'📊 Problem Tracker'!$B$4:$F$1200,5,FALSE()),"")</f>
        <v>0</v>
      </c>
      <c r="I29" s="3"/>
      <c r="J29" s="3" t="s">
        <v>84</v>
      </c>
      <c r="K29" s="228" t="s">
        <v>195</v>
      </c>
      <c r="L29" s="7" t="s">
        <v>24</v>
      </c>
      <c r="M29" s="176" t="s">
        <v>47</v>
      </c>
      <c r="N29" s="191" t="str">
        <f>HYPERLINK("https://leetcode.com/problems/next-permutation/","https://leetcode.com/problems/next-permutation/")</f>
        <v>https://leetcode.com/problems/next-permutation/</v>
      </c>
    </row>
    <row r="30" spans="1:14" ht="31.5" customHeight="1" x14ac:dyDescent="0.2">
      <c r="A30" s="62">
        <v>26</v>
      </c>
      <c r="B30" s="62">
        <v>32</v>
      </c>
      <c r="C30" s="63" t="s">
        <v>197</v>
      </c>
      <c r="D30" s="66" t="s">
        <v>42</v>
      </c>
      <c r="E30" s="65" t="s">
        <v>540</v>
      </c>
      <c r="F30" s="65" t="s">
        <v>1042</v>
      </c>
      <c r="G30" s="62"/>
      <c r="H30" s="62">
        <f>IFERROR(VLOOKUP(B30,'📊 Problem Tracker'!$B$4:$F$1200,5,FALSE()),"")</f>
        <v>0</v>
      </c>
      <c r="I30" s="65"/>
      <c r="J30" s="65" t="s">
        <v>198</v>
      </c>
      <c r="K30" s="248" t="s">
        <v>200</v>
      </c>
      <c r="L30" s="62" t="s">
        <v>24</v>
      </c>
      <c r="M30" s="177" t="s">
        <v>24</v>
      </c>
      <c r="N30" s="203" t="str">
        <f>HYPERLINK("https://leetcode.com/problems/longest-valid-parentheses/","https://leetcode.com/problems/longest-valid-parentheses/")</f>
        <v>https://leetcode.com/problems/longest-valid-parentheses/</v>
      </c>
    </row>
    <row r="31" spans="1:14" ht="31.5" customHeight="1" x14ac:dyDescent="0.2">
      <c r="A31" s="7">
        <v>27</v>
      </c>
      <c r="B31" s="7">
        <v>33</v>
      </c>
      <c r="C31" s="13" t="s">
        <v>202</v>
      </c>
      <c r="D31" s="18" t="s">
        <v>28</v>
      </c>
      <c r="E31" s="3" t="s">
        <v>4255</v>
      </c>
      <c r="F31" s="3"/>
      <c r="G31" s="7"/>
      <c r="H31" s="7">
        <f>IFERROR(VLOOKUP(B31,'📊 Problem Tracker'!$B$4:$F$1200,5,FALSE()),"")</f>
        <v>0</v>
      </c>
      <c r="I31" s="3"/>
      <c r="J31" s="3" t="s">
        <v>41</v>
      </c>
      <c r="K31" s="228" t="s">
        <v>204</v>
      </c>
      <c r="L31" s="7" t="s">
        <v>65</v>
      </c>
      <c r="M31" s="176" t="s">
        <v>47</v>
      </c>
      <c r="N31" s="191" t="str">
        <f>HYPERLINK("https://leetcode.com/problems/search-in-rotated-sorted-array/","https://leetcode.com/problems/search-in-rotated-sorted-array/")</f>
        <v>https://leetcode.com/problems/search-in-rotated-sorted-array/</v>
      </c>
    </row>
    <row r="32" spans="1:14" ht="31.5" customHeight="1" x14ac:dyDescent="0.2">
      <c r="A32" s="62">
        <v>28</v>
      </c>
      <c r="B32" s="62">
        <v>543</v>
      </c>
      <c r="C32" s="63" t="s">
        <v>1584</v>
      </c>
      <c r="D32" s="67" t="s">
        <v>20</v>
      </c>
      <c r="E32" s="65" t="s">
        <v>4256</v>
      </c>
      <c r="F32" s="65"/>
      <c r="G32" s="62"/>
      <c r="H32" s="62">
        <f>IFERROR(VLOOKUP(B32,'📊 Problem Tracker'!$B$4:$F$1200,5,FALSE()),"")</f>
        <v>0</v>
      </c>
      <c r="I32" s="65"/>
      <c r="J32" s="65" t="s">
        <v>500</v>
      </c>
      <c r="K32" s="248" t="s">
        <v>571</v>
      </c>
      <c r="L32" s="62" t="s">
        <v>24</v>
      </c>
      <c r="M32" s="177" t="s">
        <v>503</v>
      </c>
      <c r="N32" s="203" t="str">
        <f>HYPERLINK("https://leetcode.com/problems/diameter-of-binary-tree/","https://leetcode.com/problems/diameter-of-binary-tree/")</f>
        <v>https://leetcode.com/problems/diameter-of-binary-tree/</v>
      </c>
    </row>
    <row r="33" spans="1:14" ht="31.5" customHeight="1" x14ac:dyDescent="0.2">
      <c r="A33" s="7">
        <v>29</v>
      </c>
      <c r="B33" s="7">
        <v>36</v>
      </c>
      <c r="C33" s="13" t="s">
        <v>214</v>
      </c>
      <c r="D33" s="18" t="s">
        <v>28</v>
      </c>
      <c r="E33" s="3" t="s">
        <v>4257</v>
      </c>
      <c r="F33" s="3"/>
      <c r="G33" s="7"/>
      <c r="H33" s="7">
        <f>IFERROR(VLOOKUP(B33,'📊 Problem Tracker'!$B$4:$F$1200,5,FALSE()),"")</f>
        <v>0</v>
      </c>
      <c r="I33" s="3"/>
      <c r="J33" s="3" t="s">
        <v>215</v>
      </c>
      <c r="K33" s="228" t="s">
        <v>218</v>
      </c>
      <c r="L33" s="7" t="s">
        <v>47</v>
      </c>
      <c r="M33" s="176" t="s">
        <v>47</v>
      </c>
      <c r="N33" s="191" t="str">
        <f>HYPERLINK("https://leetcode.com/problems/valid-sudoku/","https://leetcode.com/problems/valid-sudoku/")</f>
        <v>https://leetcode.com/problems/valid-sudoku/</v>
      </c>
    </row>
    <row r="34" spans="1:14" ht="31.5" customHeight="1" x14ac:dyDescent="0.2">
      <c r="A34" s="62">
        <v>30</v>
      </c>
      <c r="B34" s="62">
        <v>37</v>
      </c>
      <c r="C34" s="63" t="s">
        <v>220</v>
      </c>
      <c r="D34" s="66" t="s">
        <v>42</v>
      </c>
      <c r="E34" s="65" t="s">
        <v>300</v>
      </c>
      <c r="F34" s="65"/>
      <c r="G34" s="62"/>
      <c r="H34" s="62">
        <f>IFERROR(VLOOKUP(B34,'📊 Problem Tracker'!$B$4:$F$1200,5,FALSE()),"")</f>
        <v>0</v>
      </c>
      <c r="I34" s="65"/>
      <c r="J34" s="65" t="s">
        <v>221</v>
      </c>
      <c r="K34" s="248" t="s">
        <v>224</v>
      </c>
      <c r="L34" s="62" t="s">
        <v>225</v>
      </c>
      <c r="M34" s="177" t="s">
        <v>226</v>
      </c>
      <c r="N34" s="203" t="str">
        <f>HYPERLINK("https://leetcode.com/problems/sudoku-solver/","https://leetcode.com/problems/sudoku-solver/")</f>
        <v>https://leetcode.com/problems/sudoku-solver/</v>
      </c>
    </row>
    <row r="35" spans="1:14" ht="31.5" customHeight="1" x14ac:dyDescent="0.2">
      <c r="A35" s="7">
        <v>31</v>
      </c>
      <c r="B35" s="7">
        <v>1730</v>
      </c>
      <c r="C35" s="13" t="s">
        <v>2679</v>
      </c>
      <c r="D35" s="18" t="s">
        <v>28</v>
      </c>
      <c r="E35" s="3" t="s">
        <v>4258</v>
      </c>
      <c r="F35" s="3"/>
      <c r="G35" s="7"/>
      <c r="H35" s="7">
        <f>IFERROR(VLOOKUP(B35,'📊 Problem Tracker'!$B$4:$F$1200,5,FALSE()),"")</f>
        <v>0</v>
      </c>
      <c r="I35" s="3"/>
      <c r="J35" s="3" t="s">
        <v>1106</v>
      </c>
      <c r="K35" s="228" t="s">
        <v>619</v>
      </c>
      <c r="L35" s="7" t="s">
        <v>363</v>
      </c>
      <c r="M35" s="176" t="s">
        <v>363</v>
      </c>
      <c r="N35" s="191" t="str">
        <f>HYPERLINK("https://leetcode.com/problems/shortest-path-to-get-food/","https://leetcode.com/problems/shortest-path-to-get-food/")</f>
        <v>https://leetcode.com/problems/shortest-path-to-get-food/</v>
      </c>
    </row>
    <row r="36" spans="1:14" ht="31.5" customHeight="1" x14ac:dyDescent="0.2">
      <c r="A36" s="62">
        <v>32</v>
      </c>
      <c r="B36" s="62">
        <v>39</v>
      </c>
      <c r="C36" s="63" t="s">
        <v>233</v>
      </c>
      <c r="D36" s="64" t="s">
        <v>28</v>
      </c>
      <c r="E36" s="65" t="s">
        <v>300</v>
      </c>
      <c r="F36" s="65"/>
      <c r="G36" s="62"/>
      <c r="H36" s="62">
        <f>IFERROR(VLOOKUP(B36,'📊 Problem Tracker'!$B$4:$F$1200,5,FALSE()),"")</f>
        <v>0</v>
      </c>
      <c r="I36" s="65"/>
      <c r="J36" s="65" t="s">
        <v>234</v>
      </c>
      <c r="K36" s="248" t="s">
        <v>237</v>
      </c>
      <c r="L36" s="62" t="s">
        <v>238</v>
      </c>
      <c r="M36" s="177" t="s">
        <v>239</v>
      </c>
      <c r="N36" s="203" t="str">
        <f>HYPERLINK("https://leetcode.com/problems/combination-sum/","https://leetcode.com/problems/combination-sum/")</f>
        <v>https://leetcode.com/problems/combination-sum/</v>
      </c>
    </row>
    <row r="37" spans="1:14" ht="31.5" customHeight="1" x14ac:dyDescent="0.2">
      <c r="A37" s="7">
        <v>33</v>
      </c>
      <c r="B37" s="7">
        <v>41</v>
      </c>
      <c r="C37" s="13" t="s">
        <v>246</v>
      </c>
      <c r="D37" s="20" t="s">
        <v>42</v>
      </c>
      <c r="E37" s="3" t="s">
        <v>1699</v>
      </c>
      <c r="F37" s="3"/>
      <c r="G37" s="7"/>
      <c r="H37" s="7">
        <f>IFERROR(VLOOKUP(B37,'📊 Problem Tracker'!$B$4:$F$1200,5,FALSE()),"")</f>
        <v>0</v>
      </c>
      <c r="I37" s="3"/>
      <c r="J37" s="3" t="s">
        <v>19</v>
      </c>
      <c r="K37" s="228" t="s">
        <v>249</v>
      </c>
      <c r="L37" s="7" t="s">
        <v>24</v>
      </c>
      <c r="M37" s="176" t="s">
        <v>47</v>
      </c>
      <c r="N37" s="191" t="str">
        <f>HYPERLINK("https://leetcode.com/problems/first-missing-positive/","https://leetcode.com/problems/first-missing-positive/")</f>
        <v>https://leetcode.com/problems/first-missing-positive/</v>
      </c>
    </row>
    <row r="38" spans="1:14" ht="31.5" customHeight="1" x14ac:dyDescent="0.2">
      <c r="A38" s="62">
        <v>34</v>
      </c>
      <c r="B38" s="62">
        <v>42</v>
      </c>
      <c r="C38" s="63" t="s">
        <v>251</v>
      </c>
      <c r="D38" s="66" t="s">
        <v>42</v>
      </c>
      <c r="E38" s="65" t="s">
        <v>689</v>
      </c>
      <c r="F38" s="65" t="s">
        <v>1473</v>
      </c>
      <c r="G38" s="62"/>
      <c r="H38" s="62">
        <f>IFERROR(VLOOKUP(B38,'📊 Problem Tracker'!$B$4:$F$1200,5,FALSE()),"")</f>
        <v>0</v>
      </c>
      <c r="I38" s="65"/>
      <c r="J38" s="65" t="s">
        <v>4259</v>
      </c>
      <c r="K38" s="248" t="s">
        <v>254</v>
      </c>
      <c r="L38" s="62" t="s">
        <v>24</v>
      </c>
      <c r="M38" s="177" t="s">
        <v>47</v>
      </c>
      <c r="N38" s="203" t="str">
        <f>HYPERLINK("https://leetcode.com/problems/trapping-rain-water/","https://leetcode.com/problems/trapping-rain-water/")</f>
        <v>https://leetcode.com/problems/trapping-rain-water/</v>
      </c>
    </row>
    <row r="39" spans="1:14" ht="31.5" customHeight="1" x14ac:dyDescent="0.2">
      <c r="A39" s="7">
        <v>35</v>
      </c>
      <c r="B39" s="7">
        <v>46</v>
      </c>
      <c r="C39" s="13" t="s">
        <v>272</v>
      </c>
      <c r="D39" s="18" t="s">
        <v>28</v>
      </c>
      <c r="E39" s="3" t="s">
        <v>300</v>
      </c>
      <c r="F39" s="3"/>
      <c r="G39" s="7"/>
      <c r="H39" s="7">
        <f>IFERROR(VLOOKUP(B39,'📊 Problem Tracker'!$B$4:$F$1200,5,FALSE()),"")</f>
        <v>0</v>
      </c>
      <c r="I39" s="3"/>
      <c r="J39" s="3" t="s">
        <v>234</v>
      </c>
      <c r="K39" s="228" t="s">
        <v>274</v>
      </c>
      <c r="L39" s="7" t="s">
        <v>275</v>
      </c>
      <c r="M39" s="176" t="s">
        <v>24</v>
      </c>
      <c r="N39" s="191" t="str">
        <f>HYPERLINK("https://leetcode.com/problems/permutations/","https://leetcode.com/problems/permutations/")</f>
        <v>https://leetcode.com/problems/permutations/</v>
      </c>
    </row>
    <row r="40" spans="1:14" ht="31.5" customHeight="1" x14ac:dyDescent="0.2">
      <c r="A40" s="62">
        <v>36</v>
      </c>
      <c r="B40" s="62">
        <v>48</v>
      </c>
      <c r="C40" s="63" t="s">
        <v>282</v>
      </c>
      <c r="D40" s="64" t="s">
        <v>28</v>
      </c>
      <c r="E40" s="65" t="s">
        <v>4187</v>
      </c>
      <c r="F40" s="65"/>
      <c r="G40" s="62"/>
      <c r="H40" s="62">
        <f>IFERROR(VLOOKUP(B40,'📊 Problem Tracker'!$B$4:$F$1200,5,FALSE()),"")</f>
        <v>0</v>
      </c>
      <c r="I40" s="65"/>
      <c r="J40" s="65" t="s">
        <v>283</v>
      </c>
      <c r="K40" s="248" t="s">
        <v>286</v>
      </c>
      <c r="L40" s="62" t="s">
        <v>53</v>
      </c>
      <c r="M40" s="177" t="s">
        <v>47</v>
      </c>
      <c r="N40" s="203" t="str">
        <f>HYPERLINK("https://leetcode.com/problems/rotate-image/","https://leetcode.com/problems/rotate-image/")</f>
        <v>https://leetcode.com/problems/rotate-image/</v>
      </c>
    </row>
    <row r="41" spans="1:14" ht="31.5" customHeight="1" x14ac:dyDescent="0.2">
      <c r="A41" s="7">
        <v>37</v>
      </c>
      <c r="B41" s="7">
        <v>49</v>
      </c>
      <c r="C41" s="13" t="s">
        <v>288</v>
      </c>
      <c r="D41" s="18" t="s">
        <v>28</v>
      </c>
      <c r="E41" s="3" t="s">
        <v>4244</v>
      </c>
      <c r="F41" s="3"/>
      <c r="G41" s="7"/>
      <c r="H41" s="7">
        <f>IFERROR(VLOOKUP(B41,'📊 Problem Tracker'!$B$4:$F$1200,5,FALSE()),"")</f>
        <v>0</v>
      </c>
      <c r="I41" s="3"/>
      <c r="J41" s="3" t="s">
        <v>289</v>
      </c>
      <c r="K41" s="228" t="s">
        <v>291</v>
      </c>
      <c r="L41" s="7" t="s">
        <v>292</v>
      </c>
      <c r="M41" s="176" t="s">
        <v>292</v>
      </c>
      <c r="N41" s="191" t="str">
        <f>HYPERLINK("https://leetcode.com/problems/group-anagrams/","https://leetcode.com/problems/group-anagrams/")</f>
        <v>https://leetcode.com/problems/group-anagrams/</v>
      </c>
    </row>
    <row r="42" spans="1:14" ht="31.5" customHeight="1" x14ac:dyDescent="0.2">
      <c r="A42" s="62">
        <v>38</v>
      </c>
      <c r="B42" s="62">
        <v>50</v>
      </c>
      <c r="C42" s="63" t="s">
        <v>294</v>
      </c>
      <c r="D42" s="64" t="s">
        <v>28</v>
      </c>
      <c r="E42" s="65" t="s">
        <v>4260</v>
      </c>
      <c r="F42" s="65"/>
      <c r="G42" s="62"/>
      <c r="H42" s="62">
        <f>IFERROR(VLOOKUP(B42,'📊 Problem Tracker'!$B$4:$F$1200,5,FALSE()),"")</f>
        <v>0</v>
      </c>
      <c r="I42" s="65"/>
      <c r="J42" s="65" t="s">
        <v>295</v>
      </c>
      <c r="K42" s="248" t="s">
        <v>297</v>
      </c>
      <c r="L42" s="62" t="s">
        <v>65</v>
      </c>
      <c r="M42" s="177" t="s">
        <v>47</v>
      </c>
      <c r="N42" s="203" t="str">
        <f>HYPERLINK("https://leetcode.com/problems/powx-n/","https://leetcode.com/problems/powx-n/")</f>
        <v>https://leetcode.com/problems/powx-n/</v>
      </c>
    </row>
    <row r="43" spans="1:14" ht="31.5" customHeight="1" x14ac:dyDescent="0.2">
      <c r="A43" s="7">
        <v>39</v>
      </c>
      <c r="B43" s="7">
        <v>51</v>
      </c>
      <c r="C43" s="13" t="s">
        <v>299</v>
      </c>
      <c r="D43" s="20" t="s">
        <v>42</v>
      </c>
      <c r="E43" s="3" t="s">
        <v>300</v>
      </c>
      <c r="F43" s="3"/>
      <c r="G43" s="7"/>
      <c r="H43" s="7">
        <f>IFERROR(VLOOKUP(B43,'📊 Problem Tracker'!$B$4:$F$1200,5,FALSE()),"")</f>
        <v>0</v>
      </c>
      <c r="I43" s="3"/>
      <c r="J43" s="3" t="s">
        <v>234</v>
      </c>
      <c r="K43" s="228" t="s">
        <v>302</v>
      </c>
      <c r="L43" s="7" t="s">
        <v>303</v>
      </c>
      <c r="M43" s="176" t="s">
        <v>304</v>
      </c>
      <c r="N43" s="191" t="str">
        <f>HYPERLINK("https://leetcode.com/problems/n-queens/","https://leetcode.com/problems/n-queens/")</f>
        <v>https://leetcode.com/problems/n-queens/</v>
      </c>
    </row>
    <row r="44" spans="1:14" ht="31.5" customHeight="1" x14ac:dyDescent="0.2">
      <c r="A44" s="62">
        <v>40</v>
      </c>
      <c r="B44" s="62">
        <v>560</v>
      </c>
      <c r="C44" s="63" t="s">
        <v>1610</v>
      </c>
      <c r="D44" s="64" t="s">
        <v>28</v>
      </c>
      <c r="E44" s="65" t="s">
        <v>4250</v>
      </c>
      <c r="F44" s="65"/>
      <c r="G44" s="62"/>
      <c r="H44" s="62">
        <f>IFERROR(VLOOKUP(B44,'📊 Problem Tracker'!$B$4:$F$1200,5,FALSE()),"")</f>
        <v>0</v>
      </c>
      <c r="I44" s="65"/>
      <c r="J44" s="65" t="s">
        <v>1559</v>
      </c>
      <c r="K44" s="248" t="s">
        <v>1612</v>
      </c>
      <c r="L44" s="62" t="s">
        <v>24</v>
      </c>
      <c r="M44" s="177" t="s">
        <v>24</v>
      </c>
      <c r="N44" s="203" t="str">
        <f>HYPERLINK("https://leetcode.com/problems/subarray-sum-equals-k/","https://leetcode.com/problems/subarray-sum-equals-k/")</f>
        <v>https://leetcode.com/problems/subarray-sum-equals-k/</v>
      </c>
    </row>
    <row r="45" spans="1:14" ht="31.5" customHeight="1" x14ac:dyDescent="0.2">
      <c r="A45" s="7">
        <v>41</v>
      </c>
      <c r="B45" s="7">
        <v>53</v>
      </c>
      <c r="C45" s="13" t="s">
        <v>308</v>
      </c>
      <c r="D45" s="18" t="s">
        <v>28</v>
      </c>
      <c r="E45" s="3" t="s">
        <v>4261</v>
      </c>
      <c r="F45" s="3"/>
      <c r="G45" s="7"/>
      <c r="H45" s="7">
        <f>IFERROR(VLOOKUP(B45,'📊 Problem Tracker'!$B$4:$F$1200,5,FALSE()),"")</f>
        <v>0</v>
      </c>
      <c r="I45" s="3"/>
      <c r="J45" s="3" t="s">
        <v>309</v>
      </c>
      <c r="K45" s="228" t="s">
        <v>311</v>
      </c>
      <c r="L45" s="7" t="s">
        <v>24</v>
      </c>
      <c r="M45" s="176" t="s">
        <v>47</v>
      </c>
      <c r="N45" s="191" t="str">
        <f>HYPERLINK("https://leetcode.com/problems/maximum-subarray/","https://leetcode.com/problems/maximum-subarray/")</f>
        <v>https://leetcode.com/problems/maximum-subarray/</v>
      </c>
    </row>
    <row r="46" spans="1:14" ht="31.5" customHeight="1" x14ac:dyDescent="0.2">
      <c r="A46" s="62">
        <v>42</v>
      </c>
      <c r="B46" s="62">
        <v>54</v>
      </c>
      <c r="C46" s="63" t="s">
        <v>313</v>
      </c>
      <c r="D46" s="64" t="s">
        <v>28</v>
      </c>
      <c r="E46" s="65" t="s">
        <v>4262</v>
      </c>
      <c r="F46" s="65"/>
      <c r="G46" s="62"/>
      <c r="H46" s="62">
        <f>IFERROR(VLOOKUP(B46,'📊 Problem Tracker'!$B$4:$F$1200,5,FALSE()),"")</f>
        <v>0</v>
      </c>
      <c r="I46" s="65"/>
      <c r="J46" s="65" t="s">
        <v>283</v>
      </c>
      <c r="K46" s="248" t="s">
        <v>315</v>
      </c>
      <c r="L46" s="62" t="s">
        <v>81</v>
      </c>
      <c r="M46" s="177" t="s">
        <v>47</v>
      </c>
      <c r="N46" s="203" t="str">
        <f>HYPERLINK("https://leetcode.com/problems/spiral-matrix/","https://leetcode.com/problems/spiral-matrix/")</f>
        <v>https://leetcode.com/problems/spiral-matrix/</v>
      </c>
    </row>
    <row r="47" spans="1:14" ht="31.5" customHeight="1" x14ac:dyDescent="0.2">
      <c r="A47" s="7">
        <v>43</v>
      </c>
      <c r="B47" s="7">
        <v>55</v>
      </c>
      <c r="C47" s="13" t="s">
        <v>317</v>
      </c>
      <c r="D47" s="18" t="s">
        <v>28</v>
      </c>
      <c r="E47" s="3" t="s">
        <v>3091</v>
      </c>
      <c r="F47" s="3"/>
      <c r="G47" s="7"/>
      <c r="H47" s="7">
        <f>IFERROR(VLOOKUP(B47,'📊 Problem Tracker'!$B$4:$F$1200,5,FALSE()),"")</f>
        <v>0</v>
      </c>
      <c r="I47" s="3"/>
      <c r="J47" s="3" t="s">
        <v>318</v>
      </c>
      <c r="K47" s="228" t="s">
        <v>320</v>
      </c>
      <c r="L47" s="7" t="s">
        <v>24</v>
      </c>
      <c r="M47" s="176" t="s">
        <v>47</v>
      </c>
      <c r="N47" s="191" t="str">
        <f>HYPERLINK("https://leetcode.com/problems/jump-game/","https://leetcode.com/problems/jump-game/")</f>
        <v>https://leetcode.com/problems/jump-game/</v>
      </c>
    </row>
    <row r="48" spans="1:14" ht="31.5" customHeight="1" x14ac:dyDescent="0.2">
      <c r="A48" s="62">
        <v>44</v>
      </c>
      <c r="B48" s="62">
        <v>56</v>
      </c>
      <c r="C48" s="63" t="s">
        <v>322</v>
      </c>
      <c r="D48" s="64" t="s">
        <v>28</v>
      </c>
      <c r="E48" s="65" t="s">
        <v>322</v>
      </c>
      <c r="F48" s="65" t="s">
        <v>4249</v>
      </c>
      <c r="G48" s="62"/>
      <c r="H48" s="62">
        <f>IFERROR(VLOOKUP(B48,'📊 Problem Tracker'!$B$4:$F$1200,5,FALSE()),"")</f>
        <v>0</v>
      </c>
      <c r="I48" s="65"/>
      <c r="J48" s="65" t="s">
        <v>323</v>
      </c>
      <c r="K48" s="248" t="s">
        <v>325</v>
      </c>
      <c r="L48" s="62" t="s">
        <v>326</v>
      </c>
      <c r="M48" s="177" t="s">
        <v>24</v>
      </c>
      <c r="N48" s="203" t="str">
        <f>HYPERLINK("https://leetcode.com/problems/merge-intervals/","https://leetcode.com/problems/merge-intervals/")</f>
        <v>https://leetcode.com/problems/merge-intervals/</v>
      </c>
    </row>
    <row r="49" spans="1:14" ht="31.5" customHeight="1" x14ac:dyDescent="0.2">
      <c r="A49" s="7">
        <v>45</v>
      </c>
      <c r="B49" s="7">
        <v>57</v>
      </c>
      <c r="C49" s="13" t="s">
        <v>328</v>
      </c>
      <c r="D49" s="18" t="s">
        <v>28</v>
      </c>
      <c r="E49" s="3" t="s">
        <v>322</v>
      </c>
      <c r="F49" s="3"/>
      <c r="G49" s="7"/>
      <c r="H49" s="7">
        <f>IFERROR(VLOOKUP(B49,'📊 Problem Tracker'!$B$4:$F$1200,5,FALSE()),"")</f>
        <v>0</v>
      </c>
      <c r="I49" s="3"/>
      <c r="J49" s="3" t="s">
        <v>323</v>
      </c>
      <c r="K49" s="228" t="s">
        <v>331</v>
      </c>
      <c r="L49" s="7" t="s">
        <v>24</v>
      </c>
      <c r="M49" s="176" t="s">
        <v>24</v>
      </c>
      <c r="N49" s="191" t="str">
        <f>HYPERLINK("https://leetcode.com/problems/insert-interval/","https://leetcode.com/problems/insert-interval/")</f>
        <v>https://leetcode.com/problems/insert-interval/</v>
      </c>
    </row>
    <row r="50" spans="1:14" ht="31.5" customHeight="1" x14ac:dyDescent="0.2">
      <c r="A50" s="62">
        <v>46</v>
      </c>
      <c r="B50" s="62">
        <v>572</v>
      </c>
      <c r="C50" s="63" t="s">
        <v>1634</v>
      </c>
      <c r="D50" s="67" t="s">
        <v>20</v>
      </c>
      <c r="E50" s="65" t="s">
        <v>4256</v>
      </c>
      <c r="F50" s="65"/>
      <c r="G50" s="62"/>
      <c r="H50" s="62">
        <f>IFERROR(VLOOKUP(B50,'📊 Problem Tracker'!$B$4:$F$1200,5,FALSE()),"")</f>
        <v>0</v>
      </c>
      <c r="I50" s="65"/>
      <c r="J50" s="65" t="s">
        <v>500</v>
      </c>
      <c r="K50" s="248" t="s">
        <v>571</v>
      </c>
      <c r="L50" s="62" t="s">
        <v>1636</v>
      </c>
      <c r="M50" s="177" t="s">
        <v>503</v>
      </c>
      <c r="N50" s="203" t="str">
        <f>HYPERLINK("https://leetcode.com/problems/subtree-of-another-tree/","https://leetcode.com/problems/subtree-of-another-tree/")</f>
        <v>https://leetcode.com/problems/subtree-of-another-tree/</v>
      </c>
    </row>
    <row r="51" spans="1:14" ht="31.5" customHeight="1" x14ac:dyDescent="0.2">
      <c r="A51" s="7">
        <v>47</v>
      </c>
      <c r="B51" s="7">
        <v>61</v>
      </c>
      <c r="C51" s="13" t="s">
        <v>348</v>
      </c>
      <c r="D51" s="18" t="s">
        <v>28</v>
      </c>
      <c r="E51" s="3"/>
      <c r="F51" s="3"/>
      <c r="G51" s="7"/>
      <c r="H51" s="7">
        <f>IFERROR(VLOOKUP(B51,'📊 Problem Tracker'!$B$4:$F$1200,5,FALSE()),"")</f>
        <v>0</v>
      </c>
      <c r="I51" s="3"/>
      <c r="J51" s="3" t="s">
        <v>127</v>
      </c>
      <c r="K51" s="228" t="s">
        <v>351</v>
      </c>
      <c r="L51" s="7" t="s">
        <v>24</v>
      </c>
      <c r="M51" s="176" t="s">
        <v>47</v>
      </c>
      <c r="N51" s="191" t="str">
        <f>HYPERLINK("https://leetcode.com/problems/rotate-list/","https://leetcode.com/problems/rotate-list/")</f>
        <v>https://leetcode.com/problems/rotate-list/</v>
      </c>
    </row>
    <row r="52" spans="1:14" ht="31.5" customHeight="1" x14ac:dyDescent="0.2">
      <c r="A52" s="62">
        <v>48</v>
      </c>
      <c r="B52" s="62">
        <v>62</v>
      </c>
      <c r="C52" s="63" t="s">
        <v>353</v>
      </c>
      <c r="D52" s="64" t="s">
        <v>28</v>
      </c>
      <c r="E52" s="65" t="s">
        <v>4263</v>
      </c>
      <c r="F52" s="65"/>
      <c r="G52" s="62"/>
      <c r="H52" s="62">
        <f>IFERROR(VLOOKUP(B52,'📊 Problem Tracker'!$B$4:$F$1200,5,FALSE()),"")</f>
        <v>0</v>
      </c>
      <c r="I52" s="65"/>
      <c r="J52" s="65" t="s">
        <v>354</v>
      </c>
      <c r="K52" s="248" t="s">
        <v>357</v>
      </c>
      <c r="L52" s="62" t="s">
        <v>81</v>
      </c>
      <c r="M52" s="177" t="s">
        <v>24</v>
      </c>
      <c r="N52" s="203" t="str">
        <f>HYPERLINK("https://leetcode.com/problems/unique-paths/","https://leetcode.com/problems/unique-paths/")</f>
        <v>https://leetcode.com/problems/unique-paths/</v>
      </c>
    </row>
    <row r="53" spans="1:14" ht="31.5" customHeight="1" x14ac:dyDescent="0.2">
      <c r="A53" s="7">
        <v>49</v>
      </c>
      <c r="B53" s="7">
        <v>67</v>
      </c>
      <c r="C53" s="13" t="s">
        <v>380</v>
      </c>
      <c r="D53" s="21" t="s">
        <v>20</v>
      </c>
      <c r="E53" s="3" t="s">
        <v>666</v>
      </c>
      <c r="F53" s="3"/>
      <c r="G53" s="7"/>
      <c r="H53" s="7">
        <f>IFERROR(VLOOKUP(B53,'📊 Problem Tracker'!$B$4:$F$1200,5,FALSE()),"")</f>
        <v>0</v>
      </c>
      <c r="I53" s="3"/>
      <c r="J53" s="3" t="s">
        <v>2456</v>
      </c>
      <c r="K53" s="228" t="s">
        <v>384</v>
      </c>
      <c r="L53" s="7" t="s">
        <v>32</v>
      </c>
      <c r="M53" s="176" t="s">
        <v>32</v>
      </c>
      <c r="N53" s="191" t="str">
        <f>HYPERLINK("https://leetcode.com/problems/add-binary/","https://leetcode.com/problems/add-binary/")</f>
        <v>https://leetcode.com/problems/add-binary/</v>
      </c>
    </row>
    <row r="54" spans="1:14" ht="31.5" customHeight="1" x14ac:dyDescent="0.2">
      <c r="A54" s="62">
        <v>50</v>
      </c>
      <c r="B54" s="62">
        <v>70</v>
      </c>
      <c r="C54" s="63" t="s">
        <v>398</v>
      </c>
      <c r="D54" s="67" t="s">
        <v>20</v>
      </c>
      <c r="E54" s="65" t="s">
        <v>4264</v>
      </c>
      <c r="F54" s="65"/>
      <c r="G54" s="62"/>
      <c r="H54" s="62">
        <f>IFERROR(VLOOKUP(B54,'📊 Problem Tracker'!$B$4:$F$1200,5,FALSE()),"")</f>
        <v>0</v>
      </c>
      <c r="I54" s="65"/>
      <c r="J54" s="65" t="s">
        <v>1314</v>
      </c>
      <c r="K54" s="248" t="s">
        <v>400</v>
      </c>
      <c r="L54" s="62" t="s">
        <v>24</v>
      </c>
      <c r="M54" s="177" t="s">
        <v>47</v>
      </c>
      <c r="N54" s="203" t="str">
        <f>HYPERLINK("https://leetcode.com/problems/climbing-stairs/","https://leetcode.com/problems/climbing-stairs/")</f>
        <v>https://leetcode.com/problems/climbing-stairs/</v>
      </c>
    </row>
    <row r="55" spans="1:14" ht="31.5" customHeight="1" x14ac:dyDescent="0.2">
      <c r="A55" s="7">
        <v>51</v>
      </c>
      <c r="B55" s="7">
        <v>73</v>
      </c>
      <c r="C55" s="13" t="s">
        <v>411</v>
      </c>
      <c r="D55" s="18" t="s">
        <v>28</v>
      </c>
      <c r="E55" s="3" t="s">
        <v>4187</v>
      </c>
      <c r="F55" s="3"/>
      <c r="G55" s="7"/>
      <c r="H55" s="7">
        <f>IFERROR(VLOOKUP(B55,'📊 Problem Tracker'!$B$4:$F$1200,5,FALSE()),"")</f>
        <v>0</v>
      </c>
      <c r="I55" s="3"/>
      <c r="J55" s="3" t="s">
        <v>283</v>
      </c>
      <c r="K55" s="228" t="s">
        <v>413</v>
      </c>
      <c r="L55" s="7" t="s">
        <v>81</v>
      </c>
      <c r="M55" s="176" t="s">
        <v>47</v>
      </c>
      <c r="N55" s="191" t="str">
        <f>HYPERLINK("https://leetcode.com/problems/set-matrix-zeroes/","https://leetcode.com/problems/set-matrix-zeroes/")</f>
        <v>https://leetcode.com/problems/set-matrix-zeroes/</v>
      </c>
    </row>
    <row r="56" spans="1:14" ht="31.5" customHeight="1" x14ac:dyDescent="0.2">
      <c r="A56" s="62">
        <v>52</v>
      </c>
      <c r="B56" s="62">
        <v>74</v>
      </c>
      <c r="C56" s="63" t="s">
        <v>415</v>
      </c>
      <c r="D56" s="64" t="s">
        <v>28</v>
      </c>
      <c r="E56" s="65" t="s">
        <v>4255</v>
      </c>
      <c r="F56" s="65"/>
      <c r="G56" s="62"/>
      <c r="H56" s="62">
        <f>IFERROR(VLOOKUP(B56,'📊 Problem Tracker'!$B$4:$F$1200,5,FALSE()),"")</f>
        <v>0</v>
      </c>
      <c r="I56" s="65"/>
      <c r="J56" s="65" t="s">
        <v>416</v>
      </c>
      <c r="K56" s="248" t="s">
        <v>419</v>
      </c>
      <c r="L56" s="62" t="s">
        <v>420</v>
      </c>
      <c r="M56" s="177" t="s">
        <v>47</v>
      </c>
      <c r="N56" s="203" t="str">
        <f>HYPERLINK("https://leetcode.com/problems/search-a-2d-matrix/","https://leetcode.com/problems/search-a-2d-matrix/")</f>
        <v>https://leetcode.com/problems/search-a-2d-matrix/</v>
      </c>
    </row>
    <row r="57" spans="1:14" ht="31.5" customHeight="1" x14ac:dyDescent="0.2">
      <c r="A57" s="7">
        <v>53</v>
      </c>
      <c r="B57" s="7">
        <v>75</v>
      </c>
      <c r="C57" s="13" t="s">
        <v>422</v>
      </c>
      <c r="D57" s="18" t="s">
        <v>28</v>
      </c>
      <c r="E57" s="3" t="s">
        <v>4265</v>
      </c>
      <c r="F57" s="3"/>
      <c r="G57" s="7"/>
      <c r="H57" s="7">
        <f>IFERROR(VLOOKUP(B57,'📊 Problem Tracker'!$B$4:$F$1200,5,FALSE()),"")</f>
        <v>0</v>
      </c>
      <c r="I57" s="3"/>
      <c r="J57" s="3" t="s">
        <v>84</v>
      </c>
      <c r="K57" s="228" t="s">
        <v>424</v>
      </c>
      <c r="L57" s="7" t="s">
        <v>24</v>
      </c>
      <c r="M57" s="176" t="s">
        <v>47</v>
      </c>
      <c r="N57" s="191" t="str">
        <f>HYPERLINK("https://leetcode.com/problems/sort-colors/","https://leetcode.com/problems/sort-colors/")</f>
        <v>https://leetcode.com/problems/sort-colors/</v>
      </c>
    </row>
    <row r="58" spans="1:14" ht="31.5" customHeight="1" x14ac:dyDescent="0.2">
      <c r="A58" s="62">
        <v>54</v>
      </c>
      <c r="B58" s="62">
        <v>76</v>
      </c>
      <c r="C58" s="63" t="s">
        <v>426</v>
      </c>
      <c r="D58" s="66" t="s">
        <v>42</v>
      </c>
      <c r="E58" s="65" t="s">
        <v>917</v>
      </c>
      <c r="F58" s="65"/>
      <c r="G58" s="62"/>
      <c r="H58" s="62">
        <f>IFERROR(VLOOKUP(B58,'📊 Problem Tracker'!$B$4:$F$1200,5,FALSE()),"")</f>
        <v>0</v>
      </c>
      <c r="I58" s="65"/>
      <c r="J58" s="65" t="s">
        <v>427</v>
      </c>
      <c r="K58" s="248" t="s">
        <v>430</v>
      </c>
      <c r="L58" s="62" t="s">
        <v>178</v>
      </c>
      <c r="M58" s="177" t="s">
        <v>153</v>
      </c>
      <c r="N58" s="203" t="str">
        <f>HYPERLINK("https://leetcode.com/problems/minimum-window-substring/","https://leetcode.com/problems/minimum-window-substring/")</f>
        <v>https://leetcode.com/problems/minimum-window-substring/</v>
      </c>
    </row>
    <row r="59" spans="1:14" ht="31.5" customHeight="1" x14ac:dyDescent="0.2">
      <c r="A59" s="7">
        <v>55</v>
      </c>
      <c r="B59" s="7">
        <v>588</v>
      </c>
      <c r="C59" s="13" t="s">
        <v>1646</v>
      </c>
      <c r="D59" s="20" t="s">
        <v>42</v>
      </c>
      <c r="E59" s="3" t="s">
        <v>4266</v>
      </c>
      <c r="F59" s="3"/>
      <c r="G59" s="7"/>
      <c r="H59" s="7">
        <f>IFERROR(VLOOKUP(B59,'📊 Problem Tracker'!$B$4:$F$1200,5,FALSE()),"")</f>
        <v>0</v>
      </c>
      <c r="I59" s="3"/>
      <c r="J59" s="3" t="s">
        <v>909</v>
      </c>
      <c r="K59" s="228" t="s">
        <v>927</v>
      </c>
      <c r="L59" s="7" t="s">
        <v>912</v>
      </c>
      <c r="M59" s="176" t="s">
        <v>913</v>
      </c>
      <c r="N59" s="191" t="str">
        <f>HYPERLINK("https://leetcode.com/problems/design-in-memory-file-system/","https://leetcode.com/problems/design-in-memory-file-system/")</f>
        <v>https://leetcode.com/problems/design-in-memory-file-system/</v>
      </c>
    </row>
    <row r="60" spans="1:14" ht="31.5" customHeight="1" x14ac:dyDescent="0.2">
      <c r="A60" s="62">
        <v>56</v>
      </c>
      <c r="B60" s="62">
        <v>78</v>
      </c>
      <c r="C60" s="63" t="s">
        <v>436</v>
      </c>
      <c r="D60" s="64" t="s">
        <v>28</v>
      </c>
      <c r="E60" s="65" t="s">
        <v>4267</v>
      </c>
      <c r="F60" s="65"/>
      <c r="G60" s="62"/>
      <c r="H60" s="62">
        <f>IFERROR(VLOOKUP(B60,'📊 Problem Tracker'!$B$4:$F$1200,5,FALSE()),"")</f>
        <v>0</v>
      </c>
      <c r="I60" s="65"/>
      <c r="J60" s="65" t="s">
        <v>234</v>
      </c>
      <c r="K60" s="248" t="s">
        <v>439</v>
      </c>
      <c r="L60" s="62" t="s">
        <v>440</v>
      </c>
      <c r="M60" s="177" t="s">
        <v>24</v>
      </c>
      <c r="N60" s="203" t="str">
        <f>HYPERLINK("https://leetcode.com/problems/subsets/","https://leetcode.com/problems/subsets/")</f>
        <v>https://leetcode.com/problems/subsets/</v>
      </c>
    </row>
    <row r="61" spans="1:14" ht="31.5" customHeight="1" x14ac:dyDescent="0.2">
      <c r="A61" s="7">
        <v>57</v>
      </c>
      <c r="B61" s="7">
        <v>79</v>
      </c>
      <c r="C61" s="13" t="s">
        <v>442</v>
      </c>
      <c r="D61" s="18" t="s">
        <v>28</v>
      </c>
      <c r="E61" s="3" t="s">
        <v>4268</v>
      </c>
      <c r="F61" s="3"/>
      <c r="G61" s="7"/>
      <c r="H61" s="7">
        <f>IFERROR(VLOOKUP(B61,'📊 Problem Tracker'!$B$4:$F$1200,5,FALSE()),"")</f>
        <v>0</v>
      </c>
      <c r="I61" s="3"/>
      <c r="J61" s="3" t="s">
        <v>4192</v>
      </c>
      <c r="K61" s="228" t="s">
        <v>445</v>
      </c>
      <c r="L61" s="7" t="s">
        <v>446</v>
      </c>
      <c r="M61" s="176" t="s">
        <v>392</v>
      </c>
      <c r="N61" s="191" t="str">
        <f>HYPERLINK("https://leetcode.com/problems/word-search/","https://leetcode.com/problems/word-search/")</f>
        <v>https://leetcode.com/problems/word-search/</v>
      </c>
    </row>
    <row r="62" spans="1:14" ht="31.5" customHeight="1" x14ac:dyDescent="0.2">
      <c r="A62" s="62">
        <v>58</v>
      </c>
      <c r="B62" s="62">
        <v>84</v>
      </c>
      <c r="C62" s="63" t="s">
        <v>465</v>
      </c>
      <c r="D62" s="66" t="s">
        <v>42</v>
      </c>
      <c r="E62" s="65" t="s">
        <v>1473</v>
      </c>
      <c r="F62" s="65"/>
      <c r="G62" s="62"/>
      <c r="H62" s="62">
        <f>IFERROR(VLOOKUP(B62,'📊 Problem Tracker'!$B$4:$F$1200,5,FALSE()),"")</f>
        <v>0</v>
      </c>
      <c r="I62" s="65"/>
      <c r="J62" s="65" t="s">
        <v>466</v>
      </c>
      <c r="K62" s="248" t="s">
        <v>468</v>
      </c>
      <c r="L62" s="62" t="s">
        <v>24</v>
      </c>
      <c r="M62" s="177" t="s">
        <v>24</v>
      </c>
      <c r="N62" s="203" t="str">
        <f>HYPERLINK("https://leetcode.com/problems/largest-rectangle-in-histogram/","https://leetcode.com/problems/largest-rectangle-in-histogram/")</f>
        <v>https://leetcode.com/problems/largest-rectangle-in-histogram/</v>
      </c>
    </row>
    <row r="63" spans="1:14" ht="31.5" customHeight="1" x14ac:dyDescent="0.2">
      <c r="A63" s="7">
        <v>59</v>
      </c>
      <c r="B63" s="7">
        <v>91</v>
      </c>
      <c r="C63" s="13" t="s">
        <v>490</v>
      </c>
      <c r="D63" s="18" t="s">
        <v>28</v>
      </c>
      <c r="E63" s="3" t="s">
        <v>1042</v>
      </c>
      <c r="F63" s="3"/>
      <c r="G63" s="7"/>
      <c r="H63" s="7">
        <f>IFERROR(VLOOKUP(B63,'📊 Problem Tracker'!$B$4:$F$1200,5,FALSE()),"")</f>
        <v>0</v>
      </c>
      <c r="I63" s="3"/>
      <c r="J63" s="3" t="s">
        <v>50</v>
      </c>
      <c r="K63" s="228" t="s">
        <v>492</v>
      </c>
      <c r="L63" s="7" t="s">
        <v>24</v>
      </c>
      <c r="M63" s="176" t="s">
        <v>47</v>
      </c>
      <c r="N63" s="191" t="str">
        <f>HYPERLINK("https://leetcode.com/problems/decode-ways/","https://leetcode.com/problems/decode-ways/")</f>
        <v>https://leetcode.com/problems/decode-ways/</v>
      </c>
    </row>
    <row r="64" spans="1:14" ht="31.5" customHeight="1" x14ac:dyDescent="0.2">
      <c r="A64" s="62">
        <v>60</v>
      </c>
      <c r="B64" s="62">
        <v>98</v>
      </c>
      <c r="C64" s="63" t="s">
        <v>517</v>
      </c>
      <c r="D64" s="64" t="s">
        <v>28</v>
      </c>
      <c r="E64" s="65" t="s">
        <v>4256</v>
      </c>
      <c r="F64" s="65" t="s">
        <v>4269</v>
      </c>
      <c r="G64" s="62"/>
      <c r="H64" s="62">
        <f>IFERROR(VLOOKUP(B64,'📊 Problem Tracker'!$B$4:$F$1200,5,FALSE()),"")</f>
        <v>0</v>
      </c>
      <c r="I64" s="65"/>
      <c r="J64" s="65" t="s">
        <v>518</v>
      </c>
      <c r="K64" s="248" t="s">
        <v>520</v>
      </c>
      <c r="L64" s="62" t="s">
        <v>24</v>
      </c>
      <c r="M64" s="177" t="s">
        <v>503</v>
      </c>
      <c r="N64" s="203" t="str">
        <f>HYPERLINK("https://leetcode.com/problems/validate-binary-search-tree/","https://leetcode.com/problems/validate-binary-search-tree/")</f>
        <v>https://leetcode.com/problems/validate-binary-search-tree/</v>
      </c>
    </row>
    <row r="65" spans="1:14" ht="31.5" customHeight="1" x14ac:dyDescent="0.2">
      <c r="A65" s="7">
        <v>61</v>
      </c>
      <c r="B65" s="7">
        <v>100</v>
      </c>
      <c r="C65" s="13" t="s">
        <v>524</v>
      </c>
      <c r="D65" s="21" t="s">
        <v>20</v>
      </c>
      <c r="E65" s="3" t="s">
        <v>4256</v>
      </c>
      <c r="F65" s="3"/>
      <c r="G65" s="7"/>
      <c r="H65" s="7">
        <f>IFERROR(VLOOKUP(B65,'📊 Problem Tracker'!$B$4:$F$1200,5,FALSE()),"")</f>
        <v>0</v>
      </c>
      <c r="I65" s="3"/>
      <c r="J65" s="3" t="s">
        <v>500</v>
      </c>
      <c r="K65" s="228" t="s">
        <v>526</v>
      </c>
      <c r="L65" s="7" t="s">
        <v>24</v>
      </c>
      <c r="M65" s="176" t="s">
        <v>503</v>
      </c>
      <c r="N65" s="191" t="str">
        <f>HYPERLINK("https://leetcode.com/problems/same-tree/","https://leetcode.com/problems/same-tree/")</f>
        <v>https://leetcode.com/problems/same-tree/</v>
      </c>
    </row>
    <row r="66" spans="1:14" ht="31.5" customHeight="1" x14ac:dyDescent="0.2">
      <c r="A66" s="62">
        <v>62</v>
      </c>
      <c r="B66" s="62">
        <v>101</v>
      </c>
      <c r="C66" s="63" t="s">
        <v>528</v>
      </c>
      <c r="D66" s="67" t="s">
        <v>20</v>
      </c>
      <c r="E66" s="65" t="s">
        <v>4256</v>
      </c>
      <c r="F66" s="65"/>
      <c r="G66" s="62"/>
      <c r="H66" s="62">
        <f>IFERROR(VLOOKUP(B66,'📊 Problem Tracker'!$B$4:$F$1200,5,FALSE()),"")</f>
        <v>0</v>
      </c>
      <c r="I66" s="65"/>
      <c r="J66" s="65" t="s">
        <v>529</v>
      </c>
      <c r="K66" s="248" t="s">
        <v>531</v>
      </c>
      <c r="L66" s="62" t="s">
        <v>24</v>
      </c>
      <c r="M66" s="177" t="s">
        <v>503</v>
      </c>
      <c r="N66" s="203" t="str">
        <f>HYPERLINK("https://leetcode.com/problems/symmetric-tree/","https://leetcode.com/problems/symmetric-tree/")</f>
        <v>https://leetcode.com/problems/symmetric-tree/</v>
      </c>
    </row>
    <row r="67" spans="1:14" ht="31.5" customHeight="1" x14ac:dyDescent="0.2">
      <c r="A67" s="7">
        <v>63</v>
      </c>
      <c r="B67" s="7">
        <v>102</v>
      </c>
      <c r="C67" s="13" t="s">
        <v>533</v>
      </c>
      <c r="D67" s="18" t="s">
        <v>28</v>
      </c>
      <c r="E67" s="3" t="s">
        <v>4270</v>
      </c>
      <c r="F67" s="3"/>
      <c r="G67" s="7"/>
      <c r="H67" s="7">
        <f>IFERROR(VLOOKUP(B67,'📊 Problem Tracker'!$B$4:$F$1200,5,FALSE()),"")</f>
        <v>0</v>
      </c>
      <c r="I67" s="3"/>
      <c r="J67" s="3" t="s">
        <v>534</v>
      </c>
      <c r="K67" s="228" t="s">
        <v>536</v>
      </c>
      <c r="L67" s="7" t="s">
        <v>24</v>
      </c>
      <c r="M67" s="176" t="s">
        <v>24</v>
      </c>
      <c r="N67" s="191" t="str">
        <f>HYPERLINK("https://leetcode.com/problems/binary-tree-level-order-traversal/","https://leetcode.com/problems/binary-tree-level-order-traversal/")</f>
        <v>https://leetcode.com/problems/binary-tree-level-order-traversal/</v>
      </c>
    </row>
    <row r="68" spans="1:14" ht="31.5" customHeight="1" x14ac:dyDescent="0.2">
      <c r="A68" s="62">
        <v>64</v>
      </c>
      <c r="B68" s="62">
        <v>103</v>
      </c>
      <c r="C68" s="63" t="s">
        <v>538</v>
      </c>
      <c r="D68" s="64" t="s">
        <v>28</v>
      </c>
      <c r="E68" s="65" t="s">
        <v>4270</v>
      </c>
      <c r="F68" s="65"/>
      <c r="G68" s="62"/>
      <c r="H68" s="62">
        <f>IFERROR(VLOOKUP(B68,'📊 Problem Tracker'!$B$4:$F$1200,5,FALSE()),"")</f>
        <v>0</v>
      </c>
      <c r="I68" s="65"/>
      <c r="J68" s="65" t="s">
        <v>539</v>
      </c>
      <c r="K68" s="248" t="s">
        <v>542</v>
      </c>
      <c r="L68" s="62" t="s">
        <v>24</v>
      </c>
      <c r="M68" s="177" t="s">
        <v>24</v>
      </c>
      <c r="N68" s="203" t="str">
        <f>HYPERLINK("https://leetcode.com/problems/binary-tree-zigzag-level-order-traversal/","https://leetcode.com/problems/binary-tree-zigzag-level-order-traversal/")</f>
        <v>https://leetcode.com/problems/binary-tree-zigzag-level-order-traversal/</v>
      </c>
    </row>
    <row r="69" spans="1:14" ht="31.5" customHeight="1" x14ac:dyDescent="0.2">
      <c r="A69" s="7">
        <v>65</v>
      </c>
      <c r="B69" s="7">
        <v>104</v>
      </c>
      <c r="C69" s="13" t="s">
        <v>544</v>
      </c>
      <c r="D69" s="21" t="s">
        <v>20</v>
      </c>
      <c r="E69" s="3" t="s">
        <v>4256</v>
      </c>
      <c r="F69" s="3"/>
      <c r="G69" s="7"/>
      <c r="H69" s="7">
        <f>IFERROR(VLOOKUP(B69,'📊 Problem Tracker'!$B$4:$F$1200,5,FALSE()),"")</f>
        <v>0</v>
      </c>
      <c r="I69" s="3"/>
      <c r="J69" s="3" t="s">
        <v>500</v>
      </c>
      <c r="K69" s="228" t="s">
        <v>546</v>
      </c>
      <c r="L69" s="7" t="s">
        <v>24</v>
      </c>
      <c r="M69" s="176" t="s">
        <v>503</v>
      </c>
      <c r="N69" s="191" t="str">
        <f>HYPERLINK("https://leetcode.com/problems/maximum-depth-of-binary-tree/","https://leetcode.com/problems/maximum-depth-of-binary-tree/")</f>
        <v>https://leetcode.com/problems/maximum-depth-of-binary-tree/</v>
      </c>
    </row>
    <row r="70" spans="1:14" ht="31.5" customHeight="1" x14ac:dyDescent="0.2">
      <c r="A70" s="62">
        <v>66</v>
      </c>
      <c r="B70" s="62">
        <v>105</v>
      </c>
      <c r="C70" s="63" t="s">
        <v>548</v>
      </c>
      <c r="D70" s="64" t="s">
        <v>28</v>
      </c>
      <c r="E70" s="65" t="s">
        <v>4256</v>
      </c>
      <c r="F70" s="65" t="s">
        <v>1368</v>
      </c>
      <c r="G70" s="62"/>
      <c r="H70" s="62">
        <f>IFERROR(VLOOKUP(B70,'📊 Problem Tracker'!$B$4:$F$1200,5,FALSE()),"")</f>
        <v>0</v>
      </c>
      <c r="I70" s="65"/>
      <c r="J70" s="65" t="s">
        <v>549</v>
      </c>
      <c r="K70" s="248" t="s">
        <v>551</v>
      </c>
      <c r="L70" s="62" t="s">
        <v>24</v>
      </c>
      <c r="M70" s="177" t="s">
        <v>24</v>
      </c>
      <c r="N70" s="203" t="str">
        <f>HYPERLINK("https://leetcode.com/problems/construct-binary-tree-from-preorder-and-inorder-traversal/","https://leetcode.com/problems/construct-binary-tree-from-preorder-and-inorder-traversal/")</f>
        <v>https://leetcode.com/problems/construct-binary-tree-from-preorder-and-inorder-traversal/</v>
      </c>
    </row>
    <row r="71" spans="1:14" ht="31.5" customHeight="1" x14ac:dyDescent="0.2">
      <c r="A71" s="7">
        <v>67</v>
      </c>
      <c r="B71" s="7">
        <v>108</v>
      </c>
      <c r="C71" s="13" t="s">
        <v>561</v>
      </c>
      <c r="D71" s="21" t="s">
        <v>20</v>
      </c>
      <c r="E71" s="3" t="s">
        <v>4256</v>
      </c>
      <c r="F71" s="3" t="s">
        <v>512</v>
      </c>
      <c r="G71" s="7"/>
      <c r="H71" s="7">
        <f>IFERROR(VLOOKUP(B71,'📊 Problem Tracker'!$B$4:$F$1200,5,FALSE()),"")</f>
        <v>0</v>
      </c>
      <c r="I71" s="3"/>
      <c r="J71" s="3" t="s">
        <v>4271</v>
      </c>
      <c r="K71" s="228" t="s">
        <v>513</v>
      </c>
      <c r="L71" s="7" t="s">
        <v>24</v>
      </c>
      <c r="M71" s="176" t="s">
        <v>65</v>
      </c>
      <c r="N71" s="191" t="str">
        <f>HYPERLINK("https://leetcode.com/problems/convert-sorted-array-to-binary-search-tree/","https://leetcode.com/problems/convert-sorted-array-to-binary-search-tree/")</f>
        <v>https://leetcode.com/problems/convert-sorted-array-to-binary-search-tree/</v>
      </c>
    </row>
    <row r="72" spans="1:14" ht="31.5" customHeight="1" x14ac:dyDescent="0.2">
      <c r="A72" s="62">
        <v>68</v>
      </c>
      <c r="B72" s="62">
        <v>621</v>
      </c>
      <c r="C72" s="63" t="s">
        <v>1665</v>
      </c>
      <c r="D72" s="64" t="s">
        <v>28</v>
      </c>
      <c r="E72" s="65" t="s">
        <v>4272</v>
      </c>
      <c r="F72" s="65"/>
      <c r="G72" s="62"/>
      <c r="H72" s="62">
        <f>IFERROR(VLOOKUP(B72,'📊 Problem Tracker'!$B$4:$F$1200,5,FALSE()),"")</f>
        <v>0</v>
      </c>
      <c r="I72" s="65"/>
      <c r="J72" s="65" t="s">
        <v>1531</v>
      </c>
      <c r="K72" s="248" t="s">
        <v>959</v>
      </c>
      <c r="L72" s="62" t="s">
        <v>24</v>
      </c>
      <c r="M72" s="177" t="s">
        <v>47</v>
      </c>
      <c r="N72" s="203" t="str">
        <f>HYPERLINK("https://leetcode.com/problems/task-scheduler/","https://leetcode.com/problems/task-scheduler/")</f>
        <v>https://leetcode.com/problems/task-scheduler/</v>
      </c>
    </row>
    <row r="73" spans="1:14" ht="31.5" customHeight="1" x14ac:dyDescent="0.2">
      <c r="A73" s="7">
        <v>69</v>
      </c>
      <c r="B73" s="7">
        <v>110</v>
      </c>
      <c r="C73" s="13" t="s">
        <v>568</v>
      </c>
      <c r="D73" s="21" t="s">
        <v>20</v>
      </c>
      <c r="E73" s="3" t="s">
        <v>4256</v>
      </c>
      <c r="F73" s="3"/>
      <c r="G73" s="7"/>
      <c r="H73" s="7">
        <f>IFERROR(VLOOKUP(B73,'📊 Problem Tracker'!$B$4:$F$1200,5,FALSE()),"")</f>
        <v>0</v>
      </c>
      <c r="I73" s="3"/>
      <c r="J73" s="3" t="s">
        <v>500</v>
      </c>
      <c r="K73" s="228" t="s">
        <v>571</v>
      </c>
      <c r="L73" s="7" t="s">
        <v>24</v>
      </c>
      <c r="M73" s="176" t="s">
        <v>503</v>
      </c>
      <c r="N73" s="191" t="str">
        <f>HYPERLINK("https://leetcode.com/problems/balanced-binary-tree/","https://leetcode.com/problems/balanced-binary-tree/")</f>
        <v>https://leetcode.com/problems/balanced-binary-tree/</v>
      </c>
    </row>
    <row r="74" spans="1:14" ht="31.5" customHeight="1" x14ac:dyDescent="0.2">
      <c r="A74" s="62">
        <v>70</v>
      </c>
      <c r="B74" s="62">
        <v>113</v>
      </c>
      <c r="C74" s="63" t="s">
        <v>578</v>
      </c>
      <c r="D74" s="64" t="s">
        <v>28</v>
      </c>
      <c r="E74" s="65" t="s">
        <v>4256</v>
      </c>
      <c r="F74" s="65" t="s">
        <v>300</v>
      </c>
      <c r="G74" s="62"/>
      <c r="H74" s="62">
        <f>IFERROR(VLOOKUP(B74,'📊 Problem Tracker'!$B$4:$F$1200,5,FALSE()),"")</f>
        <v>0</v>
      </c>
      <c r="I74" s="65"/>
      <c r="J74" s="65" t="s">
        <v>579</v>
      </c>
      <c r="K74" s="248" t="s">
        <v>302</v>
      </c>
      <c r="L74" s="62" t="s">
        <v>53</v>
      </c>
      <c r="M74" s="177" t="s">
        <v>503</v>
      </c>
      <c r="N74" s="203" t="str">
        <f>HYPERLINK("https://leetcode.com/problems/path-sum-ii/","https://leetcode.com/problems/path-sum-ii/")</f>
        <v>https://leetcode.com/problems/path-sum-ii/</v>
      </c>
    </row>
    <row r="75" spans="1:14" ht="31.5" customHeight="1" x14ac:dyDescent="0.2">
      <c r="A75" s="7">
        <v>71</v>
      </c>
      <c r="B75" s="7">
        <v>1197</v>
      </c>
      <c r="C75" s="13" t="s">
        <v>2282</v>
      </c>
      <c r="D75" s="18" t="s">
        <v>28</v>
      </c>
      <c r="E75" s="3" t="s">
        <v>4258</v>
      </c>
      <c r="F75" s="3"/>
      <c r="G75" s="7"/>
      <c r="H75" s="7">
        <f>IFERROR(VLOOKUP(B75,'📊 Problem Tracker'!$B$4:$F$1200,5,FALSE()),"")</f>
        <v>0</v>
      </c>
      <c r="I75" s="3"/>
      <c r="J75" s="3" t="s">
        <v>1198</v>
      </c>
      <c r="K75" s="228" t="s">
        <v>619</v>
      </c>
      <c r="L75" s="7" t="s">
        <v>648</v>
      </c>
      <c r="M75" s="176" t="s">
        <v>648</v>
      </c>
      <c r="N75" s="191" t="str">
        <f>HYPERLINK("https://leetcode.com/problems/minimum-knight-moves/","https://leetcode.com/problems/minimum-knight-moves/")</f>
        <v>https://leetcode.com/problems/minimum-knight-moves/</v>
      </c>
    </row>
    <row r="76" spans="1:14" ht="31.5" customHeight="1" x14ac:dyDescent="0.2">
      <c r="A76" s="62">
        <v>72</v>
      </c>
      <c r="B76" s="62">
        <v>632</v>
      </c>
      <c r="C76" s="63" t="s">
        <v>1678</v>
      </c>
      <c r="D76" s="66" t="s">
        <v>42</v>
      </c>
      <c r="E76" s="65" t="s">
        <v>4252</v>
      </c>
      <c r="F76" s="65" t="s">
        <v>917</v>
      </c>
      <c r="G76" s="62"/>
      <c r="H76" s="62">
        <f>IFERROR(VLOOKUP(B76,'📊 Problem Tracker'!$B$4:$F$1200,5,FALSE()),"")</f>
        <v>0</v>
      </c>
      <c r="I76" s="65"/>
      <c r="J76" s="65" t="s">
        <v>1679</v>
      </c>
      <c r="K76" s="248" t="s">
        <v>919</v>
      </c>
      <c r="L76" s="62" t="s">
        <v>24</v>
      </c>
      <c r="M76" s="177" t="s">
        <v>47</v>
      </c>
      <c r="N76" s="203" t="str">
        <f>HYPERLINK("https://leetcode.com/problems/smallest-range-covering-elements-from-k-lists/","https://leetcode.com/problems/smallest-range-covering-elements-from-k-lists/")</f>
        <v>https://leetcode.com/problems/smallest-range-covering-elements-from-k-lists/</v>
      </c>
    </row>
    <row r="77" spans="1:14" ht="31.5" customHeight="1" x14ac:dyDescent="0.2">
      <c r="A77" s="7">
        <v>73</v>
      </c>
      <c r="B77" s="7">
        <v>121</v>
      </c>
      <c r="C77" s="13" t="s">
        <v>595</v>
      </c>
      <c r="D77" s="21" t="s">
        <v>20</v>
      </c>
      <c r="E77" s="3" t="s">
        <v>4273</v>
      </c>
      <c r="F77" s="3"/>
      <c r="G77" s="7"/>
      <c r="H77" s="7">
        <f>IFERROR(VLOOKUP(B77,'📊 Problem Tracker'!$B$4:$F$1200,5,FALSE()),"")</f>
        <v>0</v>
      </c>
      <c r="I77" s="3"/>
      <c r="J77" s="3" t="s">
        <v>318</v>
      </c>
      <c r="K77" s="228" t="s">
        <v>597</v>
      </c>
      <c r="L77" s="7" t="s">
        <v>24</v>
      </c>
      <c r="M77" s="176" t="s">
        <v>47</v>
      </c>
      <c r="N77" s="191" t="str">
        <f>HYPERLINK("https://leetcode.com/problems/best-time-to-buy-and-sell-stock/","https://leetcode.com/problems/best-time-to-buy-and-sell-stock/")</f>
        <v>https://leetcode.com/problems/best-time-to-buy-and-sell-stock/</v>
      </c>
    </row>
    <row r="78" spans="1:14" ht="31.5" customHeight="1" x14ac:dyDescent="0.2">
      <c r="A78" s="62">
        <v>74</v>
      </c>
      <c r="B78" s="62">
        <v>124</v>
      </c>
      <c r="C78" s="63" t="s">
        <v>605</v>
      </c>
      <c r="D78" s="66" t="s">
        <v>42</v>
      </c>
      <c r="E78" s="65" t="s">
        <v>4256</v>
      </c>
      <c r="F78" s="65"/>
      <c r="G78" s="62"/>
      <c r="H78" s="62">
        <f>IFERROR(VLOOKUP(B78,'📊 Problem Tracker'!$B$4:$F$1200,5,FALSE()),"")</f>
        <v>0</v>
      </c>
      <c r="I78" s="65"/>
      <c r="J78" s="65" t="s">
        <v>606</v>
      </c>
      <c r="K78" s="248" t="s">
        <v>608</v>
      </c>
      <c r="L78" s="62" t="s">
        <v>24</v>
      </c>
      <c r="M78" s="177" t="s">
        <v>503</v>
      </c>
      <c r="N78" s="203" t="str">
        <f>HYPERLINK("https://leetcode.com/problems/binary-tree-maximum-path-sum/","https://leetcode.com/problems/binary-tree-maximum-path-sum/")</f>
        <v>https://leetcode.com/problems/binary-tree-maximum-path-sum/</v>
      </c>
    </row>
    <row r="79" spans="1:14" ht="31.5" customHeight="1" x14ac:dyDescent="0.2">
      <c r="A79" s="7">
        <v>75</v>
      </c>
      <c r="B79" s="7">
        <v>125</v>
      </c>
      <c r="C79" s="13" t="s">
        <v>610</v>
      </c>
      <c r="D79" s="21" t="s">
        <v>20</v>
      </c>
      <c r="E79" s="3" t="s">
        <v>689</v>
      </c>
      <c r="F79" s="3"/>
      <c r="G79" s="7"/>
      <c r="H79" s="7">
        <f>IFERROR(VLOOKUP(B79,'📊 Problem Tracker'!$B$4:$F$1200,5,FALSE()),"")</f>
        <v>0</v>
      </c>
      <c r="I79" s="3"/>
      <c r="J79" s="3" t="s">
        <v>611</v>
      </c>
      <c r="K79" s="228" t="s">
        <v>613</v>
      </c>
      <c r="L79" s="7" t="s">
        <v>24</v>
      </c>
      <c r="M79" s="176" t="s">
        <v>47</v>
      </c>
      <c r="N79" s="191" t="str">
        <f>HYPERLINK("https://leetcode.com/problems/valid-palindrome/","https://leetcode.com/problems/valid-palindrome/")</f>
        <v>https://leetcode.com/problems/valid-palindrome/</v>
      </c>
    </row>
    <row r="80" spans="1:14" ht="31.5" customHeight="1" x14ac:dyDescent="0.2">
      <c r="A80" s="62">
        <v>76</v>
      </c>
      <c r="B80" s="62">
        <v>127</v>
      </c>
      <c r="C80" s="63" t="s">
        <v>623</v>
      </c>
      <c r="D80" s="66" t="s">
        <v>42</v>
      </c>
      <c r="E80" s="65" t="s">
        <v>4258</v>
      </c>
      <c r="F80" s="65"/>
      <c r="G80" s="62"/>
      <c r="H80" s="62">
        <f>IFERROR(VLOOKUP(B80,'📊 Problem Tracker'!$B$4:$F$1200,5,FALSE()),"")</f>
        <v>0</v>
      </c>
      <c r="I80" s="65"/>
      <c r="J80" s="65" t="s">
        <v>624</v>
      </c>
      <c r="K80" s="248" t="s">
        <v>619</v>
      </c>
      <c r="L80" s="62" t="s">
        <v>625</v>
      </c>
      <c r="M80" s="177" t="s">
        <v>626</v>
      </c>
      <c r="N80" s="203" t="str">
        <f>HYPERLINK("https://leetcode.com/problems/word-ladder/","https://leetcode.com/problems/word-ladder/")</f>
        <v>https://leetcode.com/problems/word-ladder/</v>
      </c>
    </row>
    <row r="81" spans="1:14" ht="31.5" customHeight="1" x14ac:dyDescent="0.2">
      <c r="A81" s="7">
        <v>77</v>
      </c>
      <c r="B81" s="7">
        <v>128</v>
      </c>
      <c r="C81" s="13" t="s">
        <v>628</v>
      </c>
      <c r="D81" s="18" t="s">
        <v>28</v>
      </c>
      <c r="E81" s="3" t="s">
        <v>4244</v>
      </c>
      <c r="F81" s="3" t="s">
        <v>1736</v>
      </c>
      <c r="G81" s="7"/>
      <c r="H81" s="7">
        <f>IFERROR(VLOOKUP(B81,'📊 Problem Tracker'!$B$4:$F$1200,5,FALSE()),"")</f>
        <v>0</v>
      </c>
      <c r="I81" s="3"/>
      <c r="J81" s="3" t="s">
        <v>629</v>
      </c>
      <c r="K81" s="228" t="s">
        <v>631</v>
      </c>
      <c r="L81" s="7" t="s">
        <v>24</v>
      </c>
      <c r="M81" s="176" t="s">
        <v>24</v>
      </c>
      <c r="N81" s="191" t="str">
        <f>HYPERLINK("https://leetcode.com/problems/longest-consecutive-sequence/","https://leetcode.com/problems/longest-consecutive-sequence/")</f>
        <v>https://leetcode.com/problems/longest-consecutive-sequence/</v>
      </c>
    </row>
    <row r="82" spans="1:14" ht="31.5" customHeight="1" x14ac:dyDescent="0.2">
      <c r="A82" s="62">
        <v>78</v>
      </c>
      <c r="B82" s="62">
        <v>133</v>
      </c>
      <c r="C82" s="63" t="s">
        <v>645</v>
      </c>
      <c r="D82" s="64" t="s">
        <v>28</v>
      </c>
      <c r="E82" s="65" t="s">
        <v>4274</v>
      </c>
      <c r="F82" s="65" t="s">
        <v>4244</v>
      </c>
      <c r="G82" s="62"/>
      <c r="H82" s="62">
        <f>IFERROR(VLOOKUP(B82,'📊 Problem Tracker'!$B$4:$F$1200,5,FALSE()),"")</f>
        <v>0</v>
      </c>
      <c r="I82" s="65"/>
      <c r="J82" s="65" t="s">
        <v>646</v>
      </c>
      <c r="K82" s="248" t="s">
        <v>619</v>
      </c>
      <c r="L82" s="62" t="s">
        <v>648</v>
      </c>
      <c r="M82" s="177" t="s">
        <v>649</v>
      </c>
      <c r="N82" s="203" t="str">
        <f>HYPERLINK("https://leetcode.com/problems/clone-graph/","https://leetcode.com/problems/clone-graph/")</f>
        <v>https://leetcode.com/problems/clone-graph/</v>
      </c>
    </row>
    <row r="83" spans="1:14" ht="31.5" customHeight="1" x14ac:dyDescent="0.2">
      <c r="A83" s="7">
        <v>79</v>
      </c>
      <c r="B83" s="7">
        <v>134</v>
      </c>
      <c r="C83" s="13" t="s">
        <v>651</v>
      </c>
      <c r="D83" s="18" t="s">
        <v>28</v>
      </c>
      <c r="E83" s="3" t="s">
        <v>3091</v>
      </c>
      <c r="F83" s="3"/>
      <c r="G83" s="7"/>
      <c r="H83" s="7">
        <f>IFERROR(VLOOKUP(B83,'📊 Problem Tracker'!$B$4:$F$1200,5,FALSE()),"")</f>
        <v>0</v>
      </c>
      <c r="I83" s="3"/>
      <c r="J83" s="3" t="s">
        <v>318</v>
      </c>
      <c r="K83" s="228" t="s">
        <v>654</v>
      </c>
      <c r="L83" s="7" t="s">
        <v>24</v>
      </c>
      <c r="M83" s="176" t="s">
        <v>47</v>
      </c>
      <c r="N83" s="191" t="str">
        <f>HYPERLINK("https://leetcode.com/problems/gas-station/","https://leetcode.com/problems/gas-station/")</f>
        <v>https://leetcode.com/problems/gas-station/</v>
      </c>
    </row>
    <row r="84" spans="1:14" ht="31.5" customHeight="1" x14ac:dyDescent="0.2">
      <c r="A84" s="62">
        <v>80</v>
      </c>
      <c r="B84" s="62">
        <v>136</v>
      </c>
      <c r="C84" s="63" t="s">
        <v>659</v>
      </c>
      <c r="D84" s="67" t="s">
        <v>20</v>
      </c>
      <c r="E84" s="65" t="s">
        <v>4275</v>
      </c>
      <c r="F84" s="65"/>
      <c r="G84" s="62"/>
      <c r="H84" s="62">
        <f>IFERROR(VLOOKUP(B84,'📊 Problem Tracker'!$B$4:$F$1200,5,FALSE()),"")</f>
        <v>0</v>
      </c>
      <c r="I84" s="65"/>
      <c r="J84" s="65" t="s">
        <v>660</v>
      </c>
      <c r="K84" s="248" t="s">
        <v>663</v>
      </c>
      <c r="L84" s="62" t="s">
        <v>24</v>
      </c>
      <c r="M84" s="177" t="s">
        <v>47</v>
      </c>
      <c r="N84" s="203" t="str">
        <f>HYPERLINK("https://leetcode.com/problems/single-number/","https://leetcode.com/problems/single-number/")</f>
        <v>https://leetcode.com/problems/single-number/</v>
      </c>
    </row>
    <row r="85" spans="1:14" ht="31.5" customHeight="1" x14ac:dyDescent="0.2">
      <c r="A85" s="7">
        <v>81</v>
      </c>
      <c r="B85" s="7">
        <v>139</v>
      </c>
      <c r="C85" s="13" t="s">
        <v>671</v>
      </c>
      <c r="D85" s="18" t="s">
        <v>28</v>
      </c>
      <c r="E85" s="3" t="s">
        <v>1042</v>
      </c>
      <c r="F85" s="3"/>
      <c r="G85" s="7"/>
      <c r="H85" s="7">
        <f>IFERROR(VLOOKUP(B85,'📊 Problem Tracker'!$B$4:$F$1200,5,FALSE()),"")</f>
        <v>0</v>
      </c>
      <c r="I85" s="3"/>
      <c r="J85" s="3" t="s">
        <v>672</v>
      </c>
      <c r="K85" s="228" t="s">
        <v>508</v>
      </c>
      <c r="L85" s="7" t="s">
        <v>53</v>
      </c>
      <c r="M85" s="176" t="s">
        <v>24</v>
      </c>
      <c r="N85" s="191" t="str">
        <f>HYPERLINK("https://leetcode.com/problems/word-break/","https://leetcode.com/problems/word-break/")</f>
        <v>https://leetcode.com/problems/word-break/</v>
      </c>
    </row>
    <row r="86" spans="1:14" ht="31.5" customHeight="1" x14ac:dyDescent="0.2">
      <c r="A86" s="62">
        <v>82</v>
      </c>
      <c r="B86" s="62">
        <v>141</v>
      </c>
      <c r="C86" s="63" t="s">
        <v>678</v>
      </c>
      <c r="D86" s="67" t="s">
        <v>20</v>
      </c>
      <c r="E86" s="65" t="s">
        <v>4034</v>
      </c>
      <c r="F86" s="65"/>
      <c r="G86" s="62"/>
      <c r="H86" s="62">
        <f>IFERROR(VLOOKUP(B86,'📊 Problem Tracker'!$B$4:$F$1200,5,FALSE()),"")</f>
        <v>0</v>
      </c>
      <c r="I86" s="65"/>
      <c r="J86" s="65" t="s">
        <v>679</v>
      </c>
      <c r="K86" s="248" t="s">
        <v>682</v>
      </c>
      <c r="L86" s="62" t="s">
        <v>24</v>
      </c>
      <c r="M86" s="177" t="s">
        <v>47</v>
      </c>
      <c r="N86" s="203" t="str">
        <f>HYPERLINK("https://leetcode.com/problems/linked-list-cycle/","https://leetcode.com/problems/linked-list-cycle/")</f>
        <v>https://leetcode.com/problems/linked-list-cycle/</v>
      </c>
    </row>
    <row r="87" spans="1:14" ht="31.5" customHeight="1" x14ac:dyDescent="0.2">
      <c r="A87" s="7">
        <v>83</v>
      </c>
      <c r="B87" s="7">
        <v>143</v>
      </c>
      <c r="C87" s="13" t="s">
        <v>688</v>
      </c>
      <c r="D87" s="18" t="s">
        <v>28</v>
      </c>
      <c r="E87" s="3" t="s">
        <v>4253</v>
      </c>
      <c r="F87" s="3"/>
      <c r="G87" s="7"/>
      <c r="H87" s="7">
        <f>IFERROR(VLOOKUP(B87,'📊 Problem Tracker'!$B$4:$F$1200,5,FALSE()),"")</f>
        <v>0</v>
      </c>
      <c r="I87" s="3"/>
      <c r="J87" s="3" t="s">
        <v>679</v>
      </c>
      <c r="K87" s="228" t="s">
        <v>690</v>
      </c>
      <c r="L87" s="7" t="s">
        <v>24</v>
      </c>
      <c r="M87" s="176" t="s">
        <v>47</v>
      </c>
      <c r="N87" s="191" t="str">
        <f>HYPERLINK("https://leetcode.com/problems/reorder-list/","https://leetcode.com/problems/reorder-list/")</f>
        <v>https://leetcode.com/problems/reorder-list/</v>
      </c>
    </row>
    <row r="88" spans="1:14" ht="31.5" customHeight="1" x14ac:dyDescent="0.2">
      <c r="A88" s="62">
        <v>84</v>
      </c>
      <c r="B88" s="62">
        <v>146</v>
      </c>
      <c r="C88" s="63" t="s">
        <v>692</v>
      </c>
      <c r="D88" s="64" t="s">
        <v>28</v>
      </c>
      <c r="E88" s="65" t="s">
        <v>4244</v>
      </c>
      <c r="F88" s="65" t="s">
        <v>127</v>
      </c>
      <c r="G88" s="62"/>
      <c r="H88" s="62">
        <f>IFERROR(VLOOKUP(B88,'📊 Problem Tracker'!$B$4:$F$1200,5,FALSE()),"")</f>
        <v>0</v>
      </c>
      <c r="I88" s="65"/>
      <c r="J88" s="65" t="s">
        <v>693</v>
      </c>
      <c r="K88" s="248" t="s">
        <v>695</v>
      </c>
      <c r="L88" s="62" t="s">
        <v>696</v>
      </c>
      <c r="M88" s="177" t="s">
        <v>697</v>
      </c>
      <c r="N88" s="203" t="str">
        <f>HYPERLINK("https://leetcode.com/problems/lru-cache/","https://leetcode.com/problems/lru-cache/")</f>
        <v>https://leetcode.com/problems/lru-cache/</v>
      </c>
    </row>
    <row r="89" spans="1:14" ht="31.5" customHeight="1" x14ac:dyDescent="0.2">
      <c r="A89" s="7">
        <v>85</v>
      </c>
      <c r="B89" s="7">
        <v>658</v>
      </c>
      <c r="C89" s="13" t="s">
        <v>1712</v>
      </c>
      <c r="D89" s="18" t="s">
        <v>28</v>
      </c>
      <c r="E89" s="3" t="s">
        <v>512</v>
      </c>
      <c r="F89" s="3" t="s">
        <v>917</v>
      </c>
      <c r="G89" s="7"/>
      <c r="H89" s="7">
        <f>IFERROR(VLOOKUP(B89,'📊 Problem Tracker'!$B$4:$F$1200,5,FALSE()),"")</f>
        <v>0</v>
      </c>
      <c r="I89" s="3"/>
      <c r="J89" s="3" t="s">
        <v>4276</v>
      </c>
      <c r="K89" s="228" t="s">
        <v>919</v>
      </c>
      <c r="L89" s="7" t="s">
        <v>1713</v>
      </c>
      <c r="M89" s="176" t="s">
        <v>47</v>
      </c>
      <c r="N89" s="191" t="str">
        <f>HYPERLINK("https://leetcode.com/problems/find-k-closest-elements/","https://leetcode.com/problems/find-k-closest-elements/")</f>
        <v>https://leetcode.com/problems/find-k-closest-elements/</v>
      </c>
    </row>
    <row r="90" spans="1:14" ht="31.5" customHeight="1" x14ac:dyDescent="0.2">
      <c r="A90" s="62">
        <v>86</v>
      </c>
      <c r="B90" s="62">
        <v>148</v>
      </c>
      <c r="C90" s="63" t="s">
        <v>699</v>
      </c>
      <c r="D90" s="64" t="s">
        <v>28</v>
      </c>
      <c r="E90" s="65" t="s">
        <v>4277</v>
      </c>
      <c r="F90" s="65"/>
      <c r="G90" s="62"/>
      <c r="H90" s="62">
        <f>IFERROR(VLOOKUP(B90,'📊 Problem Tracker'!$B$4:$F$1200,5,FALSE()),"")</f>
        <v>0</v>
      </c>
      <c r="I90" s="65"/>
      <c r="J90" s="65" t="s">
        <v>700</v>
      </c>
      <c r="K90" s="248" t="s">
        <v>461</v>
      </c>
      <c r="L90" s="62" t="s">
        <v>326</v>
      </c>
      <c r="M90" s="177" t="s">
        <v>65</v>
      </c>
      <c r="N90" s="203" t="str">
        <f>HYPERLINK("https://leetcode.com/problems/sort-list/","https://leetcode.com/problems/sort-list/")</f>
        <v>https://leetcode.com/problems/sort-list/</v>
      </c>
    </row>
    <row r="91" spans="1:14" ht="31.5" customHeight="1" x14ac:dyDescent="0.2">
      <c r="A91" s="7">
        <v>87</v>
      </c>
      <c r="B91" s="7">
        <v>150</v>
      </c>
      <c r="C91" s="13" t="s">
        <v>707</v>
      </c>
      <c r="D91" s="18" t="s">
        <v>28</v>
      </c>
      <c r="E91" s="3" t="s">
        <v>540</v>
      </c>
      <c r="F91" s="3"/>
      <c r="G91" s="7"/>
      <c r="H91" s="7">
        <f>IFERROR(VLOOKUP(B91,'📊 Problem Tracker'!$B$4:$F$1200,5,FALSE()),"")</f>
        <v>0</v>
      </c>
      <c r="I91" s="3"/>
      <c r="J91" s="3" t="s">
        <v>708</v>
      </c>
      <c r="K91" s="228" t="s">
        <v>711</v>
      </c>
      <c r="L91" s="7" t="s">
        <v>24</v>
      </c>
      <c r="M91" s="176" t="s">
        <v>24</v>
      </c>
      <c r="N91" s="191" t="str">
        <f>HYPERLINK("https://leetcode.com/problems/evaluate-reverse-polish-notation/","https://leetcode.com/problems/evaluate-reverse-polish-notation/")</f>
        <v>https://leetcode.com/problems/evaluate-reverse-polish-notation/</v>
      </c>
    </row>
    <row r="92" spans="1:14" ht="31.5" customHeight="1" x14ac:dyDescent="0.2">
      <c r="A92" s="62">
        <v>88</v>
      </c>
      <c r="B92" s="62">
        <v>662</v>
      </c>
      <c r="C92" s="63" t="s">
        <v>1721</v>
      </c>
      <c r="D92" s="64" t="s">
        <v>28</v>
      </c>
      <c r="E92" s="65" t="s">
        <v>4270</v>
      </c>
      <c r="F92" s="65"/>
      <c r="G92" s="62"/>
      <c r="H92" s="62">
        <f>IFERROR(VLOOKUP(B92,'📊 Problem Tracker'!$B$4:$F$1200,5,FALSE()),"")</f>
        <v>0</v>
      </c>
      <c r="I92" s="65"/>
      <c r="J92" s="65" t="s">
        <v>534</v>
      </c>
      <c r="K92" s="248" t="s">
        <v>571</v>
      </c>
      <c r="L92" s="62" t="s">
        <v>24</v>
      </c>
      <c r="M92" s="177" t="s">
        <v>24</v>
      </c>
      <c r="N92" s="203" t="str">
        <f>HYPERLINK("https://leetcode.com/problems/maximum-width-of-binary-tree/","https://leetcode.com/problems/maximum-width-of-binary-tree/")</f>
        <v>https://leetcode.com/problems/maximum-width-of-binary-tree/</v>
      </c>
    </row>
    <row r="93" spans="1:14" ht="31.5" customHeight="1" x14ac:dyDescent="0.2">
      <c r="A93" s="7">
        <v>89</v>
      </c>
      <c r="B93" s="7">
        <v>152</v>
      </c>
      <c r="C93" s="13" t="s">
        <v>715</v>
      </c>
      <c r="D93" s="18" t="s">
        <v>28</v>
      </c>
      <c r="E93" s="3" t="s">
        <v>1042</v>
      </c>
      <c r="F93" s="3"/>
      <c r="G93" s="7"/>
      <c r="H93" s="7">
        <f>IFERROR(VLOOKUP(B93,'📊 Problem Tracker'!$B$4:$F$1200,5,FALSE()),"")</f>
        <v>0</v>
      </c>
      <c r="I93" s="3"/>
      <c r="J93" s="3" t="s">
        <v>309</v>
      </c>
      <c r="K93" s="228" t="s">
        <v>718</v>
      </c>
      <c r="L93" s="7" t="s">
        <v>24</v>
      </c>
      <c r="M93" s="176" t="s">
        <v>47</v>
      </c>
      <c r="N93" s="191" t="str">
        <f>HYPERLINK("https://leetcode.com/problems/maximum-product-subarray/","https://leetcode.com/problems/maximum-product-subarray/")</f>
        <v>https://leetcode.com/problems/maximum-product-subarray/</v>
      </c>
    </row>
    <row r="94" spans="1:14" ht="31.5" customHeight="1" x14ac:dyDescent="0.2">
      <c r="A94" s="62">
        <v>90</v>
      </c>
      <c r="B94" s="62">
        <v>153</v>
      </c>
      <c r="C94" s="63" t="s">
        <v>720</v>
      </c>
      <c r="D94" s="64" t="s">
        <v>28</v>
      </c>
      <c r="E94" s="65" t="s">
        <v>4255</v>
      </c>
      <c r="F94" s="65"/>
      <c r="G94" s="62"/>
      <c r="H94" s="62">
        <f>IFERROR(VLOOKUP(B94,'📊 Problem Tracker'!$B$4:$F$1200,5,FALSE()),"")</f>
        <v>0</v>
      </c>
      <c r="I94" s="65"/>
      <c r="J94" s="65" t="s">
        <v>41</v>
      </c>
      <c r="K94" s="248" t="s">
        <v>722</v>
      </c>
      <c r="L94" s="62" t="s">
        <v>65</v>
      </c>
      <c r="M94" s="177" t="s">
        <v>47</v>
      </c>
      <c r="N94" s="203" t="str">
        <f>HYPERLINK("https://leetcode.com/problems/find-minimum-in-rotated-sorted-array/","https://leetcode.com/problems/find-minimum-in-rotated-sorted-array/")</f>
        <v>https://leetcode.com/problems/find-minimum-in-rotated-sorted-array/</v>
      </c>
    </row>
    <row r="95" spans="1:14" ht="31.5" customHeight="1" x14ac:dyDescent="0.2">
      <c r="A95" s="7">
        <v>91</v>
      </c>
      <c r="B95" s="7">
        <v>155</v>
      </c>
      <c r="C95" s="13" t="s">
        <v>728</v>
      </c>
      <c r="D95" s="18" t="s">
        <v>28</v>
      </c>
      <c r="E95" s="3" t="s">
        <v>540</v>
      </c>
      <c r="F95" s="3"/>
      <c r="G95" s="7"/>
      <c r="H95" s="7">
        <f>IFERROR(VLOOKUP(B95,'📊 Problem Tracker'!$B$4:$F$1200,5,FALSE()),"")</f>
        <v>0</v>
      </c>
      <c r="I95" s="3"/>
      <c r="J95" s="3" t="s">
        <v>729</v>
      </c>
      <c r="K95" s="228" t="s">
        <v>731</v>
      </c>
      <c r="L95" s="7" t="s">
        <v>732</v>
      </c>
      <c r="M95" s="176" t="s">
        <v>24</v>
      </c>
      <c r="N95" s="191" t="str">
        <f>HYPERLINK("https://leetcode.com/problems/min-stack/","https://leetcode.com/problems/min-stack/")</f>
        <v>https://leetcode.com/problems/min-stack/</v>
      </c>
    </row>
    <row r="96" spans="1:14" ht="31.5" customHeight="1" x14ac:dyDescent="0.2">
      <c r="A96" s="62">
        <v>92</v>
      </c>
      <c r="B96" s="62">
        <v>169</v>
      </c>
      <c r="C96" s="63" t="s">
        <v>773</v>
      </c>
      <c r="D96" s="67" t="s">
        <v>20</v>
      </c>
      <c r="E96" s="65" t="s">
        <v>4278</v>
      </c>
      <c r="F96" s="65"/>
      <c r="G96" s="62"/>
      <c r="H96" s="62">
        <f>IFERROR(VLOOKUP(B96,'📊 Problem Tracker'!$B$4:$F$1200,5,FALSE()),"")</f>
        <v>0</v>
      </c>
      <c r="I96" s="65"/>
      <c r="J96" s="65" t="s">
        <v>166</v>
      </c>
      <c r="K96" s="248" t="s">
        <v>776</v>
      </c>
      <c r="L96" s="62" t="s">
        <v>24</v>
      </c>
      <c r="M96" s="177" t="s">
        <v>47</v>
      </c>
      <c r="N96" s="203" t="str">
        <f>HYPERLINK("https://leetcode.com/problems/majority-element/","https://leetcode.com/problems/majority-element/")</f>
        <v>https://leetcode.com/problems/majority-element/</v>
      </c>
    </row>
    <row r="97" spans="1:14" ht="31.5" customHeight="1" x14ac:dyDescent="0.2">
      <c r="A97" s="7">
        <v>93</v>
      </c>
      <c r="B97" s="7">
        <v>179</v>
      </c>
      <c r="C97" s="13" t="s">
        <v>812</v>
      </c>
      <c r="D97" s="18" t="s">
        <v>28</v>
      </c>
      <c r="E97" s="3" t="s">
        <v>4279</v>
      </c>
      <c r="F97" s="3"/>
      <c r="G97" s="7"/>
      <c r="H97" s="7">
        <f>IFERROR(VLOOKUP(B97,'📊 Problem Tracker'!$B$4:$F$1200,5,FALSE()),"")</f>
        <v>0</v>
      </c>
      <c r="I97" s="3"/>
      <c r="J97" s="3" t="s">
        <v>813</v>
      </c>
      <c r="K97" s="228" t="s">
        <v>1077</v>
      </c>
      <c r="L97" s="7" t="s">
        <v>817</v>
      </c>
      <c r="M97" s="176" t="s">
        <v>292</v>
      </c>
      <c r="N97" s="191" t="str">
        <f>HYPERLINK("https://leetcode.com/problems/largest-number/","https://leetcode.com/problems/largest-number/")</f>
        <v>https://leetcode.com/problems/largest-number/</v>
      </c>
    </row>
    <row r="98" spans="1:14" ht="31.5" customHeight="1" x14ac:dyDescent="0.2">
      <c r="A98" s="62">
        <v>94</v>
      </c>
      <c r="B98" s="62">
        <v>692</v>
      </c>
      <c r="C98" s="63" t="s">
        <v>1745</v>
      </c>
      <c r="D98" s="64" t="s">
        <v>28</v>
      </c>
      <c r="E98" s="65" t="s">
        <v>4280</v>
      </c>
      <c r="F98" s="65"/>
      <c r="G98" s="62"/>
      <c r="H98" s="62">
        <f>IFERROR(VLOOKUP(B98,'📊 Problem Tracker'!$B$4:$F$1200,5,FALSE()),"")</f>
        <v>0</v>
      </c>
      <c r="I98" s="65"/>
      <c r="J98" s="65" t="s">
        <v>1746</v>
      </c>
      <c r="K98" s="248" t="s">
        <v>959</v>
      </c>
      <c r="L98" s="62" t="s">
        <v>24</v>
      </c>
      <c r="M98" s="177" t="s">
        <v>24</v>
      </c>
      <c r="N98" s="203" t="str">
        <f>HYPERLINK("https://leetcode.com/problems/top-k-frequent-words/","https://leetcode.com/problems/top-k-frequent-words/")</f>
        <v>https://leetcode.com/problems/top-k-frequent-words/</v>
      </c>
    </row>
    <row r="99" spans="1:14" ht="31.5" customHeight="1" x14ac:dyDescent="0.2">
      <c r="A99" s="7">
        <v>95</v>
      </c>
      <c r="B99" s="7">
        <v>189</v>
      </c>
      <c r="C99" s="13" t="s">
        <v>852</v>
      </c>
      <c r="D99" s="18" t="s">
        <v>28</v>
      </c>
      <c r="E99" s="3" t="s">
        <v>4254</v>
      </c>
      <c r="F99" s="3"/>
      <c r="G99" s="7"/>
      <c r="H99" s="7">
        <f>IFERROR(VLOOKUP(B99,'📊 Problem Tracker'!$B$4:$F$1200,5,FALSE()),"")</f>
        <v>0</v>
      </c>
      <c r="I99" s="3"/>
      <c r="J99" s="3" t="s">
        <v>853</v>
      </c>
      <c r="K99" s="228" t="s">
        <v>690</v>
      </c>
      <c r="L99" s="7" t="s">
        <v>24</v>
      </c>
      <c r="M99" s="176" t="s">
        <v>47</v>
      </c>
      <c r="N99" s="191" t="str">
        <f>HYPERLINK("https://leetcode.com/problems/rotate-array/","https://leetcode.com/problems/rotate-array/")</f>
        <v>https://leetcode.com/problems/rotate-array/</v>
      </c>
    </row>
    <row r="100" spans="1:14" ht="31.5" customHeight="1" x14ac:dyDescent="0.2">
      <c r="A100" s="62">
        <v>96</v>
      </c>
      <c r="B100" s="62">
        <v>190</v>
      </c>
      <c r="C100" s="63" t="s">
        <v>855</v>
      </c>
      <c r="D100" s="67" t="s">
        <v>20</v>
      </c>
      <c r="E100" s="65" t="s">
        <v>666</v>
      </c>
      <c r="F100" s="65"/>
      <c r="G100" s="62"/>
      <c r="H100" s="62">
        <f>IFERROR(VLOOKUP(B100,'📊 Problem Tracker'!$B$4:$F$1200,5,FALSE()),"")</f>
        <v>0</v>
      </c>
      <c r="I100" s="65"/>
      <c r="J100" s="65" t="s">
        <v>666</v>
      </c>
      <c r="K100" s="248" t="s">
        <v>230</v>
      </c>
      <c r="L100" s="62" t="s">
        <v>47</v>
      </c>
      <c r="M100" s="177" t="s">
        <v>47</v>
      </c>
      <c r="N100" s="203" t="str">
        <f>HYPERLINK("https://leetcode.com/problems/reverse-bits/","https://leetcode.com/problems/reverse-bits/")</f>
        <v>https://leetcode.com/problems/reverse-bits/</v>
      </c>
    </row>
    <row r="101" spans="1:14" ht="31.5" customHeight="1" x14ac:dyDescent="0.2">
      <c r="A101" s="7">
        <v>97</v>
      </c>
      <c r="B101" s="7">
        <v>191</v>
      </c>
      <c r="C101" s="13" t="s">
        <v>858</v>
      </c>
      <c r="D101" s="21" t="s">
        <v>20</v>
      </c>
      <c r="E101" s="3" t="s">
        <v>666</v>
      </c>
      <c r="F101" s="3"/>
      <c r="G101" s="7"/>
      <c r="H101" s="7">
        <f>IFERROR(VLOOKUP(B101,'📊 Problem Tracker'!$B$4:$F$1200,5,FALSE()),"")</f>
        <v>0</v>
      </c>
      <c r="I101" s="3"/>
      <c r="J101" s="3" t="s">
        <v>666</v>
      </c>
      <c r="K101" s="228" t="s">
        <v>230</v>
      </c>
      <c r="L101" s="7" t="s">
        <v>47</v>
      </c>
      <c r="M101" s="176" t="s">
        <v>47</v>
      </c>
      <c r="N101" s="191" t="str">
        <f>HYPERLINK("https://leetcode.com/problems/number-of-1-bits/","https://leetcode.com/problems/number-of-1-bits/")</f>
        <v>https://leetcode.com/problems/number-of-1-bits/</v>
      </c>
    </row>
    <row r="102" spans="1:14" ht="31.5" customHeight="1" x14ac:dyDescent="0.2">
      <c r="A102" s="62">
        <v>98</v>
      </c>
      <c r="B102" s="62">
        <v>198</v>
      </c>
      <c r="C102" s="63" t="s">
        <v>874</v>
      </c>
      <c r="D102" s="64" t="s">
        <v>28</v>
      </c>
      <c r="E102" s="65" t="s">
        <v>4281</v>
      </c>
      <c r="F102" s="65"/>
      <c r="G102" s="62"/>
      <c r="H102" s="62">
        <f>IFERROR(VLOOKUP(B102,'📊 Problem Tracker'!$B$4:$F$1200,5,FALSE()),"")</f>
        <v>0</v>
      </c>
      <c r="I102" s="65"/>
      <c r="J102" s="65" t="s">
        <v>309</v>
      </c>
      <c r="K102" s="248" t="s">
        <v>876</v>
      </c>
      <c r="L102" s="62" t="s">
        <v>24</v>
      </c>
      <c r="M102" s="177" t="s">
        <v>47</v>
      </c>
      <c r="N102" s="203" t="str">
        <f>HYPERLINK("https://leetcode.com/problems/house-robber/","https://leetcode.com/problems/house-robber/")</f>
        <v>https://leetcode.com/problems/house-robber/</v>
      </c>
    </row>
    <row r="103" spans="1:14" ht="31.5" customHeight="1" x14ac:dyDescent="0.2">
      <c r="A103" s="7">
        <v>99</v>
      </c>
      <c r="B103" s="7">
        <v>199</v>
      </c>
      <c r="C103" s="13" t="s">
        <v>878</v>
      </c>
      <c r="D103" s="18" t="s">
        <v>28</v>
      </c>
      <c r="E103" s="3" t="s">
        <v>4270</v>
      </c>
      <c r="F103" s="3"/>
      <c r="G103" s="7"/>
      <c r="H103" s="7">
        <f>IFERROR(VLOOKUP(B103,'📊 Problem Tracker'!$B$4:$F$1200,5,FALSE()),"")</f>
        <v>0</v>
      </c>
      <c r="I103" s="3"/>
      <c r="J103" s="3" t="s">
        <v>879</v>
      </c>
      <c r="K103" s="228" t="s">
        <v>571</v>
      </c>
      <c r="L103" s="7" t="s">
        <v>24</v>
      </c>
      <c r="M103" s="176" t="s">
        <v>24</v>
      </c>
      <c r="N103" s="191" t="str">
        <f>HYPERLINK("https://leetcode.com/problems/binary-tree-right-side-view/","https://leetcode.com/problems/binary-tree-right-side-view/")</f>
        <v>https://leetcode.com/problems/binary-tree-right-side-view/</v>
      </c>
    </row>
    <row r="104" spans="1:14" ht="31.5" customHeight="1" x14ac:dyDescent="0.2">
      <c r="A104" s="62">
        <v>100</v>
      </c>
      <c r="B104" s="62">
        <v>200</v>
      </c>
      <c r="C104" s="63" t="s">
        <v>882</v>
      </c>
      <c r="D104" s="64" t="s">
        <v>28</v>
      </c>
      <c r="E104" s="65" t="s">
        <v>4274</v>
      </c>
      <c r="F104" s="65" t="s">
        <v>1736</v>
      </c>
      <c r="G104" s="62"/>
      <c r="H104" s="62">
        <f>IFERROR(VLOOKUP(B104,'📊 Problem Tracker'!$B$4:$F$1200,5,FALSE()),"")</f>
        <v>0</v>
      </c>
      <c r="I104" s="65"/>
      <c r="J104" s="65" t="s">
        <v>4159</v>
      </c>
      <c r="K104" s="248" t="s">
        <v>884</v>
      </c>
      <c r="L104" s="62" t="s">
        <v>81</v>
      </c>
      <c r="M104" s="177" t="s">
        <v>81</v>
      </c>
      <c r="N104" s="203" t="str">
        <f>HYPERLINK("https://leetcode.com/problems/number-of-islands/","https://leetcode.com/problems/number-of-islands/")</f>
        <v>https://leetcode.com/problems/number-of-islands/</v>
      </c>
    </row>
    <row r="105" spans="1:14" ht="31.5" customHeight="1" x14ac:dyDescent="0.2">
      <c r="A105" s="7">
        <v>101</v>
      </c>
      <c r="B105" s="7">
        <v>206</v>
      </c>
      <c r="C105" s="13" t="s">
        <v>899</v>
      </c>
      <c r="D105" s="21" t="s">
        <v>20</v>
      </c>
      <c r="E105" s="3" t="s">
        <v>4253</v>
      </c>
      <c r="F105" s="3"/>
      <c r="G105" s="7"/>
      <c r="H105" s="7">
        <f>IFERROR(VLOOKUP(B105,'📊 Problem Tracker'!$B$4:$F$1200,5,FALSE()),"")</f>
        <v>0</v>
      </c>
      <c r="I105" s="3"/>
      <c r="J105" s="3" t="s">
        <v>127</v>
      </c>
      <c r="K105" s="228" t="s">
        <v>901</v>
      </c>
      <c r="L105" s="7" t="s">
        <v>24</v>
      </c>
      <c r="M105" s="176" t="s">
        <v>47</v>
      </c>
      <c r="N105" s="191" t="str">
        <f>HYPERLINK("https://leetcode.com/problems/reverse-linked-list/","https://leetcode.com/problems/reverse-linked-list/")</f>
        <v>https://leetcode.com/problems/reverse-linked-list/</v>
      </c>
    </row>
    <row r="106" spans="1:14" ht="31.5" customHeight="1" x14ac:dyDescent="0.2">
      <c r="A106" s="62">
        <v>102</v>
      </c>
      <c r="B106" s="62">
        <v>207</v>
      </c>
      <c r="C106" s="63" t="s">
        <v>903</v>
      </c>
      <c r="D106" s="64" t="s">
        <v>28</v>
      </c>
      <c r="E106" s="65" t="s">
        <v>4282</v>
      </c>
      <c r="F106" s="65" t="s">
        <v>4283</v>
      </c>
      <c r="G106" s="62"/>
      <c r="H106" s="62">
        <f>IFERROR(VLOOKUP(B106,'📊 Problem Tracker'!$B$4:$F$1200,5,FALSE()),"")</f>
        <v>0</v>
      </c>
      <c r="I106" s="65"/>
      <c r="J106" s="65" t="s">
        <v>4156</v>
      </c>
      <c r="K106" s="248" t="s">
        <v>906</v>
      </c>
      <c r="L106" s="62" t="s">
        <v>648</v>
      </c>
      <c r="M106" s="177" t="s">
        <v>648</v>
      </c>
      <c r="N106" s="203" t="str">
        <f>HYPERLINK("https://leetcode.com/problems/course-schedule/","https://leetcode.com/problems/course-schedule/")</f>
        <v>https://leetcode.com/problems/course-schedule/</v>
      </c>
    </row>
    <row r="107" spans="1:14" ht="31.5" customHeight="1" x14ac:dyDescent="0.2">
      <c r="A107" s="7">
        <v>103</v>
      </c>
      <c r="B107" s="7">
        <v>208</v>
      </c>
      <c r="C107" s="13" t="s">
        <v>908</v>
      </c>
      <c r="D107" s="18" t="s">
        <v>28</v>
      </c>
      <c r="E107" s="3" t="s">
        <v>925</v>
      </c>
      <c r="F107" s="3"/>
      <c r="G107" s="7"/>
      <c r="H107" s="7">
        <f>IFERROR(VLOOKUP(B107,'📊 Problem Tracker'!$B$4:$F$1200,5,FALSE()),"")</f>
        <v>0</v>
      </c>
      <c r="I107" s="3"/>
      <c r="J107" s="3" t="s">
        <v>909</v>
      </c>
      <c r="K107" s="228" t="s">
        <v>911</v>
      </c>
      <c r="L107" s="7" t="s">
        <v>912</v>
      </c>
      <c r="M107" s="176" t="s">
        <v>913</v>
      </c>
      <c r="N107" s="191" t="str">
        <f>HYPERLINK("https://leetcode.com/problems/implement-trie-prefix-tree/","https://leetcode.com/problems/implement-trie-prefix-tree/")</f>
        <v>https://leetcode.com/problems/implement-trie-prefix-tree/</v>
      </c>
    </row>
    <row r="108" spans="1:14" ht="31.5" customHeight="1" x14ac:dyDescent="0.2">
      <c r="A108" s="62">
        <v>104</v>
      </c>
      <c r="B108" s="62">
        <v>721</v>
      </c>
      <c r="C108" s="63" t="s">
        <v>1805</v>
      </c>
      <c r="D108" s="64" t="s">
        <v>28</v>
      </c>
      <c r="E108" s="65" t="s">
        <v>1736</v>
      </c>
      <c r="F108" s="65" t="s">
        <v>4244</v>
      </c>
      <c r="G108" s="62"/>
      <c r="H108" s="62">
        <f>IFERROR(VLOOKUP(B108,'📊 Problem Tracker'!$B$4:$F$1200,5,FALSE()),"")</f>
        <v>0</v>
      </c>
      <c r="I108" s="65"/>
      <c r="J108" s="65" t="s">
        <v>1806</v>
      </c>
      <c r="K108" s="248" t="s">
        <v>619</v>
      </c>
      <c r="L108" s="62" t="s">
        <v>1807</v>
      </c>
      <c r="M108" s="177" t="s">
        <v>1808</v>
      </c>
      <c r="N108" s="203" t="str">
        <f>HYPERLINK("https://leetcode.com/problems/accounts-merge/","https://leetcode.com/problems/accounts-merge/")</f>
        <v>https://leetcode.com/problems/accounts-merge/</v>
      </c>
    </row>
    <row r="109" spans="1:14" ht="31.5" customHeight="1" x14ac:dyDescent="0.2">
      <c r="A109" s="7">
        <v>105</v>
      </c>
      <c r="B109" s="7">
        <v>210</v>
      </c>
      <c r="C109" s="13" t="s">
        <v>921</v>
      </c>
      <c r="D109" s="18" t="s">
        <v>28</v>
      </c>
      <c r="E109" s="3" t="s">
        <v>4282</v>
      </c>
      <c r="F109" s="3"/>
      <c r="G109" s="7"/>
      <c r="H109" s="7">
        <f>IFERROR(VLOOKUP(B109,'📊 Problem Tracker'!$B$4:$F$1200,5,FALSE()),"")</f>
        <v>0</v>
      </c>
      <c r="I109" s="3"/>
      <c r="J109" s="3" t="s">
        <v>1167</v>
      </c>
      <c r="K109" s="228" t="s">
        <v>619</v>
      </c>
      <c r="L109" s="7" t="s">
        <v>648</v>
      </c>
      <c r="M109" s="176" t="s">
        <v>648</v>
      </c>
      <c r="N109" s="191" t="str">
        <f>HYPERLINK("https://leetcode.com/problems/course-schedule-ii/","https://leetcode.com/problems/course-schedule-ii/")</f>
        <v>https://leetcode.com/problems/course-schedule-ii/</v>
      </c>
    </row>
    <row r="110" spans="1:14" ht="31.5" customHeight="1" x14ac:dyDescent="0.2">
      <c r="A110" s="62">
        <v>106</v>
      </c>
      <c r="B110" s="62">
        <v>211</v>
      </c>
      <c r="C110" s="63" t="s">
        <v>923</v>
      </c>
      <c r="D110" s="64" t="s">
        <v>28</v>
      </c>
      <c r="E110" s="65" t="s">
        <v>925</v>
      </c>
      <c r="F110" s="65" t="s">
        <v>4284</v>
      </c>
      <c r="G110" s="62"/>
      <c r="H110" s="62">
        <f>IFERROR(VLOOKUP(B110,'📊 Problem Tracker'!$B$4:$F$1200,5,FALSE()),"")</f>
        <v>0</v>
      </c>
      <c r="I110" s="65"/>
      <c r="J110" s="65" t="s">
        <v>924</v>
      </c>
      <c r="K110" s="248" t="s">
        <v>927</v>
      </c>
      <c r="L110" s="62" t="s">
        <v>928</v>
      </c>
      <c r="M110" s="177" t="s">
        <v>913</v>
      </c>
      <c r="N110" s="203" t="str">
        <f>HYPERLINK("https://leetcode.com/problems/add-and-search-word-data-structure-design/","https://leetcode.com/problems/add-and-search-word-data-structure-design/")</f>
        <v>https://leetcode.com/problems/add-and-search-word-data-structure-design/</v>
      </c>
    </row>
    <row r="111" spans="1:14" ht="31.5" customHeight="1" x14ac:dyDescent="0.2">
      <c r="A111" s="7">
        <v>107</v>
      </c>
      <c r="B111" s="7">
        <v>212</v>
      </c>
      <c r="C111" s="13" t="s">
        <v>930</v>
      </c>
      <c r="D111" s="20" t="s">
        <v>42</v>
      </c>
      <c r="E111" s="3" t="s">
        <v>925</v>
      </c>
      <c r="F111" s="3" t="s">
        <v>300</v>
      </c>
      <c r="G111" s="7"/>
      <c r="H111" s="7">
        <f>IFERROR(VLOOKUP(B111,'📊 Problem Tracker'!$B$4:$F$1200,5,FALSE()),"")</f>
        <v>0</v>
      </c>
      <c r="I111" s="3"/>
      <c r="J111" s="3" t="s">
        <v>4227</v>
      </c>
      <c r="K111" s="228" t="s">
        <v>302</v>
      </c>
      <c r="L111" s="7" t="s">
        <v>446</v>
      </c>
      <c r="M111" s="176" t="s">
        <v>913</v>
      </c>
      <c r="N111" s="191" t="str">
        <f>HYPERLINK("https://leetcode.com/problems/word-search-ii/","https://leetcode.com/problems/word-search-ii/")</f>
        <v>https://leetcode.com/problems/word-search-ii/</v>
      </c>
    </row>
    <row r="112" spans="1:14" ht="31.5" customHeight="1" x14ac:dyDescent="0.2">
      <c r="A112" s="62">
        <v>108</v>
      </c>
      <c r="B112" s="62">
        <v>215</v>
      </c>
      <c r="C112" s="63" t="s">
        <v>940</v>
      </c>
      <c r="D112" s="64" t="s">
        <v>28</v>
      </c>
      <c r="E112" s="65" t="s">
        <v>4280</v>
      </c>
      <c r="F112" s="65" t="s">
        <v>4285</v>
      </c>
      <c r="G112" s="62"/>
      <c r="H112" s="62">
        <f>IFERROR(VLOOKUP(B112,'📊 Problem Tracker'!$B$4:$F$1200,5,FALSE()),"")</f>
        <v>0</v>
      </c>
      <c r="I112" s="65"/>
      <c r="J112" s="65" t="s">
        <v>4286</v>
      </c>
      <c r="K112" s="248" t="s">
        <v>943</v>
      </c>
      <c r="L112" s="62" t="s">
        <v>944</v>
      </c>
      <c r="M112" s="177" t="s">
        <v>945</v>
      </c>
      <c r="N112" s="203" t="str">
        <f>HYPERLINK("https://leetcode.com/problems/kth-largest-element-in-an-array/","https://leetcode.com/problems/kth-largest-element-in-an-array/")</f>
        <v>https://leetcode.com/problems/kth-largest-element-in-an-array/</v>
      </c>
    </row>
    <row r="113" spans="1:14" ht="31.5" customHeight="1" x14ac:dyDescent="0.2">
      <c r="A113" s="7">
        <v>109</v>
      </c>
      <c r="B113" s="7">
        <v>217</v>
      </c>
      <c r="C113" s="13" t="s">
        <v>951</v>
      </c>
      <c r="D113" s="21" t="s">
        <v>20</v>
      </c>
      <c r="E113" s="3" t="s">
        <v>4244</v>
      </c>
      <c r="F113" s="3"/>
      <c r="G113" s="7"/>
      <c r="H113" s="7">
        <f>IFERROR(VLOOKUP(B113,'📊 Problem Tracker'!$B$4:$F$1200,5,FALSE()),"")</f>
        <v>0</v>
      </c>
      <c r="I113" s="3"/>
      <c r="J113" s="3" t="s">
        <v>19</v>
      </c>
      <c r="K113" s="228" t="s">
        <v>954</v>
      </c>
      <c r="L113" s="7" t="s">
        <v>24</v>
      </c>
      <c r="M113" s="176" t="s">
        <v>24</v>
      </c>
      <c r="N113" s="191" t="str">
        <f>HYPERLINK("https://leetcode.com/problems/contains-duplicate/","https://leetcode.com/problems/contains-duplicate/")</f>
        <v>https://leetcode.com/problems/contains-duplicate/</v>
      </c>
    </row>
    <row r="114" spans="1:14" ht="31.5" customHeight="1" x14ac:dyDescent="0.2">
      <c r="A114" s="62">
        <v>110</v>
      </c>
      <c r="B114" s="62">
        <v>221</v>
      </c>
      <c r="C114" s="63" t="s">
        <v>964</v>
      </c>
      <c r="D114" s="64" t="s">
        <v>28</v>
      </c>
      <c r="E114" s="65" t="s">
        <v>4263</v>
      </c>
      <c r="F114" s="65"/>
      <c r="G114" s="62"/>
      <c r="H114" s="62">
        <f>IFERROR(VLOOKUP(B114,'📊 Problem Tracker'!$B$4:$F$1200,5,FALSE()),"")</f>
        <v>0</v>
      </c>
      <c r="I114" s="65"/>
      <c r="J114" s="65" t="s">
        <v>360</v>
      </c>
      <c r="K114" s="248" t="s">
        <v>508</v>
      </c>
      <c r="L114" s="62" t="s">
        <v>81</v>
      </c>
      <c r="M114" s="177" t="s">
        <v>24</v>
      </c>
      <c r="N114" s="203" t="str">
        <f>HYPERLINK("https://leetcode.com/problems/maximal-square/","https://leetcode.com/problems/maximal-square/")</f>
        <v>https://leetcode.com/problems/maximal-square/</v>
      </c>
    </row>
    <row r="115" spans="1:14" ht="31.5" customHeight="1" x14ac:dyDescent="0.2">
      <c r="A115" s="7">
        <v>111</v>
      </c>
      <c r="B115" s="7">
        <v>733</v>
      </c>
      <c r="C115" s="13" t="s">
        <v>1828</v>
      </c>
      <c r="D115" s="21" t="s">
        <v>20</v>
      </c>
      <c r="E115" s="3" t="s">
        <v>4274</v>
      </c>
      <c r="F115" s="3"/>
      <c r="G115" s="7"/>
      <c r="H115" s="7">
        <f>IFERROR(VLOOKUP(B115,'📊 Problem Tracker'!$B$4:$F$1200,5,FALSE()),"")</f>
        <v>0</v>
      </c>
      <c r="I115" s="3"/>
      <c r="J115" s="3" t="s">
        <v>637</v>
      </c>
      <c r="K115" s="228" t="s">
        <v>1830</v>
      </c>
      <c r="L115" s="7" t="s">
        <v>81</v>
      </c>
      <c r="M115" s="176" t="s">
        <v>81</v>
      </c>
      <c r="N115" s="191" t="str">
        <f>HYPERLINK("https://leetcode.com/problems/flood-fill/","https://leetcode.com/problems/flood-fill/")</f>
        <v>https://leetcode.com/problems/flood-fill/</v>
      </c>
    </row>
    <row r="116" spans="1:14" ht="31.5" customHeight="1" x14ac:dyDescent="0.2">
      <c r="A116" s="62">
        <v>112</v>
      </c>
      <c r="B116" s="62">
        <v>735</v>
      </c>
      <c r="C116" s="63" t="s">
        <v>1832</v>
      </c>
      <c r="D116" s="64" t="s">
        <v>28</v>
      </c>
      <c r="E116" s="65" t="s">
        <v>540</v>
      </c>
      <c r="F116" s="65"/>
      <c r="G116" s="62"/>
      <c r="H116" s="62">
        <f>IFERROR(VLOOKUP(B116,'📊 Problem Tracker'!$B$4:$F$1200,5,FALSE()),"")</f>
        <v>0</v>
      </c>
      <c r="I116" s="65"/>
      <c r="J116" s="65" t="s">
        <v>1472</v>
      </c>
      <c r="K116" s="248" t="s">
        <v>542</v>
      </c>
      <c r="L116" s="62" t="s">
        <v>24</v>
      </c>
      <c r="M116" s="177" t="s">
        <v>24</v>
      </c>
      <c r="N116" s="203" t="str">
        <f>HYPERLINK("https://leetcode.com/problems/asteroid-collision/","https://leetcode.com/problems/asteroid-collision/")</f>
        <v>https://leetcode.com/problems/asteroid-collision/</v>
      </c>
    </row>
    <row r="117" spans="1:14" ht="31.5" customHeight="1" x14ac:dyDescent="0.2">
      <c r="A117" s="7">
        <v>113</v>
      </c>
      <c r="B117" s="7">
        <v>224</v>
      </c>
      <c r="C117" s="13" t="s">
        <v>970</v>
      </c>
      <c r="D117" s="20" t="s">
        <v>42</v>
      </c>
      <c r="E117" s="3" t="s">
        <v>540</v>
      </c>
      <c r="F117" s="3"/>
      <c r="G117" s="7"/>
      <c r="H117" s="7">
        <f>IFERROR(VLOOKUP(B117,'📊 Problem Tracker'!$B$4:$F$1200,5,FALSE()),"")</f>
        <v>0</v>
      </c>
      <c r="I117" s="3"/>
      <c r="J117" s="3" t="s">
        <v>971</v>
      </c>
      <c r="K117" s="228" t="s">
        <v>542</v>
      </c>
      <c r="L117" s="7" t="s">
        <v>24</v>
      </c>
      <c r="M117" s="176" t="s">
        <v>24</v>
      </c>
      <c r="N117" s="191" t="str">
        <f>HYPERLINK("https://leetcode.com/problems/basic-calculator/","https://leetcode.com/problems/basic-calculator/")</f>
        <v>https://leetcode.com/problems/basic-calculator/</v>
      </c>
    </row>
    <row r="118" spans="1:14" ht="31.5" customHeight="1" x14ac:dyDescent="0.2">
      <c r="A118" s="62">
        <v>114</v>
      </c>
      <c r="B118" s="62">
        <v>226</v>
      </c>
      <c r="C118" s="63" t="s">
        <v>976</v>
      </c>
      <c r="D118" s="67" t="s">
        <v>20</v>
      </c>
      <c r="E118" s="65" t="s">
        <v>4256</v>
      </c>
      <c r="F118" s="65"/>
      <c r="G118" s="62"/>
      <c r="H118" s="62">
        <f>IFERROR(VLOOKUP(B118,'📊 Problem Tracker'!$B$4:$F$1200,5,FALSE()),"")</f>
        <v>0</v>
      </c>
      <c r="I118" s="65"/>
      <c r="J118" s="65" t="s">
        <v>500</v>
      </c>
      <c r="K118" s="248" t="s">
        <v>978</v>
      </c>
      <c r="L118" s="62" t="s">
        <v>24</v>
      </c>
      <c r="M118" s="177" t="s">
        <v>503</v>
      </c>
      <c r="N118" s="203" t="str">
        <f>HYPERLINK("https://leetcode.com/problems/invert-binary-tree/","https://leetcode.com/problems/invert-binary-tree/")</f>
        <v>https://leetcode.com/problems/invert-binary-tree/</v>
      </c>
    </row>
    <row r="119" spans="1:14" ht="31.5" customHeight="1" x14ac:dyDescent="0.2">
      <c r="A119" s="7">
        <v>115</v>
      </c>
      <c r="B119" s="7">
        <v>227</v>
      </c>
      <c r="C119" s="13" t="s">
        <v>980</v>
      </c>
      <c r="D119" s="18" t="s">
        <v>28</v>
      </c>
      <c r="E119" s="3" t="s">
        <v>540</v>
      </c>
      <c r="F119" s="3"/>
      <c r="G119" s="7"/>
      <c r="H119" s="7">
        <f>IFERROR(VLOOKUP(B119,'📊 Problem Tracker'!$B$4:$F$1200,5,FALSE()),"")</f>
        <v>0</v>
      </c>
      <c r="I119" s="3"/>
      <c r="J119" s="3" t="s">
        <v>971</v>
      </c>
      <c r="K119" s="228" t="s">
        <v>542</v>
      </c>
      <c r="L119" s="7" t="s">
        <v>24</v>
      </c>
      <c r="M119" s="176" t="s">
        <v>24</v>
      </c>
      <c r="N119" s="191" t="str">
        <f>HYPERLINK("https://leetcode.com/problems/basic-calculator-ii/","https://leetcode.com/problems/basic-calculator-ii/")</f>
        <v>https://leetcode.com/problems/basic-calculator-ii/</v>
      </c>
    </row>
    <row r="120" spans="1:14" ht="31.5" customHeight="1" x14ac:dyDescent="0.2">
      <c r="A120" s="62">
        <v>116</v>
      </c>
      <c r="B120" s="62">
        <v>739</v>
      </c>
      <c r="C120" s="63" t="s">
        <v>1836</v>
      </c>
      <c r="D120" s="64" t="s">
        <v>28</v>
      </c>
      <c r="E120" s="65" t="s">
        <v>1473</v>
      </c>
      <c r="F120" s="65"/>
      <c r="G120" s="62"/>
      <c r="H120" s="62">
        <f>IFERROR(VLOOKUP(B120,'📊 Problem Tracker'!$B$4:$F$1200,5,FALSE()),"")</f>
        <v>0</v>
      </c>
      <c r="I120" s="65"/>
      <c r="J120" s="65" t="s">
        <v>1837</v>
      </c>
      <c r="K120" s="248" t="s">
        <v>1839</v>
      </c>
      <c r="L120" s="62" t="s">
        <v>24</v>
      </c>
      <c r="M120" s="177" t="s">
        <v>24</v>
      </c>
      <c r="N120" s="203" t="str">
        <f>HYPERLINK("https://leetcode.com/problems/daily-temperatures/","https://leetcode.com/problems/daily-temperatures/")</f>
        <v>https://leetcode.com/problems/daily-temperatures/</v>
      </c>
    </row>
    <row r="121" spans="1:14" ht="31.5" customHeight="1" x14ac:dyDescent="0.2">
      <c r="A121" s="7">
        <v>117</v>
      </c>
      <c r="B121" s="7">
        <v>230</v>
      </c>
      <c r="C121" s="13" t="s">
        <v>989</v>
      </c>
      <c r="D121" s="18" t="s">
        <v>28</v>
      </c>
      <c r="E121" s="3" t="s">
        <v>4287</v>
      </c>
      <c r="F121" s="3" t="s">
        <v>4269</v>
      </c>
      <c r="G121" s="7"/>
      <c r="H121" s="7">
        <f>IFERROR(VLOOKUP(B121,'📊 Problem Tracker'!$B$4:$F$1200,5,FALSE()),"")</f>
        <v>0</v>
      </c>
      <c r="I121" s="3"/>
      <c r="J121" s="3" t="s">
        <v>518</v>
      </c>
      <c r="K121" s="228" t="s">
        <v>571</v>
      </c>
      <c r="L121" s="7" t="s">
        <v>991</v>
      </c>
      <c r="M121" s="176" t="s">
        <v>503</v>
      </c>
      <c r="N121" s="191" t="str">
        <f>HYPERLINK("https://leetcode.com/problems/kth-smallest-element-in-a-bst/","https://leetcode.com/problems/kth-smallest-element-in-a-bst/")</f>
        <v>https://leetcode.com/problems/kth-smallest-element-in-a-bst/</v>
      </c>
    </row>
    <row r="122" spans="1:14" ht="31.5" customHeight="1" x14ac:dyDescent="0.2">
      <c r="A122" s="62">
        <v>118</v>
      </c>
      <c r="B122" s="62">
        <v>232</v>
      </c>
      <c r="C122" s="63" t="s">
        <v>995</v>
      </c>
      <c r="D122" s="67" t="s">
        <v>20</v>
      </c>
      <c r="E122" s="65" t="s">
        <v>540</v>
      </c>
      <c r="F122" s="65" t="s">
        <v>4288</v>
      </c>
      <c r="G122" s="62"/>
      <c r="H122" s="62">
        <f>IFERROR(VLOOKUP(B122,'📊 Problem Tracker'!$B$4:$F$1200,5,FALSE()),"")</f>
        <v>0</v>
      </c>
      <c r="I122" s="65"/>
      <c r="J122" s="65" t="s">
        <v>974</v>
      </c>
      <c r="K122" s="248" t="s">
        <v>542</v>
      </c>
      <c r="L122" s="62" t="s">
        <v>996</v>
      </c>
      <c r="M122" s="177" t="s">
        <v>24</v>
      </c>
      <c r="N122" s="203" t="str">
        <f>HYPERLINK("https://leetcode.com/problems/implement-queue-using-stacks/","https://leetcode.com/problems/implement-queue-using-stacks/")</f>
        <v>https://leetcode.com/problems/implement-queue-using-stacks/</v>
      </c>
    </row>
    <row r="123" spans="1:14" ht="31.5" customHeight="1" x14ac:dyDescent="0.2">
      <c r="A123" s="7">
        <v>119</v>
      </c>
      <c r="B123" s="7">
        <v>234</v>
      </c>
      <c r="C123" s="13" t="s">
        <v>998</v>
      </c>
      <c r="D123" s="21" t="s">
        <v>20</v>
      </c>
      <c r="E123" s="3" t="s">
        <v>4034</v>
      </c>
      <c r="F123" s="3" t="s">
        <v>4289</v>
      </c>
      <c r="G123" s="7"/>
      <c r="H123" s="7">
        <f>IFERROR(VLOOKUP(B123,'📊 Problem Tracker'!$B$4:$F$1200,5,FALSE()),"")</f>
        <v>0</v>
      </c>
      <c r="I123" s="3"/>
      <c r="J123" s="3" t="s">
        <v>4290</v>
      </c>
      <c r="K123" s="228" t="s">
        <v>1000</v>
      </c>
      <c r="L123" s="7" t="s">
        <v>24</v>
      </c>
      <c r="M123" s="176" t="s">
        <v>47</v>
      </c>
      <c r="N123" s="191" t="str">
        <f>HYPERLINK("https://leetcode.com/problems/palindrome-linked-list/","https://leetcode.com/problems/palindrome-linked-list/")</f>
        <v>https://leetcode.com/problems/palindrome-linked-list/</v>
      </c>
    </row>
    <row r="124" spans="1:14" ht="31.5" customHeight="1" x14ac:dyDescent="0.2">
      <c r="A124" s="62">
        <v>120</v>
      </c>
      <c r="B124" s="62">
        <v>235</v>
      </c>
      <c r="C124" s="63" t="s">
        <v>1002</v>
      </c>
      <c r="D124" s="64" t="s">
        <v>28</v>
      </c>
      <c r="E124" s="65" t="s">
        <v>4256</v>
      </c>
      <c r="F124" s="65" t="s">
        <v>4269</v>
      </c>
      <c r="G124" s="62"/>
      <c r="H124" s="62">
        <f>IFERROR(VLOOKUP(B124,'📊 Problem Tracker'!$B$4:$F$1200,5,FALSE()),"")</f>
        <v>0</v>
      </c>
      <c r="I124" s="65"/>
      <c r="J124" s="65" t="s">
        <v>518</v>
      </c>
      <c r="K124" s="248" t="s">
        <v>513</v>
      </c>
      <c r="L124" s="62" t="s">
        <v>503</v>
      </c>
      <c r="M124" s="177" t="s">
        <v>47</v>
      </c>
      <c r="N124" s="203" t="str">
        <f>HYPERLINK("https://leetcode.com/problems/lowest-common-ancestor-of-a-binary-search-tree/","https://leetcode.com/problems/lowest-common-ancestor-of-a-binary-search-tree/")</f>
        <v>https://leetcode.com/problems/lowest-common-ancestor-of-a-binary-search-tree/</v>
      </c>
    </row>
    <row r="125" spans="1:14" ht="31.5" customHeight="1" x14ac:dyDescent="0.2">
      <c r="A125" s="7">
        <v>121</v>
      </c>
      <c r="B125" s="7">
        <v>236</v>
      </c>
      <c r="C125" s="13" t="s">
        <v>1004</v>
      </c>
      <c r="D125" s="18" t="s">
        <v>28</v>
      </c>
      <c r="E125" s="3" t="s">
        <v>4256</v>
      </c>
      <c r="F125" s="3"/>
      <c r="G125" s="7"/>
      <c r="H125" s="7">
        <f>IFERROR(VLOOKUP(B125,'📊 Problem Tracker'!$B$4:$F$1200,5,FALSE()),"")</f>
        <v>0</v>
      </c>
      <c r="I125" s="3"/>
      <c r="J125" s="3" t="s">
        <v>500</v>
      </c>
      <c r="K125" s="228" t="s">
        <v>571</v>
      </c>
      <c r="L125" s="7" t="s">
        <v>24</v>
      </c>
      <c r="M125" s="176" t="s">
        <v>503</v>
      </c>
      <c r="N125" s="191" t="str">
        <f>HYPERLINK("https://leetcode.com/problems/lowest-common-ancestor-of-a-binary-tree/","https://leetcode.com/problems/lowest-common-ancestor-of-a-binary-tree/")</f>
        <v>https://leetcode.com/problems/lowest-common-ancestor-of-a-binary-tree/</v>
      </c>
    </row>
    <row r="126" spans="1:14" ht="31.5" customHeight="1" x14ac:dyDescent="0.2">
      <c r="A126" s="62">
        <v>122</v>
      </c>
      <c r="B126" s="62">
        <v>238</v>
      </c>
      <c r="C126" s="63" t="s">
        <v>1008</v>
      </c>
      <c r="D126" s="64" t="s">
        <v>28</v>
      </c>
      <c r="E126" s="65" t="s">
        <v>4291</v>
      </c>
      <c r="F126" s="65"/>
      <c r="G126" s="62"/>
      <c r="H126" s="62">
        <f>IFERROR(VLOOKUP(B126,'📊 Problem Tracker'!$B$4:$F$1200,5,FALSE()),"")</f>
        <v>0</v>
      </c>
      <c r="I126" s="65"/>
      <c r="J126" s="65" t="s">
        <v>1009</v>
      </c>
      <c r="K126" s="248" t="s">
        <v>1011</v>
      </c>
      <c r="L126" s="62" t="s">
        <v>24</v>
      </c>
      <c r="M126" s="177" t="s">
        <v>1012</v>
      </c>
      <c r="N126" s="203" t="str">
        <f>HYPERLINK("https://leetcode.com/problems/product-of-array-except-self/","https://leetcode.com/problems/product-of-array-except-self/")</f>
        <v>https://leetcode.com/problems/product-of-array-except-self/</v>
      </c>
    </row>
    <row r="127" spans="1:14" ht="31.5" customHeight="1" x14ac:dyDescent="0.2">
      <c r="A127" s="7">
        <v>123</v>
      </c>
      <c r="B127" s="7">
        <v>239</v>
      </c>
      <c r="C127" s="13" t="s">
        <v>1014</v>
      </c>
      <c r="D127" s="20" t="s">
        <v>42</v>
      </c>
      <c r="E127" s="3" t="s">
        <v>4292</v>
      </c>
      <c r="F127" s="3" t="s">
        <v>917</v>
      </c>
      <c r="G127" s="7"/>
      <c r="H127" s="7">
        <f>IFERROR(VLOOKUP(B127,'📊 Problem Tracker'!$B$4:$F$1200,5,FALSE()),"")</f>
        <v>0</v>
      </c>
      <c r="I127" s="3"/>
      <c r="J127" s="3" t="s">
        <v>1015</v>
      </c>
      <c r="K127" s="228" t="s">
        <v>1017</v>
      </c>
      <c r="L127" s="7" t="s">
        <v>24</v>
      </c>
      <c r="M127" s="176" t="s">
        <v>153</v>
      </c>
      <c r="N127" s="191" t="str">
        <f>HYPERLINK("https://leetcode.com/problems/sliding-window-maximum/","https://leetcode.com/problems/sliding-window-maximum/")</f>
        <v>https://leetcode.com/problems/sliding-window-maximum/</v>
      </c>
    </row>
    <row r="128" spans="1:14" ht="31.5" customHeight="1" x14ac:dyDescent="0.2">
      <c r="A128" s="62">
        <v>124</v>
      </c>
      <c r="B128" s="62">
        <v>242</v>
      </c>
      <c r="C128" s="63" t="s">
        <v>1022</v>
      </c>
      <c r="D128" s="67" t="s">
        <v>20</v>
      </c>
      <c r="E128" s="65" t="s">
        <v>4244</v>
      </c>
      <c r="F128" s="65"/>
      <c r="G128" s="62"/>
      <c r="H128" s="62">
        <f>IFERROR(VLOOKUP(B128,'📊 Problem Tracker'!$B$4:$F$1200,5,FALSE()),"")</f>
        <v>0</v>
      </c>
      <c r="I128" s="65"/>
      <c r="J128" s="65" t="s">
        <v>897</v>
      </c>
      <c r="K128" s="248" t="s">
        <v>1024</v>
      </c>
      <c r="L128" s="62" t="s">
        <v>24</v>
      </c>
      <c r="M128" s="177" t="s">
        <v>47</v>
      </c>
      <c r="N128" s="203" t="str">
        <f>HYPERLINK("https://leetcode.com/problems/valid-anagram/","https://leetcode.com/problems/valid-anagram/")</f>
        <v>https://leetcode.com/problems/valid-anagram/</v>
      </c>
    </row>
    <row r="129" spans="1:14" ht="31.5" customHeight="1" x14ac:dyDescent="0.2">
      <c r="A129" s="7">
        <v>125</v>
      </c>
      <c r="B129" s="7">
        <v>759</v>
      </c>
      <c r="C129" s="13" t="s">
        <v>1864</v>
      </c>
      <c r="D129" s="20" t="s">
        <v>42</v>
      </c>
      <c r="E129" s="3" t="s">
        <v>4293</v>
      </c>
      <c r="F129" s="3"/>
      <c r="G129" s="7"/>
      <c r="H129" s="7">
        <f>IFERROR(VLOOKUP(B129,'📊 Problem Tracker'!$B$4:$F$1200,5,FALSE()),"")</f>
        <v>0</v>
      </c>
      <c r="I129" s="3"/>
      <c r="J129" s="3" t="s">
        <v>1037</v>
      </c>
      <c r="K129" s="228" t="s">
        <v>959</v>
      </c>
      <c r="L129" s="7" t="s">
        <v>960</v>
      </c>
      <c r="M129" s="176" t="s">
        <v>153</v>
      </c>
      <c r="N129" s="191" t="str">
        <f>HYPERLINK("https://leetcode.com/problems/employee-free-time/","https://leetcode.com/problems/employee-free-time/")</f>
        <v>https://leetcode.com/problems/employee-free-time/</v>
      </c>
    </row>
    <row r="130" spans="1:14" ht="31.5" customHeight="1" x14ac:dyDescent="0.2">
      <c r="A130" s="62">
        <v>126</v>
      </c>
      <c r="B130" s="62">
        <v>252</v>
      </c>
      <c r="C130" s="63" t="s">
        <v>1033</v>
      </c>
      <c r="D130" s="67" t="s">
        <v>20</v>
      </c>
      <c r="E130" s="65" t="s">
        <v>322</v>
      </c>
      <c r="F130" s="65" t="s">
        <v>4249</v>
      </c>
      <c r="G130" s="62"/>
      <c r="H130" s="62">
        <f>IFERROR(VLOOKUP(B130,'📊 Problem Tracker'!$B$4:$F$1200,5,FALSE()),"")</f>
        <v>0</v>
      </c>
      <c r="I130" s="65"/>
      <c r="J130" s="65" t="s">
        <v>4172</v>
      </c>
      <c r="K130" s="248" t="s">
        <v>1077</v>
      </c>
      <c r="L130" s="62" t="s">
        <v>326</v>
      </c>
      <c r="M130" s="177" t="s">
        <v>24</v>
      </c>
      <c r="N130" s="203" t="str">
        <f>HYPERLINK("https://leetcode.com/problems/meeting-rooms/","https://leetcode.com/problems/meeting-rooms/")</f>
        <v>https://leetcode.com/problems/meeting-rooms/</v>
      </c>
    </row>
    <row r="131" spans="1:14" ht="31.5" customHeight="1" x14ac:dyDescent="0.2">
      <c r="A131" s="7">
        <v>127</v>
      </c>
      <c r="B131" s="7">
        <v>253</v>
      </c>
      <c r="C131" s="13" t="s">
        <v>1036</v>
      </c>
      <c r="D131" s="18" t="s">
        <v>28</v>
      </c>
      <c r="E131" s="3" t="s">
        <v>322</v>
      </c>
      <c r="F131" s="3" t="s">
        <v>4229</v>
      </c>
      <c r="G131" s="7"/>
      <c r="H131" s="7">
        <f>IFERROR(VLOOKUP(B131,'📊 Problem Tracker'!$B$4:$F$1200,5,FALSE()),"")</f>
        <v>0</v>
      </c>
      <c r="I131" s="3"/>
      <c r="J131" s="3" t="s">
        <v>4174</v>
      </c>
      <c r="K131" s="228" t="s">
        <v>959</v>
      </c>
      <c r="L131" s="7" t="s">
        <v>960</v>
      </c>
      <c r="M131" s="176" t="s">
        <v>153</v>
      </c>
      <c r="N131" s="191" t="str">
        <f>HYPERLINK("https://leetcode.com/problems/meeting-rooms-ii/","https://leetcode.com/problems/meeting-rooms-ii/")</f>
        <v>https://leetcode.com/problems/meeting-rooms-ii/</v>
      </c>
    </row>
    <row r="132" spans="1:14" ht="31.5" customHeight="1" x14ac:dyDescent="0.2">
      <c r="A132" s="62">
        <v>128</v>
      </c>
      <c r="B132" s="62">
        <v>261</v>
      </c>
      <c r="C132" s="63" t="s">
        <v>1049</v>
      </c>
      <c r="D132" s="64" t="s">
        <v>28</v>
      </c>
      <c r="E132" s="65" t="s">
        <v>4274</v>
      </c>
      <c r="F132" s="65" t="s">
        <v>1736</v>
      </c>
      <c r="G132" s="62"/>
      <c r="H132" s="62">
        <f>IFERROR(VLOOKUP(B132,'📊 Problem Tracker'!$B$4:$F$1200,5,FALSE()),"")</f>
        <v>0</v>
      </c>
      <c r="I132" s="65"/>
      <c r="J132" s="65" t="s">
        <v>4164</v>
      </c>
      <c r="K132" s="248" t="s">
        <v>571</v>
      </c>
      <c r="L132" s="62" t="s">
        <v>648</v>
      </c>
      <c r="M132" s="177" t="s">
        <v>648</v>
      </c>
      <c r="N132" s="203" t="str">
        <f>HYPERLINK("https://leetcode.com/problems/graph-valid-tree/","https://leetcode.com/problems/graph-valid-tree/")</f>
        <v>https://leetcode.com/problems/graph-valid-tree/</v>
      </c>
    </row>
    <row r="133" spans="1:14" ht="31.5" customHeight="1" x14ac:dyDescent="0.2">
      <c r="A133" s="7">
        <v>129</v>
      </c>
      <c r="B133" s="7">
        <v>268</v>
      </c>
      <c r="C133" s="13" t="s">
        <v>1057</v>
      </c>
      <c r="D133" s="21" t="s">
        <v>20</v>
      </c>
      <c r="E133" s="3" t="s">
        <v>4294</v>
      </c>
      <c r="F133" s="3"/>
      <c r="G133" s="7"/>
      <c r="H133" s="7">
        <f>IFERROR(VLOOKUP(B133,'📊 Problem Tracker'!$B$4:$F$1200,5,FALSE()),"")</f>
        <v>0</v>
      </c>
      <c r="I133" s="3"/>
      <c r="J133" s="3" t="s">
        <v>1058</v>
      </c>
      <c r="K133" s="228" t="s">
        <v>1061</v>
      </c>
      <c r="L133" s="7" t="s">
        <v>24</v>
      </c>
      <c r="M133" s="176" t="s">
        <v>47</v>
      </c>
      <c r="N133" s="191" t="str">
        <f>HYPERLINK("https://leetcode.com/problems/missing-number/","https://leetcode.com/problems/missing-number/")</f>
        <v>https://leetcode.com/problems/missing-number/</v>
      </c>
    </row>
    <row r="134" spans="1:14" ht="31.5" customHeight="1" x14ac:dyDescent="0.2">
      <c r="A134" s="62">
        <v>130</v>
      </c>
      <c r="B134" s="62">
        <v>269</v>
      </c>
      <c r="C134" s="63" t="s">
        <v>1063</v>
      </c>
      <c r="D134" s="66" t="s">
        <v>42</v>
      </c>
      <c r="E134" s="65" t="s">
        <v>4282</v>
      </c>
      <c r="F134" s="65"/>
      <c r="G134" s="62"/>
      <c r="H134" s="62">
        <f>IFERROR(VLOOKUP(B134,'📊 Problem Tracker'!$B$4:$F$1200,5,FALSE()),"")</f>
        <v>0</v>
      </c>
      <c r="I134" s="65"/>
      <c r="J134" s="65" t="s">
        <v>1167</v>
      </c>
      <c r="K134" s="248" t="s">
        <v>619</v>
      </c>
      <c r="L134" s="62" t="s">
        <v>1065</v>
      </c>
      <c r="M134" s="177" t="s">
        <v>47</v>
      </c>
      <c r="N134" s="203" t="str">
        <f>HYPERLINK("https://leetcode.com/problems/alien-dictionary/","https://leetcode.com/problems/alien-dictionary/")</f>
        <v>https://leetcode.com/problems/alien-dictionary/</v>
      </c>
    </row>
    <row r="135" spans="1:14" ht="31.5" customHeight="1" x14ac:dyDescent="0.2">
      <c r="A135" s="7">
        <v>131</v>
      </c>
      <c r="B135" s="7">
        <v>271</v>
      </c>
      <c r="C135" s="13" t="s">
        <v>1069</v>
      </c>
      <c r="D135" s="18" t="s">
        <v>28</v>
      </c>
      <c r="E135" s="3" t="s">
        <v>4295</v>
      </c>
      <c r="F135" s="3"/>
      <c r="G135" s="7"/>
      <c r="H135" s="7">
        <f>IFERROR(VLOOKUP(B135,'📊 Problem Tracker'!$B$4:$F$1200,5,FALSE()),"")</f>
        <v>0</v>
      </c>
      <c r="I135" s="3"/>
      <c r="J135" s="3" t="s">
        <v>735</v>
      </c>
      <c r="K135" s="228" t="s">
        <v>750</v>
      </c>
      <c r="L135" s="7" t="s">
        <v>24</v>
      </c>
      <c r="M135" s="176" t="s">
        <v>24</v>
      </c>
      <c r="N135" s="191" t="str">
        <f>HYPERLINK("https://leetcode.com/problems/encode-and-decode-strings/","https://leetcode.com/problems/encode-and-decode-strings/")</f>
        <v>https://leetcode.com/problems/encode-and-decode-strings/</v>
      </c>
    </row>
    <row r="136" spans="1:14" ht="31.5" customHeight="1" x14ac:dyDescent="0.2">
      <c r="A136" s="62">
        <v>132</v>
      </c>
      <c r="B136" s="62">
        <v>278</v>
      </c>
      <c r="C136" s="63" t="s">
        <v>1082</v>
      </c>
      <c r="D136" s="67" t="s">
        <v>20</v>
      </c>
      <c r="E136" s="65" t="s">
        <v>4255</v>
      </c>
      <c r="F136" s="65"/>
      <c r="G136" s="62"/>
      <c r="H136" s="62">
        <f>IFERROR(VLOOKUP(B136,'📊 Problem Tracker'!$B$4:$F$1200,5,FALSE()),"")</f>
        <v>0</v>
      </c>
      <c r="I136" s="65"/>
      <c r="J136" s="65" t="s">
        <v>512</v>
      </c>
      <c r="K136" s="248" t="s">
        <v>513</v>
      </c>
      <c r="L136" s="62" t="s">
        <v>65</v>
      </c>
      <c r="M136" s="177" t="s">
        <v>47</v>
      </c>
      <c r="N136" s="203" t="str">
        <f>HYPERLINK("https://leetcode.com/problems/first-bad-version/","https://leetcode.com/problems/first-bad-version/")</f>
        <v>https://leetcode.com/problems/first-bad-version/</v>
      </c>
    </row>
    <row r="137" spans="1:14" ht="31.5" customHeight="1" x14ac:dyDescent="0.2">
      <c r="A137" s="7">
        <v>133</v>
      </c>
      <c r="B137" s="7">
        <v>704</v>
      </c>
      <c r="C137" s="13" t="s">
        <v>512</v>
      </c>
      <c r="D137" s="21" t="s">
        <v>20</v>
      </c>
      <c r="E137" s="3" t="s">
        <v>512</v>
      </c>
      <c r="F137" s="3"/>
      <c r="G137" s="7"/>
      <c r="H137" s="7">
        <f>IFERROR(VLOOKUP(B137,'📊 Problem Tracker'!$B$4:$F$1200,5,FALSE()),"")</f>
        <v>0</v>
      </c>
      <c r="I137" s="3"/>
      <c r="J137" s="3" t="s">
        <v>41</v>
      </c>
      <c r="K137" s="228" t="s">
        <v>1776</v>
      </c>
      <c r="L137" s="7" t="s">
        <v>65</v>
      </c>
      <c r="M137" s="176" t="s">
        <v>47</v>
      </c>
      <c r="N137" s="191" t="str">
        <f>HYPERLINK("https://leetcode.com/problems/binary-search/","https://leetcode.com/problems/binary-search/")</f>
        <v>https://leetcode.com/problems/binary-search/</v>
      </c>
    </row>
    <row r="138" spans="1:14" ht="31.5" customHeight="1" x14ac:dyDescent="0.2">
      <c r="A138" s="62">
        <v>134</v>
      </c>
      <c r="B138" s="62">
        <v>283</v>
      </c>
      <c r="C138" s="63" t="s">
        <v>1093</v>
      </c>
      <c r="D138" s="67" t="s">
        <v>20</v>
      </c>
      <c r="E138" s="65" t="s">
        <v>689</v>
      </c>
      <c r="F138" s="65"/>
      <c r="G138" s="62"/>
      <c r="H138" s="62">
        <f>IFERROR(VLOOKUP(B138,'📊 Problem Tracker'!$B$4:$F$1200,5,FALSE()),"")</f>
        <v>0</v>
      </c>
      <c r="I138" s="65"/>
      <c r="J138" s="65" t="s">
        <v>84</v>
      </c>
      <c r="K138" s="248" t="s">
        <v>1095</v>
      </c>
      <c r="L138" s="62" t="s">
        <v>24</v>
      </c>
      <c r="M138" s="177" t="s">
        <v>1096</v>
      </c>
      <c r="N138" s="203" t="str">
        <f>HYPERLINK("https://leetcode.com/problems/move-zeroes/","https://leetcode.com/problems/move-zeroes/")</f>
        <v>https://leetcode.com/problems/move-zeroes/</v>
      </c>
    </row>
    <row r="139" spans="1:14" ht="31.5" customHeight="1" x14ac:dyDescent="0.2">
      <c r="A139" s="7">
        <v>135</v>
      </c>
      <c r="B139" s="7">
        <v>285</v>
      </c>
      <c r="C139" s="13" t="s">
        <v>1102</v>
      </c>
      <c r="D139" s="18" t="s">
        <v>28</v>
      </c>
      <c r="E139" s="3" t="s">
        <v>4256</v>
      </c>
      <c r="F139" s="3" t="s">
        <v>4269</v>
      </c>
      <c r="G139" s="7"/>
      <c r="H139" s="7">
        <f>IFERROR(VLOOKUP(B139,'📊 Problem Tracker'!$B$4:$F$1200,5,FALSE()),"")</f>
        <v>0</v>
      </c>
      <c r="I139" s="3"/>
      <c r="J139" s="3" t="s">
        <v>518</v>
      </c>
      <c r="K139" s="228" t="s">
        <v>571</v>
      </c>
      <c r="L139" s="7" t="s">
        <v>503</v>
      </c>
      <c r="M139" s="176" t="s">
        <v>47</v>
      </c>
      <c r="N139" s="191" t="str">
        <f>HYPERLINK("https://leetcode.com/problems/inorder-successor-in-bst/","https://leetcode.com/problems/inorder-successor-in-bst/")</f>
        <v>https://leetcode.com/problems/inorder-successor-in-bst/</v>
      </c>
    </row>
    <row r="140" spans="1:14" ht="31.5" customHeight="1" x14ac:dyDescent="0.2">
      <c r="A140" s="62">
        <v>136</v>
      </c>
      <c r="B140" s="62">
        <v>287</v>
      </c>
      <c r="C140" s="63" t="s">
        <v>1109</v>
      </c>
      <c r="D140" s="64" t="s">
        <v>28</v>
      </c>
      <c r="E140" s="65" t="s">
        <v>4034</v>
      </c>
      <c r="F140" s="65" t="s">
        <v>512</v>
      </c>
      <c r="G140" s="62"/>
      <c r="H140" s="62">
        <f>IFERROR(VLOOKUP(B140,'📊 Problem Tracker'!$B$4:$F$1200,5,FALSE()),"")</f>
        <v>0</v>
      </c>
      <c r="I140" s="65"/>
      <c r="J140" s="65" t="s">
        <v>1110</v>
      </c>
      <c r="K140" s="248" t="s">
        <v>1112</v>
      </c>
      <c r="L140" s="62" t="s">
        <v>24</v>
      </c>
      <c r="M140" s="177" t="s">
        <v>47</v>
      </c>
      <c r="N140" s="203" t="str">
        <f>HYPERLINK("https://leetcode.com/problems/find-the-duplicate-number/","https://leetcode.com/problems/find-the-duplicate-number/")</f>
        <v>https://leetcode.com/problems/find-the-duplicate-number/</v>
      </c>
    </row>
    <row r="141" spans="1:14" ht="31.5" customHeight="1" x14ac:dyDescent="0.2">
      <c r="A141" s="7">
        <v>137</v>
      </c>
      <c r="B141" s="7">
        <v>787</v>
      </c>
      <c r="C141" s="13" t="s">
        <v>1898</v>
      </c>
      <c r="D141" s="18" t="s">
        <v>28</v>
      </c>
      <c r="E141" s="3" t="s">
        <v>4296</v>
      </c>
      <c r="F141" s="3" t="s">
        <v>4258</v>
      </c>
      <c r="G141" s="7"/>
      <c r="H141" s="7">
        <f>IFERROR(VLOOKUP(B141,'📊 Problem Tracker'!$B$4:$F$1200,5,FALSE()),"")</f>
        <v>0</v>
      </c>
      <c r="I141" s="3"/>
      <c r="J141" s="3" t="s">
        <v>1899</v>
      </c>
      <c r="K141" s="228" t="s">
        <v>508</v>
      </c>
      <c r="L141" s="7" t="s">
        <v>648</v>
      </c>
      <c r="M141" s="176" t="s">
        <v>648</v>
      </c>
      <c r="N141" s="191" t="str">
        <f>HYPERLINK("https://leetcode.com/problems/cheapest-flights-within-k-stops/","https://leetcode.com/problems/cheapest-flights-within-k-stops/")</f>
        <v>https://leetcode.com/problems/cheapest-flights-within-k-stops/</v>
      </c>
    </row>
    <row r="142" spans="1:14" ht="31.5" customHeight="1" x14ac:dyDescent="0.2">
      <c r="A142" s="62">
        <v>138</v>
      </c>
      <c r="B142" s="62">
        <v>295</v>
      </c>
      <c r="C142" s="63" t="s">
        <v>1120</v>
      </c>
      <c r="D142" s="66" t="s">
        <v>42</v>
      </c>
      <c r="E142" s="65" t="s">
        <v>4297</v>
      </c>
      <c r="F142" s="65"/>
      <c r="G142" s="62"/>
      <c r="H142" s="62">
        <f>IFERROR(VLOOKUP(B142,'📊 Problem Tracker'!$B$4:$F$1200,5,FALSE()),"")</f>
        <v>0</v>
      </c>
      <c r="I142" s="65"/>
      <c r="J142" s="65" t="s">
        <v>4233</v>
      </c>
      <c r="K142" s="248" t="s">
        <v>1123</v>
      </c>
      <c r="L142" s="62" t="s">
        <v>1124</v>
      </c>
      <c r="M142" s="177" t="s">
        <v>24</v>
      </c>
      <c r="N142" s="203" t="str">
        <f>HYPERLINK("https://leetcode.com/problems/find-median-from-data-stream/","https://leetcode.com/problems/find-median-from-data-stream/")</f>
        <v>https://leetcode.com/problems/find-median-from-data-stream/</v>
      </c>
    </row>
    <row r="143" spans="1:14" ht="31.5" customHeight="1" x14ac:dyDescent="0.2">
      <c r="A143" s="7">
        <v>139</v>
      </c>
      <c r="B143" s="7">
        <v>297</v>
      </c>
      <c r="C143" s="13" t="s">
        <v>1126</v>
      </c>
      <c r="D143" s="20" t="s">
        <v>42</v>
      </c>
      <c r="E143" s="3" t="s">
        <v>4298</v>
      </c>
      <c r="F143" s="3" t="s">
        <v>4299</v>
      </c>
      <c r="G143" s="7"/>
      <c r="H143" s="7">
        <f>IFERROR(VLOOKUP(B143,'📊 Problem Tracker'!$B$4:$F$1200,5,FALSE()),"")</f>
        <v>0</v>
      </c>
      <c r="I143" s="3"/>
      <c r="J143" s="3" t="s">
        <v>4215</v>
      </c>
      <c r="K143" s="228" t="s">
        <v>571</v>
      </c>
      <c r="L143" s="7" t="s">
        <v>24</v>
      </c>
      <c r="M143" s="176" t="s">
        <v>24</v>
      </c>
      <c r="N143" s="191" t="str">
        <f>HYPERLINK("https://leetcode.com/problems/serialize-and-deserialize-binary-tree/","https://leetcode.com/problems/serialize-and-deserialize-binary-tree/")</f>
        <v>https://leetcode.com/problems/serialize-and-deserialize-binary-tree/</v>
      </c>
    </row>
    <row r="144" spans="1:14" ht="31.5" customHeight="1" x14ac:dyDescent="0.2">
      <c r="A144" s="62">
        <v>140</v>
      </c>
      <c r="B144" s="62">
        <v>300</v>
      </c>
      <c r="C144" s="63" t="s">
        <v>1135</v>
      </c>
      <c r="D144" s="64" t="s">
        <v>28</v>
      </c>
      <c r="E144" s="65" t="s">
        <v>4300</v>
      </c>
      <c r="F144" s="65"/>
      <c r="G144" s="62"/>
      <c r="H144" s="62">
        <f>IFERROR(VLOOKUP(B144,'📊 Problem Tracker'!$B$4:$F$1200,5,FALSE()),"")</f>
        <v>0</v>
      </c>
      <c r="I144" s="65"/>
      <c r="J144" s="65" t="s">
        <v>1136</v>
      </c>
      <c r="K144" s="248" t="s">
        <v>1139</v>
      </c>
      <c r="L144" s="62" t="s">
        <v>326</v>
      </c>
      <c r="M144" s="177" t="s">
        <v>24</v>
      </c>
      <c r="N144" s="203" t="str">
        <f>HYPERLINK("https://leetcode.com/problems/longest-increasing-subsequence/","https://leetcode.com/problems/longest-increasing-subsequence/")</f>
        <v>https://leetcode.com/problems/longest-increasing-subsequence/</v>
      </c>
    </row>
    <row r="145" spans="1:14" ht="31.5" customHeight="1" x14ac:dyDescent="0.2">
      <c r="A145" s="7">
        <v>141</v>
      </c>
      <c r="B145" s="7">
        <v>310</v>
      </c>
      <c r="C145" s="13" t="s">
        <v>1166</v>
      </c>
      <c r="D145" s="18" t="s">
        <v>28</v>
      </c>
      <c r="E145" s="3" t="s">
        <v>4301</v>
      </c>
      <c r="F145" s="3"/>
      <c r="G145" s="7"/>
      <c r="H145" s="7">
        <f>IFERROR(VLOOKUP(B145,'📊 Problem Tracker'!$B$4:$F$1200,5,FALSE()),"")</f>
        <v>0</v>
      </c>
      <c r="I145" s="3"/>
      <c r="J145" s="3" t="s">
        <v>1167</v>
      </c>
      <c r="K145" s="228" t="s">
        <v>571</v>
      </c>
      <c r="L145" s="7" t="s">
        <v>1169</v>
      </c>
      <c r="M145" s="176" t="s">
        <v>649</v>
      </c>
      <c r="N145" s="191" t="str">
        <f>HYPERLINK("https://leetcode.com/problems/minimum-height-trees/","https://leetcode.com/problems/minimum-height-trees/")</f>
        <v>https://leetcode.com/problems/minimum-height-trees/</v>
      </c>
    </row>
    <row r="146" spans="1:14" ht="31.5" customHeight="1" x14ac:dyDescent="0.2">
      <c r="A146" s="62">
        <v>142</v>
      </c>
      <c r="B146" s="62">
        <v>815</v>
      </c>
      <c r="C146" s="63" t="s">
        <v>1937</v>
      </c>
      <c r="D146" s="66" t="s">
        <v>42</v>
      </c>
      <c r="E146" s="65" t="s">
        <v>4258</v>
      </c>
      <c r="F146" s="65"/>
      <c r="G146" s="62"/>
      <c r="H146" s="62">
        <f>IFERROR(VLOOKUP(B146,'📊 Problem Tracker'!$B$4:$F$1200,5,FALSE()),"")</f>
        <v>0</v>
      </c>
      <c r="I146" s="65"/>
      <c r="J146" s="65" t="s">
        <v>1857</v>
      </c>
      <c r="K146" s="248" t="s">
        <v>619</v>
      </c>
      <c r="L146" s="62" t="s">
        <v>648</v>
      </c>
      <c r="M146" s="177" t="s">
        <v>648</v>
      </c>
      <c r="N146" s="203" t="str">
        <f>HYPERLINK("https://leetcode.com/problems/bus-routes/","https://leetcode.com/problems/bus-routes/")</f>
        <v>https://leetcode.com/problems/bus-routes/</v>
      </c>
    </row>
    <row r="147" spans="1:14" ht="31.5" customHeight="1" x14ac:dyDescent="0.2">
      <c r="A147" s="7">
        <v>143</v>
      </c>
      <c r="B147" s="7">
        <v>322</v>
      </c>
      <c r="C147" s="13" t="s">
        <v>1205</v>
      </c>
      <c r="D147" s="18" t="s">
        <v>28</v>
      </c>
      <c r="E147" s="3" t="s">
        <v>4302</v>
      </c>
      <c r="F147" s="3"/>
      <c r="G147" s="7"/>
      <c r="H147" s="7">
        <f>IFERROR(VLOOKUP(B147,'📊 Problem Tracker'!$B$4:$F$1200,5,FALSE()),"")</f>
        <v>0</v>
      </c>
      <c r="I147" s="3"/>
      <c r="J147" s="3" t="s">
        <v>1206</v>
      </c>
      <c r="K147" s="228" t="s">
        <v>1208</v>
      </c>
      <c r="L147" s="7" t="s">
        <v>1209</v>
      </c>
      <c r="M147" s="176" t="s">
        <v>1210</v>
      </c>
      <c r="N147" s="191" t="str">
        <f>HYPERLINK("https://leetcode.com/problems/coin-change/","https://leetcode.com/problems/coin-change/")</f>
        <v>https://leetcode.com/problems/coin-change/</v>
      </c>
    </row>
    <row r="148" spans="1:14" ht="31.5" customHeight="1" x14ac:dyDescent="0.2">
      <c r="A148" s="62">
        <v>144</v>
      </c>
      <c r="B148" s="62">
        <v>323</v>
      </c>
      <c r="C148" s="63" t="s">
        <v>4303</v>
      </c>
      <c r="D148" s="64" t="s">
        <v>28</v>
      </c>
      <c r="E148" s="65" t="s">
        <v>1736</v>
      </c>
      <c r="F148" s="65" t="s">
        <v>4283</v>
      </c>
      <c r="G148" s="62"/>
      <c r="H148" s="62">
        <f>IFERROR(VLOOKUP(B148,'📊 Problem Tracker'!$B$4:$F$1200,5,FALSE()),"")</f>
        <v>0</v>
      </c>
      <c r="I148" s="65"/>
      <c r="J148" s="65" t="s">
        <v>1213</v>
      </c>
      <c r="K148" s="248" t="s">
        <v>619</v>
      </c>
      <c r="L148" s="62" t="s">
        <v>1169</v>
      </c>
      <c r="M148" s="177" t="s">
        <v>649</v>
      </c>
      <c r="N148" s="203" t="str">
        <f>HYPERLINK("https://leetcode.com/problems/number-of-connected-components-in-an-undirected-graph/","https://leetcode.com/problems/number-of-connected-components-in-an-undirected-graph/")</f>
        <v>https://leetcode.com/problems/number-of-connected-components-in-an-undirected-graph/</v>
      </c>
    </row>
    <row r="149" spans="1:14" ht="31.5" customHeight="1" x14ac:dyDescent="0.2">
      <c r="A149" s="7">
        <v>145</v>
      </c>
      <c r="B149" s="7">
        <v>328</v>
      </c>
      <c r="C149" s="13" t="s">
        <v>1224</v>
      </c>
      <c r="D149" s="18" t="s">
        <v>28</v>
      </c>
      <c r="E149" s="3" t="s">
        <v>127</v>
      </c>
      <c r="F149" s="3"/>
      <c r="G149" s="7"/>
      <c r="H149" s="7">
        <f>IFERROR(VLOOKUP(B149,'📊 Problem Tracker'!$B$4:$F$1200,5,FALSE()),"")</f>
        <v>0</v>
      </c>
      <c r="I149" s="3"/>
      <c r="J149" s="3" t="s">
        <v>127</v>
      </c>
      <c r="K149" s="228" t="s">
        <v>461</v>
      </c>
      <c r="L149" s="7" t="s">
        <v>24</v>
      </c>
      <c r="M149" s="176" t="s">
        <v>47</v>
      </c>
      <c r="N149" s="191" t="str">
        <f>HYPERLINK("https://leetcode.com/problems/odd-even-linked-list/","https://leetcode.com/problems/odd-even-linked-list/")</f>
        <v>https://leetcode.com/problems/odd-even-linked-list/</v>
      </c>
    </row>
    <row r="150" spans="1:14" ht="31.5" customHeight="1" x14ac:dyDescent="0.2">
      <c r="A150" s="62">
        <v>146</v>
      </c>
      <c r="B150" s="62">
        <v>329</v>
      </c>
      <c r="C150" s="63" t="s">
        <v>1226</v>
      </c>
      <c r="D150" s="66" t="s">
        <v>42</v>
      </c>
      <c r="E150" s="65" t="s">
        <v>4304</v>
      </c>
      <c r="F150" s="65"/>
      <c r="G150" s="62"/>
      <c r="H150" s="62">
        <f>IFERROR(VLOOKUP(B150,'📊 Problem Tracker'!$B$4:$F$1200,5,FALSE()),"")</f>
        <v>0</v>
      </c>
      <c r="I150" s="65"/>
      <c r="J150" s="65" t="s">
        <v>1227</v>
      </c>
      <c r="K150" s="248" t="s">
        <v>508</v>
      </c>
      <c r="L150" s="62" t="s">
        <v>81</v>
      </c>
      <c r="M150" s="177" t="s">
        <v>81</v>
      </c>
      <c r="N150" s="203" t="str">
        <f>HYPERLINK("https://leetcode.com/problems/longest-increasing-path-in-a-matrix/","https://leetcode.com/problems/longest-increasing-path-in-a-matrix/")</f>
        <v>https://leetcode.com/problems/longest-increasing-path-in-a-matrix/</v>
      </c>
    </row>
    <row r="151" spans="1:14" ht="31.5" customHeight="1" x14ac:dyDescent="0.2">
      <c r="A151" s="7">
        <v>147</v>
      </c>
      <c r="B151" s="7">
        <v>1235</v>
      </c>
      <c r="C151" s="13" t="s">
        <v>2313</v>
      </c>
      <c r="D151" s="20" t="s">
        <v>42</v>
      </c>
      <c r="E151" s="3" t="s">
        <v>4300</v>
      </c>
      <c r="F151" s="3"/>
      <c r="G151" s="7"/>
      <c r="H151" s="7">
        <f>IFERROR(VLOOKUP(B151,'📊 Problem Tracker'!$B$4:$F$1200,5,FALSE()),"")</f>
        <v>0</v>
      </c>
      <c r="I151" s="3"/>
      <c r="J151" s="3" t="s">
        <v>1136</v>
      </c>
      <c r="K151" s="228" t="s">
        <v>513</v>
      </c>
      <c r="L151" s="7" t="s">
        <v>65</v>
      </c>
      <c r="M151" s="176" t="s">
        <v>47</v>
      </c>
      <c r="N151" s="191" t="str">
        <f>HYPERLINK("https://leetcode.com/problems/maximum-profit-in-job-scheduling/","https://leetcode.com/problems/maximum-profit-in-job-scheduling/")</f>
        <v>https://leetcode.com/problems/maximum-profit-in-job-scheduling/</v>
      </c>
    </row>
    <row r="152" spans="1:14" ht="31.5" customHeight="1" x14ac:dyDescent="0.2">
      <c r="A152" s="62">
        <v>148</v>
      </c>
      <c r="B152" s="62">
        <v>336</v>
      </c>
      <c r="C152" s="63" t="s">
        <v>1238</v>
      </c>
      <c r="D152" s="66" t="s">
        <v>42</v>
      </c>
      <c r="E152" s="65" t="s">
        <v>925</v>
      </c>
      <c r="F152" s="65"/>
      <c r="G152" s="62"/>
      <c r="H152" s="62">
        <f>IFERROR(VLOOKUP(B152,'📊 Problem Tracker'!$B$4:$F$1200,5,FALSE()),"")</f>
        <v>0</v>
      </c>
      <c r="I152" s="65"/>
      <c r="J152" s="65" t="s">
        <v>1239</v>
      </c>
      <c r="K152" s="248" t="s">
        <v>927</v>
      </c>
      <c r="L152" s="62" t="s">
        <v>1242</v>
      </c>
      <c r="M152" s="177" t="s">
        <v>1243</v>
      </c>
      <c r="N152" s="203" t="str">
        <f>HYPERLINK("https://leetcode.com/problems/palindrome-pairs/","https://leetcode.com/problems/palindrome-pairs/")</f>
        <v>https://leetcode.com/problems/palindrome-pairs/</v>
      </c>
    </row>
    <row r="153" spans="1:14" ht="31.5" customHeight="1" x14ac:dyDescent="0.2">
      <c r="A153" s="7">
        <v>149</v>
      </c>
      <c r="B153" s="7">
        <v>338</v>
      </c>
      <c r="C153" s="13" t="s">
        <v>1247</v>
      </c>
      <c r="D153" s="21" t="s">
        <v>20</v>
      </c>
      <c r="E153" s="3" t="s">
        <v>4305</v>
      </c>
      <c r="F153" s="3"/>
      <c r="G153" s="7"/>
      <c r="H153" s="7">
        <f>IFERROR(VLOOKUP(B153,'📊 Problem Tracker'!$B$4:$F$1200,5,FALSE()),"")</f>
        <v>0</v>
      </c>
      <c r="I153" s="3"/>
      <c r="J153" s="3" t="s">
        <v>1248</v>
      </c>
      <c r="K153" s="228" t="s">
        <v>508</v>
      </c>
      <c r="L153" s="7" t="s">
        <v>24</v>
      </c>
      <c r="M153" s="176" t="s">
        <v>24</v>
      </c>
      <c r="N153" s="191" t="str">
        <f>HYPERLINK("https://leetcode.com/problems/counting-bits/","https://leetcode.com/problems/counting-bits/")</f>
        <v>https://leetcode.com/problems/counting-bits/</v>
      </c>
    </row>
    <row r="154" spans="1:14" ht="31.5" customHeight="1" x14ac:dyDescent="0.2">
      <c r="A154" s="62">
        <v>150</v>
      </c>
      <c r="B154" s="62">
        <v>362</v>
      </c>
      <c r="C154" s="63" t="s">
        <v>1297</v>
      </c>
      <c r="D154" s="64" t="s">
        <v>28</v>
      </c>
      <c r="E154" s="65" t="s">
        <v>917</v>
      </c>
      <c r="F154" s="65" t="s">
        <v>4288</v>
      </c>
      <c r="G154" s="62"/>
      <c r="H154" s="62">
        <f>IFERROR(VLOOKUP(B154,'📊 Problem Tracker'!$B$4:$F$1200,5,FALSE()),"")</f>
        <v>0</v>
      </c>
      <c r="I154" s="65"/>
      <c r="J154" s="65" t="s">
        <v>4306</v>
      </c>
      <c r="K154" s="248" t="s">
        <v>919</v>
      </c>
      <c r="L154" s="62" t="s">
        <v>47</v>
      </c>
      <c r="M154" s="177" t="s">
        <v>1096</v>
      </c>
      <c r="N154" s="203" t="str">
        <f>HYPERLINK("https://leetcode.com/problems/design-hit-counter/","https://leetcode.com/problems/design-hit-counter/")</f>
        <v>https://leetcode.com/problems/design-hit-counter/</v>
      </c>
    </row>
    <row r="155" spans="1:14" ht="31.5" customHeight="1" x14ac:dyDescent="0.2">
      <c r="A155" s="7">
        <v>151</v>
      </c>
      <c r="B155" s="7">
        <v>844</v>
      </c>
      <c r="C155" s="13" t="s">
        <v>1972</v>
      </c>
      <c r="D155" s="21" t="s">
        <v>20</v>
      </c>
      <c r="E155" s="3" t="s">
        <v>4307</v>
      </c>
      <c r="F155" s="3"/>
      <c r="G155" s="7"/>
      <c r="H155" s="7">
        <f>IFERROR(VLOOKUP(B155,'📊 Problem Tracker'!$B$4:$F$1200,5,FALSE()),"")</f>
        <v>0</v>
      </c>
      <c r="I155" s="3"/>
      <c r="J155" s="3" t="s">
        <v>4308</v>
      </c>
      <c r="K155" s="228" t="s">
        <v>690</v>
      </c>
      <c r="L155" s="7" t="s">
        <v>24</v>
      </c>
      <c r="M155" s="176" t="s">
        <v>1096</v>
      </c>
      <c r="N155" s="191" t="str">
        <f>HYPERLINK("https://leetcode.com/problems/backspace-string-compare/","https://leetcode.com/problems/backspace-string-compare/")</f>
        <v>https://leetcode.com/problems/backspace-string-compare/</v>
      </c>
    </row>
    <row r="156" spans="1:14" ht="31.5" customHeight="1" x14ac:dyDescent="0.2">
      <c r="A156" s="62">
        <v>152</v>
      </c>
      <c r="B156" s="62">
        <v>377</v>
      </c>
      <c r="C156" s="63" t="s">
        <v>1324</v>
      </c>
      <c r="D156" s="64" t="s">
        <v>28</v>
      </c>
      <c r="E156" s="65" t="s">
        <v>4309</v>
      </c>
      <c r="F156" s="65"/>
      <c r="G156" s="62"/>
      <c r="H156" s="62">
        <f>IFERROR(VLOOKUP(B156,'📊 Problem Tracker'!$B$4:$F$1200,5,FALSE()),"")</f>
        <v>0</v>
      </c>
      <c r="I156" s="65"/>
      <c r="J156" s="65" t="s">
        <v>309</v>
      </c>
      <c r="K156" s="248" t="s">
        <v>508</v>
      </c>
      <c r="L156" s="62" t="s">
        <v>1326</v>
      </c>
      <c r="M156" s="177" t="s">
        <v>1327</v>
      </c>
      <c r="N156" s="203" t="str">
        <f>HYPERLINK("https://leetcode.com/problems/combination-sum-iv/","https://leetcode.com/problems/combination-sum-iv/")</f>
        <v>https://leetcode.com/problems/combination-sum-iv/</v>
      </c>
    </row>
    <row r="157" spans="1:14" ht="31.5" customHeight="1" x14ac:dyDescent="0.2">
      <c r="A157" s="7">
        <v>153</v>
      </c>
      <c r="B157" s="7">
        <v>380</v>
      </c>
      <c r="C157" s="13" t="s">
        <v>1333</v>
      </c>
      <c r="D157" s="18" t="s">
        <v>28</v>
      </c>
      <c r="E157" s="3" t="s">
        <v>4244</v>
      </c>
      <c r="F157" s="3"/>
      <c r="G157" s="7"/>
      <c r="H157" s="7">
        <f>IFERROR(VLOOKUP(B157,'📊 Problem Tracker'!$B$4:$F$1200,5,FALSE()),"")</f>
        <v>0</v>
      </c>
      <c r="I157" s="3"/>
      <c r="J157" s="3" t="s">
        <v>1334</v>
      </c>
      <c r="K157" s="228" t="s">
        <v>705</v>
      </c>
      <c r="L157" s="7" t="s">
        <v>24</v>
      </c>
      <c r="M157" s="176" t="s">
        <v>24</v>
      </c>
      <c r="N157" s="191" t="str">
        <f>HYPERLINK("https://leetcode.com/problems/insert-delete-getrandom-o1/","https://leetcode.com/problems/insert-delete-getrandom-o1/")</f>
        <v>https://leetcode.com/problems/insert-delete-getrandom-o1/</v>
      </c>
    </row>
    <row r="158" spans="1:14" ht="31.5" customHeight="1" x14ac:dyDescent="0.2">
      <c r="A158" s="62">
        <v>154</v>
      </c>
      <c r="B158" s="62">
        <v>863</v>
      </c>
      <c r="C158" s="63" t="s">
        <v>1994</v>
      </c>
      <c r="D158" s="64" t="s">
        <v>28</v>
      </c>
      <c r="E158" s="65" t="s">
        <v>4298</v>
      </c>
      <c r="F158" s="65"/>
      <c r="G158" s="62"/>
      <c r="H158" s="62">
        <f>IFERROR(VLOOKUP(B158,'📊 Problem Tracker'!$B$4:$F$1200,5,FALSE()),"")</f>
        <v>0</v>
      </c>
      <c r="I158" s="65"/>
      <c r="J158" s="65" t="s">
        <v>1995</v>
      </c>
      <c r="K158" s="248" t="s">
        <v>571</v>
      </c>
      <c r="L158" s="62" t="s">
        <v>24</v>
      </c>
      <c r="M158" s="177" t="s">
        <v>24</v>
      </c>
      <c r="N158" s="203" t="str">
        <f>HYPERLINK("https://leetcode.com/problems/all-nodes-distance-k-in-binary-tree/","https://leetcode.com/problems/all-nodes-distance-k-in-binary-tree/")</f>
        <v>https://leetcode.com/problems/all-nodes-distance-k-in-binary-tree/</v>
      </c>
    </row>
    <row r="159" spans="1:14" ht="31.5" customHeight="1" x14ac:dyDescent="0.2">
      <c r="A159" s="7">
        <v>155</v>
      </c>
      <c r="B159" s="7">
        <v>383</v>
      </c>
      <c r="C159" s="13" t="s">
        <v>1337</v>
      </c>
      <c r="D159" s="21" t="s">
        <v>20</v>
      </c>
      <c r="E159" s="3" t="s">
        <v>4244</v>
      </c>
      <c r="F159" s="3"/>
      <c r="G159" s="7"/>
      <c r="H159" s="7">
        <f>IFERROR(VLOOKUP(B159,'📊 Problem Tracker'!$B$4:$F$1200,5,FALSE()),"")</f>
        <v>0</v>
      </c>
      <c r="I159" s="3"/>
      <c r="J159" s="3" t="s">
        <v>897</v>
      </c>
      <c r="K159" s="228" t="s">
        <v>1340</v>
      </c>
      <c r="L159" s="7" t="s">
        <v>259</v>
      </c>
      <c r="M159" s="176" t="s">
        <v>47</v>
      </c>
      <c r="N159" s="191" t="str">
        <f>HYPERLINK("https://leetcode.com/problems/ransom-note/","https://leetcode.com/problems/ransom-note/")</f>
        <v>https://leetcode.com/problems/ransom-note/</v>
      </c>
    </row>
    <row r="160" spans="1:14" ht="31.5" customHeight="1" x14ac:dyDescent="0.2">
      <c r="A160" s="62">
        <v>156</v>
      </c>
      <c r="B160" s="62">
        <v>394</v>
      </c>
      <c r="C160" s="63" t="s">
        <v>1365</v>
      </c>
      <c r="D160" s="64" t="s">
        <v>28</v>
      </c>
      <c r="E160" s="65" t="s">
        <v>540</v>
      </c>
      <c r="F160" s="65"/>
      <c r="G160" s="62"/>
      <c r="H160" s="62">
        <f>IFERROR(VLOOKUP(B160,'📊 Problem Tracker'!$B$4:$F$1200,5,FALSE()),"")</f>
        <v>0</v>
      </c>
      <c r="I160" s="65"/>
      <c r="J160" s="65" t="s">
        <v>133</v>
      </c>
      <c r="K160" s="248" t="s">
        <v>542</v>
      </c>
      <c r="L160" s="62" t="s">
        <v>24</v>
      </c>
      <c r="M160" s="177" t="s">
        <v>24</v>
      </c>
      <c r="N160" s="203" t="str">
        <f>HYPERLINK("https://leetcode.com/problems/decode-string/","https://leetcode.com/problems/decode-string/")</f>
        <v>https://leetcode.com/problems/decode-string/</v>
      </c>
    </row>
    <row r="161" spans="1:14" ht="31.5" customHeight="1" x14ac:dyDescent="0.2">
      <c r="A161" s="7">
        <v>157</v>
      </c>
      <c r="B161" s="7">
        <v>876</v>
      </c>
      <c r="C161" s="13" t="s">
        <v>2017</v>
      </c>
      <c r="D161" s="21" t="s">
        <v>20</v>
      </c>
      <c r="E161" s="3" t="s">
        <v>4034</v>
      </c>
      <c r="F161" s="3"/>
      <c r="G161" s="7"/>
      <c r="H161" s="7">
        <f>IFERROR(VLOOKUP(B161,'📊 Problem Tracker'!$B$4:$F$1200,5,FALSE()),"")</f>
        <v>0</v>
      </c>
      <c r="I161" s="3"/>
      <c r="J161" s="3" t="s">
        <v>679</v>
      </c>
      <c r="K161" s="228" t="s">
        <v>690</v>
      </c>
      <c r="L161" s="7" t="s">
        <v>24</v>
      </c>
      <c r="M161" s="176" t="s">
        <v>47</v>
      </c>
      <c r="N161" s="191" t="str">
        <f>HYPERLINK("https://leetcode.com/problems/middle-of-the-linked-list/","https://leetcode.com/problems/middle-of-the-linked-list/")</f>
        <v>https://leetcode.com/problems/middle-of-the-linked-list/</v>
      </c>
    </row>
    <row r="162" spans="1:14" ht="31.5" customHeight="1" x14ac:dyDescent="0.2">
      <c r="A162" s="62">
        <v>158</v>
      </c>
      <c r="B162" s="62">
        <v>528</v>
      </c>
      <c r="C162" s="63" t="s">
        <v>1563</v>
      </c>
      <c r="D162" s="64" t="s">
        <v>28</v>
      </c>
      <c r="E162" s="65" t="s">
        <v>4310</v>
      </c>
      <c r="F162" s="65"/>
      <c r="G162" s="62"/>
      <c r="H162" s="62">
        <f>IFERROR(VLOOKUP(B162,'📊 Problem Tracker'!$B$4:$F$1200,5,FALSE()),"")</f>
        <v>0</v>
      </c>
      <c r="I162" s="65"/>
      <c r="J162" s="65" t="s">
        <v>1564</v>
      </c>
      <c r="K162" s="248" t="s">
        <v>513</v>
      </c>
      <c r="L162" s="62" t="s">
        <v>65</v>
      </c>
      <c r="M162" s="177" t="s">
        <v>47</v>
      </c>
      <c r="N162" s="203" t="str">
        <f>HYPERLINK("https://leetcode.com/problems/random-pick-with-weight/","https://leetcode.com/problems/random-pick-with-weight/")</f>
        <v>https://leetcode.com/problems/random-pick-with-weight/</v>
      </c>
    </row>
    <row r="163" spans="1:14" ht="31.5" customHeight="1" x14ac:dyDescent="0.2">
      <c r="A163" s="7">
        <v>159</v>
      </c>
      <c r="B163" s="7">
        <v>409</v>
      </c>
      <c r="C163" s="13" t="s">
        <v>1394</v>
      </c>
      <c r="D163" s="21" t="s">
        <v>20</v>
      </c>
      <c r="E163" s="3" t="s">
        <v>4311</v>
      </c>
      <c r="F163" s="3"/>
      <c r="G163" s="7"/>
      <c r="H163" s="7">
        <f>IFERROR(VLOOKUP(B163,'📊 Problem Tracker'!$B$4:$F$1200,5,FALSE()),"")</f>
        <v>0</v>
      </c>
      <c r="I163" s="3"/>
      <c r="J163" s="3" t="s">
        <v>1395</v>
      </c>
      <c r="K163" s="228" t="s">
        <v>705</v>
      </c>
      <c r="L163" s="7" t="s">
        <v>24</v>
      </c>
      <c r="M163" s="176" t="s">
        <v>24</v>
      </c>
      <c r="N163" s="191" t="str">
        <f>HYPERLINK("https://leetcode.com/problems/longest-palindrome/","https://leetcode.com/problems/longest-palindrome/")</f>
        <v>https://leetcode.com/problems/longest-palindrome/</v>
      </c>
    </row>
    <row r="164" spans="1:14" ht="31.5" customHeight="1" x14ac:dyDescent="0.2">
      <c r="A164" s="62">
        <v>160</v>
      </c>
      <c r="B164" s="62">
        <v>416</v>
      </c>
      <c r="C164" s="63" t="s">
        <v>1406</v>
      </c>
      <c r="D164" s="64" t="s">
        <v>28</v>
      </c>
      <c r="E164" s="65" t="s">
        <v>4312</v>
      </c>
      <c r="F164" s="65"/>
      <c r="G164" s="62"/>
      <c r="H164" s="62">
        <f>IFERROR(VLOOKUP(B164,'📊 Problem Tracker'!$B$4:$F$1200,5,FALSE()),"")</f>
        <v>0</v>
      </c>
      <c r="I164" s="65"/>
      <c r="J164" s="65" t="s">
        <v>309</v>
      </c>
      <c r="K164" s="248" t="s">
        <v>508</v>
      </c>
      <c r="L164" s="62" t="s">
        <v>1408</v>
      </c>
      <c r="M164" s="177" t="s">
        <v>1409</v>
      </c>
      <c r="N164" s="203" t="str">
        <f>HYPERLINK("https://leetcode.com/problems/partition-equal-subset-sum/","https://leetcode.com/problems/partition-equal-subset-sum/")</f>
        <v>https://leetcode.com/problems/partition-equal-subset-sum/</v>
      </c>
    </row>
    <row r="165" spans="1:14" ht="31.5" customHeight="1" x14ac:dyDescent="0.2">
      <c r="A165" s="7">
        <v>161</v>
      </c>
      <c r="B165" s="7">
        <v>417</v>
      </c>
      <c r="C165" s="13" t="s">
        <v>1411</v>
      </c>
      <c r="D165" s="18" t="s">
        <v>28</v>
      </c>
      <c r="E165" s="3" t="s">
        <v>4274</v>
      </c>
      <c r="F165" s="3"/>
      <c r="G165" s="7"/>
      <c r="H165" s="7">
        <f>IFERROR(VLOOKUP(B165,'📊 Problem Tracker'!$B$4:$F$1200,5,FALSE()),"")</f>
        <v>0</v>
      </c>
      <c r="I165" s="3"/>
      <c r="J165" s="3" t="s">
        <v>637</v>
      </c>
      <c r="K165" s="228" t="s">
        <v>619</v>
      </c>
      <c r="L165" s="7" t="s">
        <v>81</v>
      </c>
      <c r="M165" s="176" t="s">
        <v>81</v>
      </c>
      <c r="N165" s="191" t="str">
        <f>HYPERLINK("https://leetcode.com/problems/pacific-atlantic-water-flow/","https://leetcode.com/problems/pacific-atlantic-water-flow/")</f>
        <v>https://leetcode.com/problems/pacific-atlantic-water-flow/</v>
      </c>
    </row>
    <row r="166" spans="1:14" ht="31.5" customHeight="1" x14ac:dyDescent="0.2">
      <c r="A166" s="62">
        <v>162</v>
      </c>
      <c r="B166" s="62">
        <v>895</v>
      </c>
      <c r="C166" s="63" t="s">
        <v>2038</v>
      </c>
      <c r="D166" s="66" t="s">
        <v>42</v>
      </c>
      <c r="E166" s="65" t="s">
        <v>4313</v>
      </c>
      <c r="F166" s="65"/>
      <c r="G166" s="62"/>
      <c r="H166" s="62">
        <f>IFERROR(VLOOKUP(B166,'📊 Problem Tracker'!$B$4:$F$1200,5,FALSE()),"")</f>
        <v>0</v>
      </c>
      <c r="I166" s="65"/>
      <c r="J166" s="65" t="s">
        <v>4314</v>
      </c>
      <c r="K166" s="248" t="s">
        <v>959</v>
      </c>
      <c r="L166" s="62" t="s">
        <v>960</v>
      </c>
      <c r="M166" s="177" t="s">
        <v>153</v>
      </c>
      <c r="N166" s="203" t="str">
        <f>HYPERLINK("https://leetcode.com/problems/maximum-frequency-stack/","https://leetcode.com/problems/maximum-frequency-stack/")</f>
        <v>https://leetcode.com/problems/maximum-frequency-stack/</v>
      </c>
    </row>
    <row r="167" spans="1:14" ht="31.5" customHeight="1" x14ac:dyDescent="0.2">
      <c r="A167" s="7">
        <v>163</v>
      </c>
      <c r="B167" s="7">
        <v>424</v>
      </c>
      <c r="C167" s="13" t="s">
        <v>1416</v>
      </c>
      <c r="D167" s="18" t="s">
        <v>28</v>
      </c>
      <c r="E167" s="3" t="s">
        <v>917</v>
      </c>
      <c r="F167" s="3"/>
      <c r="G167" s="7"/>
      <c r="H167" s="7">
        <f>IFERROR(VLOOKUP(B167,'📊 Problem Tracker'!$B$4:$F$1200,5,FALSE()),"")</f>
        <v>0</v>
      </c>
      <c r="I167" s="3"/>
      <c r="J167" s="3" t="s">
        <v>427</v>
      </c>
      <c r="K167" s="228" t="s">
        <v>1418</v>
      </c>
      <c r="L167" s="7" t="s">
        <v>24</v>
      </c>
      <c r="M167" s="176" t="s">
        <v>1096</v>
      </c>
      <c r="N167" s="191" t="str">
        <f>HYPERLINK("https://leetcode.com/problems/longest-repeating-character-replacement/","https://leetcode.com/problems/longest-repeating-character-replacement/")</f>
        <v>https://leetcode.com/problems/longest-repeating-character-replacement/</v>
      </c>
    </row>
    <row r="168" spans="1:14" ht="31.5" customHeight="1" x14ac:dyDescent="0.2">
      <c r="A168" s="62">
        <v>164</v>
      </c>
      <c r="B168" s="62">
        <v>435</v>
      </c>
      <c r="C168" s="63" t="s">
        <v>1430</v>
      </c>
      <c r="D168" s="64" t="s">
        <v>28</v>
      </c>
      <c r="E168" s="65" t="s">
        <v>4315</v>
      </c>
      <c r="F168" s="65"/>
      <c r="G168" s="62"/>
      <c r="H168" s="62">
        <f>IFERROR(VLOOKUP(B168,'📊 Problem Tracker'!$B$4:$F$1200,5,FALSE()),"")</f>
        <v>0</v>
      </c>
      <c r="I168" s="65"/>
      <c r="J168" s="65" t="s">
        <v>1431</v>
      </c>
      <c r="K168" s="248" t="s">
        <v>654</v>
      </c>
      <c r="L168" s="62" t="s">
        <v>326</v>
      </c>
      <c r="M168" s="177" t="s">
        <v>47</v>
      </c>
      <c r="N168" s="203" t="str">
        <f>HYPERLINK("https://leetcode.com/problems/non-overlapping-intervals/","https://leetcode.com/problems/non-overlapping-intervals/")</f>
        <v>https://leetcode.com/problems/non-overlapping-intervals/</v>
      </c>
    </row>
    <row r="169" spans="1:14" ht="31.5" customHeight="1" x14ac:dyDescent="0.2">
      <c r="A169" s="7">
        <v>165</v>
      </c>
      <c r="B169" s="7">
        <v>437</v>
      </c>
      <c r="C169" s="13" t="s">
        <v>1435</v>
      </c>
      <c r="D169" s="18" t="s">
        <v>28</v>
      </c>
      <c r="E169" s="3" t="s">
        <v>4256</v>
      </c>
      <c r="F169" s="3" t="s">
        <v>4316</v>
      </c>
      <c r="G169" s="7"/>
      <c r="H169" s="7">
        <f>IFERROR(VLOOKUP(B169,'📊 Problem Tracker'!$B$4:$F$1200,5,FALSE()),"")</f>
        <v>0</v>
      </c>
      <c r="I169" s="3"/>
      <c r="J169" s="3" t="s">
        <v>1436</v>
      </c>
      <c r="K169" s="228" t="s">
        <v>571</v>
      </c>
      <c r="L169" s="7" t="s">
        <v>24</v>
      </c>
      <c r="M169" s="176" t="s">
        <v>24</v>
      </c>
      <c r="N169" s="191" t="str">
        <f>HYPERLINK("https://leetcode.com/problems/path-sum-iii/","https://leetcode.com/problems/path-sum-iii/")</f>
        <v>https://leetcode.com/problems/path-sum-iii/</v>
      </c>
    </row>
    <row r="170" spans="1:14" ht="31.5" customHeight="1" x14ac:dyDescent="0.2">
      <c r="A170" s="62">
        <v>166</v>
      </c>
      <c r="B170" s="62">
        <v>438</v>
      </c>
      <c r="C170" s="63" t="s">
        <v>1441</v>
      </c>
      <c r="D170" s="64" t="s">
        <v>28</v>
      </c>
      <c r="E170" s="65" t="s">
        <v>917</v>
      </c>
      <c r="F170" s="65" t="s">
        <v>4244</v>
      </c>
      <c r="G170" s="62"/>
      <c r="H170" s="62">
        <f>IFERROR(VLOOKUP(B170,'📊 Problem Tracker'!$B$4:$F$1200,5,FALSE()),"")</f>
        <v>0</v>
      </c>
      <c r="I170" s="65"/>
      <c r="J170" s="65" t="s">
        <v>427</v>
      </c>
      <c r="K170" s="248" t="s">
        <v>1443</v>
      </c>
      <c r="L170" s="62" t="s">
        <v>24</v>
      </c>
      <c r="M170" s="177" t="s">
        <v>47</v>
      </c>
      <c r="N170" s="203" t="str">
        <f>HYPERLINK("https://leetcode.com/problems/find-all-anagrams-in-a-string/","https://leetcode.com/problems/find-all-anagrams-in-a-string/")</f>
        <v>https://leetcode.com/problems/find-all-anagrams-in-a-string/</v>
      </c>
    </row>
    <row r="171" spans="1:14" ht="31.5" customHeight="1" x14ac:dyDescent="0.2">
      <c r="A171" s="7">
        <v>167</v>
      </c>
      <c r="B171" s="7">
        <v>973</v>
      </c>
      <c r="C171" s="13" t="s">
        <v>2112</v>
      </c>
      <c r="D171" s="18" t="s">
        <v>28</v>
      </c>
      <c r="E171" s="3" t="s">
        <v>4280</v>
      </c>
      <c r="F171" s="3"/>
      <c r="G171" s="7"/>
      <c r="H171" s="7">
        <f>IFERROR(VLOOKUP(B171,'📊 Problem Tracker'!$B$4:$F$1200,5,FALSE()),"")</f>
        <v>0</v>
      </c>
      <c r="I171" s="3"/>
      <c r="J171" s="3" t="s">
        <v>2113</v>
      </c>
      <c r="K171" s="228" t="s">
        <v>2116</v>
      </c>
      <c r="L171" s="7" t="s">
        <v>960</v>
      </c>
      <c r="M171" s="176" t="s">
        <v>153</v>
      </c>
      <c r="N171" s="191" t="str">
        <f>HYPERLINK("https://leetcode.com/problems/k-closest-points-to-origin/","https://leetcode.com/problems/k-closest-points-to-origin/")</f>
        <v>https://leetcode.com/problems/k-closest-points-to-origin/</v>
      </c>
    </row>
    <row r="172" spans="1:14" ht="31.5" customHeight="1" x14ac:dyDescent="0.2">
      <c r="A172" s="62">
        <v>168</v>
      </c>
      <c r="B172" s="62">
        <v>977</v>
      </c>
      <c r="C172" s="63" t="s">
        <v>2122</v>
      </c>
      <c r="D172" s="67" t="s">
        <v>20</v>
      </c>
      <c r="E172" s="65" t="s">
        <v>689</v>
      </c>
      <c r="F172" s="65"/>
      <c r="G172" s="62"/>
      <c r="H172" s="62">
        <f>IFERROR(VLOOKUP(B172,'📊 Problem Tracker'!$B$4:$F$1200,5,FALSE()),"")</f>
        <v>0</v>
      </c>
      <c r="I172" s="65"/>
      <c r="J172" s="65" t="s">
        <v>2050</v>
      </c>
      <c r="K172" s="248" t="s">
        <v>690</v>
      </c>
      <c r="L172" s="62" t="s">
        <v>326</v>
      </c>
      <c r="M172" s="177" t="s">
        <v>24</v>
      </c>
      <c r="N172" s="203" t="str">
        <f>HYPERLINK("https://leetcode.com/problems/squares-of-a-sorted-array/","https://leetcode.com/problems/squares-of-a-sorted-array/")</f>
        <v>https://leetcode.com/problems/squares-of-a-sorted-array/</v>
      </c>
    </row>
    <row r="173" spans="1:14" ht="31.5" customHeight="1" x14ac:dyDescent="0.2">
      <c r="A173" s="7">
        <v>169</v>
      </c>
      <c r="B173" s="7">
        <v>981</v>
      </c>
      <c r="C173" s="13" t="s">
        <v>2132</v>
      </c>
      <c r="D173" s="18" t="s">
        <v>28</v>
      </c>
      <c r="E173" s="3" t="s">
        <v>512</v>
      </c>
      <c r="F173" s="3" t="s">
        <v>4244</v>
      </c>
      <c r="G173" s="7"/>
      <c r="H173" s="7">
        <f>IFERROR(VLOOKUP(B173,'📊 Problem Tracker'!$B$4:$F$1200,5,FALSE()),"")</f>
        <v>0</v>
      </c>
      <c r="I173" s="3"/>
      <c r="J173" s="3" t="s">
        <v>2133</v>
      </c>
      <c r="K173" s="228" t="s">
        <v>513</v>
      </c>
      <c r="L173" s="7" t="s">
        <v>2134</v>
      </c>
      <c r="M173" s="176" t="s">
        <v>24</v>
      </c>
      <c r="N173" s="191" t="str">
        <f>HYPERLINK("https://leetcode.com/problems/time-based-key-value-store/","https://leetcode.com/problems/time-based-key-value-store/")</f>
        <v>https://leetcode.com/problems/time-based-key-value-store/</v>
      </c>
    </row>
  </sheetData>
  <autoFilter ref="A4:N4" xr:uid="{00000000-0001-0000-0A00-000000000000}"/>
  <mergeCells count="2">
    <mergeCell ref="A1:J2"/>
    <mergeCell ref="A3:J3"/>
  </mergeCells>
  <hyperlinks>
    <hyperlink ref="N5" r:id="rId1" display="https://leetcode.com/problems/two-sum/" xr:uid="{00000000-0004-0000-0A00-000000000000}"/>
    <hyperlink ref="N6" r:id="rId2" display="https://leetcode.com/problems/add-two-numbers/" xr:uid="{00000000-0004-0000-0A00-000001000000}"/>
    <hyperlink ref="N7" r:id="rId3" display="https://leetcode.com/problems/longest-substring-without-repeating-characters/" xr:uid="{00000000-0004-0000-0A00-000002000000}"/>
    <hyperlink ref="N8" r:id="rId4" display="https://leetcode.com/problems/median-of-two-sorted-arrays/" xr:uid="{00000000-0004-0000-0A00-000003000000}"/>
    <hyperlink ref="N9" r:id="rId5" display="https://leetcode.com/problems/longest-palindromic-substring/" xr:uid="{00000000-0004-0000-0A00-000004000000}"/>
    <hyperlink ref="N10" r:id="rId6" display="https://leetcode.com/problems/reverse-integer/" xr:uid="{00000000-0004-0000-0A00-000005000000}"/>
    <hyperlink ref="N11" r:id="rId7" display="https://leetcode.com/problems/string-to-integer-atoi/" xr:uid="{00000000-0004-0000-0A00-000006000000}"/>
    <hyperlink ref="N12" r:id="rId8" display="https://leetcode.com/problems/palindrome-number/" xr:uid="{00000000-0004-0000-0A00-000007000000}"/>
    <hyperlink ref="N13" r:id="rId9" display="https://leetcode.com/problems/container-with-most-water/" xr:uid="{00000000-0004-0000-0A00-000008000000}"/>
    <hyperlink ref="N14" r:id="rId10" display="https://leetcode.com/problems/rotting-oranges/" xr:uid="{00000000-0004-0000-0A00-000009000000}"/>
    <hyperlink ref="N15" r:id="rId11" display="https://leetcode.com/problems/roman-to-integer/" xr:uid="{00000000-0004-0000-0A00-00000A000000}"/>
    <hyperlink ref="N16" r:id="rId12" display="https://leetcode.com/problems/longest-common-prefix/" xr:uid="{00000000-0004-0000-0A00-00000B000000}"/>
    <hyperlink ref="N17" r:id="rId13" display="https://leetcode.com/problems/3sum/" xr:uid="{00000000-0004-0000-0A00-00000C000000}"/>
    <hyperlink ref="N18" r:id="rId14" display="https://leetcode.com/problems/3sum-closest/" xr:uid="{00000000-0004-0000-0A00-00000D000000}"/>
    <hyperlink ref="N19" r:id="rId15" display="https://leetcode.com/problems/letter-combinations-of-a-phone-number/" xr:uid="{00000000-0004-0000-0A00-00000E000000}"/>
    <hyperlink ref="N20" r:id="rId16" display="https://leetcode.com/problems/contiguous-array/" xr:uid="{00000000-0004-0000-0A00-00000F000000}"/>
    <hyperlink ref="N21" r:id="rId17" display="https://leetcode.com/problems/remove-nth-node-from-end-of-list/" xr:uid="{00000000-0004-0000-0A00-000010000000}"/>
    <hyperlink ref="N22" r:id="rId18" display="https://leetcode.com/problems/valid-parentheses/" xr:uid="{00000000-0004-0000-0A00-000011000000}"/>
    <hyperlink ref="N23" r:id="rId19" display="https://leetcode.com/problems/merge-two-sorted-lists/" xr:uid="{00000000-0004-0000-0A00-000012000000}"/>
    <hyperlink ref="N24" r:id="rId20" display="https://leetcode.com/problems/generate-parentheses/" xr:uid="{00000000-0004-0000-0A00-000013000000}"/>
    <hyperlink ref="N25" r:id="rId21" display="https://leetcode.com/problems/merge-k-sorted-lists/" xr:uid="{00000000-0004-0000-0A00-000014000000}"/>
    <hyperlink ref="N26" r:id="rId22" display="https://leetcode.com/problems/swap-nodes-in-pairs/" xr:uid="{00000000-0004-0000-0A00-000015000000}"/>
    <hyperlink ref="N27" r:id="rId23" display="https://leetcode.com/problems/reverse-nodes-in-k-group/" xr:uid="{00000000-0004-0000-0A00-000016000000}"/>
    <hyperlink ref="N28" r:id="rId24" display="https://leetcode.com/problems/01-matrix/" xr:uid="{00000000-0004-0000-0A00-000017000000}"/>
    <hyperlink ref="N29" r:id="rId25" display="https://leetcode.com/problems/next-permutation/" xr:uid="{00000000-0004-0000-0A00-000018000000}"/>
    <hyperlink ref="N30" r:id="rId26" display="https://leetcode.com/problems/longest-valid-parentheses/" xr:uid="{00000000-0004-0000-0A00-000019000000}"/>
    <hyperlink ref="N31" r:id="rId27" display="https://leetcode.com/problems/search-in-rotated-sorted-array/" xr:uid="{00000000-0004-0000-0A00-00001A000000}"/>
    <hyperlink ref="N32" r:id="rId28" display="https://leetcode.com/problems/diameter-of-binary-tree/" xr:uid="{00000000-0004-0000-0A00-00001B000000}"/>
    <hyperlink ref="N33" r:id="rId29" display="https://leetcode.com/problems/valid-sudoku/" xr:uid="{00000000-0004-0000-0A00-00001C000000}"/>
    <hyperlink ref="N34" r:id="rId30" display="https://leetcode.com/problems/sudoku-solver/" xr:uid="{00000000-0004-0000-0A00-00001D000000}"/>
    <hyperlink ref="N35" r:id="rId31" display="https://leetcode.com/problems/shortest-path-to-get-food/" xr:uid="{00000000-0004-0000-0A00-00001E000000}"/>
    <hyperlink ref="N36" r:id="rId32" display="https://leetcode.com/problems/combination-sum/" xr:uid="{00000000-0004-0000-0A00-00001F000000}"/>
    <hyperlink ref="N37" r:id="rId33" display="https://leetcode.com/problems/first-missing-positive/" xr:uid="{00000000-0004-0000-0A00-000020000000}"/>
    <hyperlink ref="N38" r:id="rId34" display="https://leetcode.com/problems/trapping-rain-water/" xr:uid="{00000000-0004-0000-0A00-000021000000}"/>
    <hyperlink ref="N39" r:id="rId35" display="https://leetcode.com/problems/permutations/" xr:uid="{00000000-0004-0000-0A00-000022000000}"/>
    <hyperlink ref="N40" r:id="rId36" display="https://leetcode.com/problems/rotate-image/" xr:uid="{00000000-0004-0000-0A00-000023000000}"/>
    <hyperlink ref="N41" r:id="rId37" display="https://leetcode.com/problems/group-anagrams/" xr:uid="{00000000-0004-0000-0A00-000024000000}"/>
    <hyperlink ref="N42" r:id="rId38" display="https://leetcode.com/problems/powx-n/" xr:uid="{00000000-0004-0000-0A00-000025000000}"/>
    <hyperlink ref="N43" r:id="rId39" display="https://leetcode.com/problems/n-queens/" xr:uid="{00000000-0004-0000-0A00-000026000000}"/>
    <hyperlink ref="N44" r:id="rId40" display="https://leetcode.com/problems/subarray-sum-equals-k/" xr:uid="{00000000-0004-0000-0A00-000027000000}"/>
    <hyperlink ref="N45" r:id="rId41" display="https://leetcode.com/problems/maximum-subarray/" xr:uid="{00000000-0004-0000-0A00-000028000000}"/>
    <hyperlink ref="N46" r:id="rId42" display="https://leetcode.com/problems/spiral-matrix/" xr:uid="{00000000-0004-0000-0A00-000029000000}"/>
    <hyperlink ref="N47" r:id="rId43" display="https://leetcode.com/problems/jump-game/" xr:uid="{00000000-0004-0000-0A00-00002A000000}"/>
    <hyperlink ref="N48" r:id="rId44" display="https://leetcode.com/problems/merge-intervals/" xr:uid="{00000000-0004-0000-0A00-00002B000000}"/>
    <hyperlink ref="N49" r:id="rId45" display="https://leetcode.com/problems/insert-interval/" xr:uid="{00000000-0004-0000-0A00-00002C000000}"/>
    <hyperlink ref="N50" r:id="rId46" display="https://leetcode.com/problems/subtree-of-another-tree/" xr:uid="{00000000-0004-0000-0A00-00002D000000}"/>
    <hyperlink ref="N51" r:id="rId47" display="https://leetcode.com/problems/rotate-list/" xr:uid="{00000000-0004-0000-0A00-00002E000000}"/>
    <hyperlink ref="N52" r:id="rId48" display="https://leetcode.com/problems/unique-paths/" xr:uid="{00000000-0004-0000-0A00-00002F000000}"/>
    <hyperlink ref="N53" r:id="rId49" display="https://leetcode.com/problems/add-binary/" xr:uid="{00000000-0004-0000-0A00-000030000000}"/>
    <hyperlink ref="N54" r:id="rId50" display="https://leetcode.com/problems/climbing-stairs/" xr:uid="{00000000-0004-0000-0A00-000031000000}"/>
    <hyperlink ref="N55" r:id="rId51" display="https://leetcode.com/problems/set-matrix-zeroes/" xr:uid="{00000000-0004-0000-0A00-000032000000}"/>
    <hyperlink ref="N56" r:id="rId52" display="https://leetcode.com/problems/search-a-2d-matrix/" xr:uid="{00000000-0004-0000-0A00-000033000000}"/>
    <hyperlink ref="N57" r:id="rId53" display="https://leetcode.com/problems/sort-colors/" xr:uid="{00000000-0004-0000-0A00-000034000000}"/>
    <hyperlink ref="N58" r:id="rId54" display="https://leetcode.com/problems/minimum-window-substring/" xr:uid="{00000000-0004-0000-0A00-000035000000}"/>
    <hyperlink ref="N59" r:id="rId55" display="https://leetcode.com/problems/design-in-memory-file-system/" xr:uid="{00000000-0004-0000-0A00-000036000000}"/>
    <hyperlink ref="N60" r:id="rId56" display="https://leetcode.com/problems/subsets/" xr:uid="{00000000-0004-0000-0A00-000037000000}"/>
    <hyperlink ref="N61" r:id="rId57" display="https://leetcode.com/problems/word-search/" xr:uid="{00000000-0004-0000-0A00-000038000000}"/>
    <hyperlink ref="N62" r:id="rId58" display="https://leetcode.com/problems/largest-rectangle-in-histogram/" xr:uid="{00000000-0004-0000-0A00-000039000000}"/>
    <hyperlink ref="N63" r:id="rId59" display="https://leetcode.com/problems/decode-ways/" xr:uid="{00000000-0004-0000-0A00-00003A000000}"/>
    <hyperlink ref="N64" r:id="rId60" display="https://leetcode.com/problems/validate-binary-search-tree/" xr:uid="{00000000-0004-0000-0A00-00003B000000}"/>
    <hyperlink ref="N65" r:id="rId61" display="https://leetcode.com/problems/same-tree/" xr:uid="{00000000-0004-0000-0A00-00003C000000}"/>
    <hyperlink ref="N66" r:id="rId62" display="https://leetcode.com/problems/symmetric-tree/" xr:uid="{00000000-0004-0000-0A00-00003D000000}"/>
    <hyperlink ref="N67" r:id="rId63" display="https://leetcode.com/problems/binary-tree-level-order-traversal/" xr:uid="{00000000-0004-0000-0A00-00003E000000}"/>
    <hyperlink ref="N68" r:id="rId64" display="https://leetcode.com/problems/binary-tree-zigzag-level-order-traversal/" xr:uid="{00000000-0004-0000-0A00-00003F000000}"/>
    <hyperlink ref="N69" r:id="rId65" display="https://leetcode.com/problems/maximum-depth-of-binary-tree/" xr:uid="{00000000-0004-0000-0A00-000040000000}"/>
    <hyperlink ref="N70" r:id="rId66" display="https://leetcode.com/problems/construct-binary-tree-from-preorder-and-inorder-traversal/" xr:uid="{00000000-0004-0000-0A00-000041000000}"/>
    <hyperlink ref="N71" r:id="rId67" display="https://leetcode.com/problems/convert-sorted-array-to-binary-search-tree/" xr:uid="{00000000-0004-0000-0A00-000042000000}"/>
    <hyperlink ref="N72" r:id="rId68" display="https://leetcode.com/problems/task-scheduler/" xr:uid="{00000000-0004-0000-0A00-000043000000}"/>
    <hyperlink ref="N73" r:id="rId69" display="https://leetcode.com/problems/balanced-binary-tree/" xr:uid="{00000000-0004-0000-0A00-000044000000}"/>
    <hyperlink ref="N74" r:id="rId70" display="https://leetcode.com/problems/path-sum-ii/" xr:uid="{00000000-0004-0000-0A00-000045000000}"/>
    <hyperlink ref="N75" r:id="rId71" display="https://leetcode.com/problems/minimum-knight-moves/" xr:uid="{00000000-0004-0000-0A00-000046000000}"/>
    <hyperlink ref="N76" r:id="rId72" display="https://leetcode.com/problems/smallest-range-covering-elements-from-k-lists/" xr:uid="{00000000-0004-0000-0A00-000047000000}"/>
    <hyperlink ref="N77" r:id="rId73" display="https://leetcode.com/problems/best-time-to-buy-and-sell-stock/" xr:uid="{00000000-0004-0000-0A00-000048000000}"/>
    <hyperlink ref="N78" r:id="rId74" display="https://leetcode.com/problems/binary-tree-maximum-path-sum/" xr:uid="{00000000-0004-0000-0A00-000049000000}"/>
    <hyperlink ref="N79" r:id="rId75" display="https://leetcode.com/problems/valid-palindrome/" xr:uid="{00000000-0004-0000-0A00-00004A000000}"/>
    <hyperlink ref="N80" r:id="rId76" display="https://leetcode.com/problems/word-ladder/" xr:uid="{00000000-0004-0000-0A00-00004B000000}"/>
    <hyperlink ref="N81" r:id="rId77" display="https://leetcode.com/problems/longest-consecutive-sequence/" xr:uid="{00000000-0004-0000-0A00-00004C000000}"/>
    <hyperlink ref="N82" r:id="rId78" display="https://leetcode.com/problems/clone-graph/" xr:uid="{00000000-0004-0000-0A00-00004D000000}"/>
    <hyperlink ref="N83" r:id="rId79" display="https://leetcode.com/problems/gas-station/" xr:uid="{00000000-0004-0000-0A00-00004E000000}"/>
    <hyperlink ref="N84" r:id="rId80" display="https://leetcode.com/problems/single-number/" xr:uid="{00000000-0004-0000-0A00-00004F000000}"/>
    <hyperlink ref="N85" r:id="rId81" display="https://leetcode.com/problems/word-break/" xr:uid="{00000000-0004-0000-0A00-000050000000}"/>
    <hyperlink ref="N86" r:id="rId82" display="https://leetcode.com/problems/linked-list-cycle/" xr:uid="{00000000-0004-0000-0A00-000051000000}"/>
    <hyperlink ref="N87" r:id="rId83" display="https://leetcode.com/problems/reorder-list/" xr:uid="{00000000-0004-0000-0A00-000052000000}"/>
    <hyperlink ref="N88" r:id="rId84" display="https://leetcode.com/problems/lru-cache/" xr:uid="{00000000-0004-0000-0A00-000053000000}"/>
    <hyperlink ref="N89" r:id="rId85" display="https://leetcode.com/problems/find-k-closest-elements/" xr:uid="{00000000-0004-0000-0A00-000054000000}"/>
    <hyperlink ref="N90" r:id="rId86" display="https://leetcode.com/problems/sort-list/" xr:uid="{00000000-0004-0000-0A00-000055000000}"/>
    <hyperlink ref="N91" r:id="rId87" display="https://leetcode.com/problems/evaluate-reverse-polish-notation/" xr:uid="{00000000-0004-0000-0A00-000056000000}"/>
    <hyperlink ref="N92" r:id="rId88" display="https://leetcode.com/problems/maximum-width-of-binary-tree/" xr:uid="{00000000-0004-0000-0A00-000057000000}"/>
    <hyperlink ref="N93" r:id="rId89" display="https://leetcode.com/problems/maximum-product-subarray/" xr:uid="{00000000-0004-0000-0A00-000058000000}"/>
    <hyperlink ref="N94" r:id="rId90" display="https://leetcode.com/problems/find-minimum-in-rotated-sorted-array/" xr:uid="{00000000-0004-0000-0A00-000059000000}"/>
    <hyperlink ref="N95" r:id="rId91" display="https://leetcode.com/problems/min-stack/" xr:uid="{00000000-0004-0000-0A00-00005A000000}"/>
    <hyperlink ref="N96" r:id="rId92" display="https://leetcode.com/problems/majority-element/" xr:uid="{00000000-0004-0000-0A00-00005B000000}"/>
    <hyperlink ref="N97" r:id="rId93" display="https://leetcode.com/problems/largest-number/" xr:uid="{00000000-0004-0000-0A00-00005C000000}"/>
    <hyperlink ref="N98" r:id="rId94" display="https://leetcode.com/problems/top-k-frequent-words/" xr:uid="{00000000-0004-0000-0A00-00005D000000}"/>
    <hyperlink ref="N99" r:id="rId95" display="https://leetcode.com/problems/rotate-array/" xr:uid="{00000000-0004-0000-0A00-00005E000000}"/>
    <hyperlink ref="N100" r:id="rId96" display="https://leetcode.com/problems/reverse-bits/" xr:uid="{00000000-0004-0000-0A00-00005F000000}"/>
    <hyperlink ref="N101" r:id="rId97" display="https://leetcode.com/problems/number-of-1-bits/" xr:uid="{00000000-0004-0000-0A00-000060000000}"/>
    <hyperlink ref="N102" r:id="rId98" display="https://leetcode.com/problems/house-robber/" xr:uid="{00000000-0004-0000-0A00-000061000000}"/>
    <hyperlink ref="N103" r:id="rId99" display="https://leetcode.com/problems/binary-tree-right-side-view/" xr:uid="{00000000-0004-0000-0A00-000062000000}"/>
    <hyperlink ref="N104" r:id="rId100" display="https://leetcode.com/problems/number-of-islands/" xr:uid="{00000000-0004-0000-0A00-000063000000}"/>
    <hyperlink ref="N105" r:id="rId101" display="https://leetcode.com/problems/reverse-linked-list/" xr:uid="{00000000-0004-0000-0A00-000064000000}"/>
    <hyperlink ref="N106" r:id="rId102" display="https://leetcode.com/problems/course-schedule/" xr:uid="{00000000-0004-0000-0A00-000065000000}"/>
    <hyperlink ref="N107" r:id="rId103" display="https://leetcode.com/problems/implement-trie-prefix-tree/" xr:uid="{00000000-0004-0000-0A00-000066000000}"/>
    <hyperlink ref="N108" r:id="rId104" display="https://leetcode.com/problems/accounts-merge/" xr:uid="{00000000-0004-0000-0A00-000067000000}"/>
    <hyperlink ref="N109" r:id="rId105" display="https://leetcode.com/problems/course-schedule-ii/" xr:uid="{00000000-0004-0000-0A00-000068000000}"/>
    <hyperlink ref="N110" r:id="rId106" display="https://leetcode.com/problems/add-and-search-word-data-structure-design/" xr:uid="{00000000-0004-0000-0A00-000069000000}"/>
    <hyperlink ref="N111" r:id="rId107" display="https://leetcode.com/problems/word-search-ii/" xr:uid="{00000000-0004-0000-0A00-00006A000000}"/>
    <hyperlink ref="N112" r:id="rId108" display="https://leetcode.com/problems/kth-largest-element-in-an-array/" xr:uid="{00000000-0004-0000-0A00-00006B000000}"/>
    <hyperlink ref="N113" r:id="rId109" display="https://leetcode.com/problems/contains-duplicate/" xr:uid="{00000000-0004-0000-0A00-00006C000000}"/>
    <hyperlink ref="N114" r:id="rId110" display="https://leetcode.com/problems/maximal-square/" xr:uid="{00000000-0004-0000-0A00-00006D000000}"/>
    <hyperlink ref="N115" r:id="rId111" display="https://leetcode.com/problems/flood-fill/" xr:uid="{00000000-0004-0000-0A00-00006E000000}"/>
    <hyperlink ref="N116" r:id="rId112" display="https://leetcode.com/problems/asteroid-collision/" xr:uid="{00000000-0004-0000-0A00-00006F000000}"/>
    <hyperlink ref="N117" r:id="rId113" display="https://leetcode.com/problems/basic-calculator/" xr:uid="{00000000-0004-0000-0A00-000070000000}"/>
    <hyperlink ref="N118" r:id="rId114" display="https://leetcode.com/problems/invert-binary-tree/" xr:uid="{00000000-0004-0000-0A00-000071000000}"/>
    <hyperlink ref="N119" r:id="rId115" display="https://leetcode.com/problems/basic-calculator-ii/" xr:uid="{00000000-0004-0000-0A00-000072000000}"/>
    <hyperlink ref="N120" r:id="rId116" display="https://leetcode.com/problems/daily-temperatures/" xr:uid="{00000000-0004-0000-0A00-000073000000}"/>
    <hyperlink ref="N121" r:id="rId117" display="https://leetcode.com/problems/kth-smallest-element-in-a-bst/" xr:uid="{00000000-0004-0000-0A00-000074000000}"/>
    <hyperlink ref="N122" r:id="rId118" display="https://leetcode.com/problems/implement-queue-using-stacks/" xr:uid="{00000000-0004-0000-0A00-000075000000}"/>
    <hyperlink ref="N123" r:id="rId119" display="https://leetcode.com/problems/palindrome-linked-list/" xr:uid="{00000000-0004-0000-0A00-000076000000}"/>
    <hyperlink ref="N124" r:id="rId120" display="https://leetcode.com/problems/lowest-common-ancestor-of-a-binary-search-tree/" xr:uid="{00000000-0004-0000-0A00-000077000000}"/>
    <hyperlink ref="N125" r:id="rId121" display="https://leetcode.com/problems/lowest-common-ancestor-of-a-binary-tree/" xr:uid="{00000000-0004-0000-0A00-000078000000}"/>
    <hyperlink ref="N126" r:id="rId122" display="https://leetcode.com/problems/product-of-array-except-self/" xr:uid="{00000000-0004-0000-0A00-000079000000}"/>
    <hyperlink ref="N127" r:id="rId123" display="https://leetcode.com/problems/sliding-window-maximum/" xr:uid="{00000000-0004-0000-0A00-00007A000000}"/>
    <hyperlink ref="N128" r:id="rId124" display="https://leetcode.com/problems/valid-anagram/" xr:uid="{00000000-0004-0000-0A00-00007B000000}"/>
    <hyperlink ref="N129" r:id="rId125" display="https://leetcode.com/problems/employee-free-time/" xr:uid="{00000000-0004-0000-0A00-00007C000000}"/>
    <hyperlink ref="N130" r:id="rId126" display="https://leetcode.com/problems/meeting-rooms/" xr:uid="{00000000-0004-0000-0A00-00007D000000}"/>
    <hyperlink ref="N131" r:id="rId127" display="https://leetcode.com/problems/meeting-rooms-ii/" xr:uid="{00000000-0004-0000-0A00-00007E000000}"/>
    <hyperlink ref="N132" r:id="rId128" display="https://leetcode.com/problems/graph-valid-tree/" xr:uid="{00000000-0004-0000-0A00-00007F000000}"/>
    <hyperlink ref="N133" r:id="rId129" display="https://leetcode.com/problems/missing-number/" xr:uid="{00000000-0004-0000-0A00-000080000000}"/>
    <hyperlink ref="N134" r:id="rId130" display="https://leetcode.com/problems/alien-dictionary/" xr:uid="{00000000-0004-0000-0A00-000081000000}"/>
    <hyperlink ref="N135" r:id="rId131" display="https://leetcode.com/problems/encode-and-decode-strings/" xr:uid="{00000000-0004-0000-0A00-000082000000}"/>
    <hyperlink ref="N136" r:id="rId132" display="https://leetcode.com/problems/first-bad-version/" xr:uid="{00000000-0004-0000-0A00-000083000000}"/>
    <hyperlink ref="N137" r:id="rId133" display="https://leetcode.com/problems/binary-search/" xr:uid="{00000000-0004-0000-0A00-000084000000}"/>
    <hyperlink ref="N138" r:id="rId134" display="https://leetcode.com/problems/move-zeroes/" xr:uid="{00000000-0004-0000-0A00-000085000000}"/>
    <hyperlink ref="N139" r:id="rId135" display="https://leetcode.com/problems/inorder-successor-in-bst/" xr:uid="{00000000-0004-0000-0A00-000086000000}"/>
    <hyperlink ref="N140" r:id="rId136" display="https://leetcode.com/problems/find-the-duplicate-number/" xr:uid="{00000000-0004-0000-0A00-000087000000}"/>
    <hyperlink ref="N141" r:id="rId137" display="https://leetcode.com/problems/cheapest-flights-within-k-stops/" xr:uid="{00000000-0004-0000-0A00-000088000000}"/>
    <hyperlink ref="N142" r:id="rId138" display="https://leetcode.com/problems/find-median-from-data-stream/" xr:uid="{00000000-0004-0000-0A00-000089000000}"/>
    <hyperlink ref="N143" r:id="rId139" display="https://leetcode.com/problems/serialize-and-deserialize-binary-tree/" xr:uid="{00000000-0004-0000-0A00-00008A000000}"/>
    <hyperlink ref="N144" r:id="rId140" display="https://leetcode.com/problems/longest-increasing-subsequence/" xr:uid="{00000000-0004-0000-0A00-00008B000000}"/>
    <hyperlink ref="N145" r:id="rId141" display="https://leetcode.com/problems/minimum-height-trees/" xr:uid="{00000000-0004-0000-0A00-00008C000000}"/>
    <hyperlink ref="N146" r:id="rId142" display="https://leetcode.com/problems/bus-routes/" xr:uid="{00000000-0004-0000-0A00-00008D000000}"/>
    <hyperlink ref="N147" r:id="rId143" display="https://leetcode.com/problems/coin-change/" xr:uid="{00000000-0004-0000-0A00-00008E000000}"/>
    <hyperlink ref="N148" r:id="rId144" display="https://leetcode.com/problems/number-of-connected-components-in-an-undirected-graph/" xr:uid="{00000000-0004-0000-0A00-00008F000000}"/>
    <hyperlink ref="N149" r:id="rId145" display="https://leetcode.com/problems/odd-even-linked-list/" xr:uid="{00000000-0004-0000-0A00-000090000000}"/>
    <hyperlink ref="N150" r:id="rId146" display="https://leetcode.com/problems/longest-increasing-path-in-a-matrix/" xr:uid="{00000000-0004-0000-0A00-000091000000}"/>
    <hyperlink ref="N151" r:id="rId147" display="https://leetcode.com/problems/maximum-profit-in-job-scheduling/" xr:uid="{00000000-0004-0000-0A00-000092000000}"/>
    <hyperlink ref="N152" r:id="rId148" display="https://leetcode.com/problems/palindrome-pairs/" xr:uid="{00000000-0004-0000-0A00-000093000000}"/>
    <hyperlink ref="N153" r:id="rId149" display="https://leetcode.com/problems/counting-bits/" xr:uid="{00000000-0004-0000-0A00-000094000000}"/>
    <hyperlink ref="N154" r:id="rId150" display="https://leetcode.com/problems/design-hit-counter/" xr:uid="{00000000-0004-0000-0A00-000095000000}"/>
    <hyperlink ref="N155" r:id="rId151" display="https://leetcode.com/problems/backspace-string-compare/" xr:uid="{00000000-0004-0000-0A00-000096000000}"/>
    <hyperlink ref="N156" r:id="rId152" display="https://leetcode.com/problems/combination-sum-iv/" xr:uid="{00000000-0004-0000-0A00-000097000000}"/>
    <hyperlink ref="N157" r:id="rId153" display="https://leetcode.com/problems/insert-delete-getrandom-o1/" xr:uid="{00000000-0004-0000-0A00-000098000000}"/>
    <hyperlink ref="N158" r:id="rId154" display="https://leetcode.com/problems/all-nodes-distance-k-in-binary-tree/" xr:uid="{00000000-0004-0000-0A00-000099000000}"/>
    <hyperlink ref="N159" r:id="rId155" display="https://leetcode.com/problems/ransom-note/" xr:uid="{00000000-0004-0000-0A00-00009A000000}"/>
    <hyperlink ref="N160" r:id="rId156" display="https://leetcode.com/problems/decode-string/" xr:uid="{00000000-0004-0000-0A00-00009B000000}"/>
    <hyperlink ref="N161" r:id="rId157" display="https://leetcode.com/problems/middle-of-the-linked-list/" xr:uid="{00000000-0004-0000-0A00-00009C000000}"/>
    <hyperlink ref="N162" r:id="rId158" display="https://leetcode.com/problems/random-pick-with-weight/" xr:uid="{00000000-0004-0000-0A00-00009D000000}"/>
    <hyperlink ref="N163" r:id="rId159" display="https://leetcode.com/problems/longest-palindrome/" xr:uid="{00000000-0004-0000-0A00-00009E000000}"/>
    <hyperlink ref="N164" r:id="rId160" display="https://leetcode.com/problems/partition-equal-subset-sum/" xr:uid="{00000000-0004-0000-0A00-00009F000000}"/>
    <hyperlink ref="N165" r:id="rId161" display="https://leetcode.com/problems/pacific-atlantic-water-flow/" xr:uid="{00000000-0004-0000-0A00-0000A0000000}"/>
    <hyperlink ref="N166" r:id="rId162" display="https://leetcode.com/problems/maximum-frequency-stack/" xr:uid="{00000000-0004-0000-0A00-0000A1000000}"/>
    <hyperlink ref="N167" r:id="rId163" display="https://leetcode.com/problems/longest-repeating-character-replacement/" xr:uid="{00000000-0004-0000-0A00-0000A2000000}"/>
    <hyperlink ref="N168" r:id="rId164" display="https://leetcode.com/problems/non-overlapping-intervals/" xr:uid="{00000000-0004-0000-0A00-0000A3000000}"/>
    <hyperlink ref="N169" r:id="rId165" display="https://leetcode.com/problems/path-sum-iii/" xr:uid="{00000000-0004-0000-0A00-0000A4000000}"/>
    <hyperlink ref="N170" r:id="rId166" display="https://leetcode.com/problems/find-all-anagrams-in-a-string/" xr:uid="{00000000-0004-0000-0A00-0000A5000000}"/>
    <hyperlink ref="N171" r:id="rId167" display="https://leetcode.com/problems/k-closest-points-to-origin/" xr:uid="{00000000-0004-0000-0A00-0000A6000000}"/>
    <hyperlink ref="N172" r:id="rId168" display="https://leetcode.com/problems/squares-of-a-sorted-array/" xr:uid="{00000000-0004-0000-0A00-0000A7000000}"/>
    <hyperlink ref="N173" r:id="rId169" display="https://leetcode.com/problems/time-based-key-value-store/" xr:uid="{00000000-0004-0000-0A00-0000A8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79"/>
  <sheetViews>
    <sheetView showGridLines="0" topLeftCell="K1" zoomScaleNormal="100" workbookViewId="0">
      <pane ySplit="4" topLeftCell="A67" activePane="bottomLeft" state="frozen"/>
      <selection pane="bottomLeft" activeCell="A5" sqref="A5"/>
    </sheetView>
  </sheetViews>
  <sheetFormatPr baseColWidth="10" defaultColWidth="8.6640625" defaultRowHeight="15" x14ac:dyDescent="0.2"/>
  <cols>
    <col min="1" max="1" width="4" customWidth="1"/>
    <col min="2" max="2" width="7" customWidth="1"/>
    <col min="3" max="3" width="38" customWidth="1"/>
    <col min="4" max="4" width="10" customWidth="1"/>
    <col min="5" max="6" width="28" customWidth="1"/>
    <col min="7" max="7" width="12" customWidth="1"/>
    <col min="8" max="8" width="14" customWidth="1"/>
    <col min="9" max="9" width="30" customWidth="1"/>
    <col min="10" max="10" width="40" customWidth="1"/>
    <col min="11" max="11" width="52" style="52" customWidth="1"/>
    <col min="12" max="12" width="26.6640625" customWidth="1"/>
    <col min="13" max="13" width="31.33203125" customWidth="1"/>
    <col min="14" max="14" width="80" customWidth="1"/>
  </cols>
  <sheetData>
    <row r="1" spans="1:14" ht="27.75" customHeight="1" x14ac:dyDescent="0.2">
      <c r="A1" s="333" t="s">
        <v>4317</v>
      </c>
      <c r="B1" s="292"/>
      <c r="C1" s="292"/>
      <c r="D1" s="292"/>
      <c r="E1" s="292"/>
      <c r="F1" s="292"/>
      <c r="G1" s="292"/>
      <c r="H1" s="292"/>
      <c r="I1" s="292"/>
    </row>
    <row r="2" spans="1:14" ht="4.5" customHeight="1" x14ac:dyDescent="0.2">
      <c r="A2" s="292"/>
      <c r="B2" s="292"/>
      <c r="C2" s="292"/>
      <c r="D2" s="292"/>
      <c r="E2" s="292"/>
      <c r="F2" s="292"/>
      <c r="G2" s="292"/>
      <c r="H2" s="292"/>
      <c r="I2" s="292"/>
    </row>
    <row r="3" spans="1:14" ht="15.75" customHeight="1" x14ac:dyDescent="0.2">
      <c r="A3" s="331" t="s">
        <v>5123</v>
      </c>
      <c r="B3" s="292"/>
      <c r="C3" s="292"/>
      <c r="D3" s="292"/>
      <c r="E3" s="292"/>
      <c r="F3" s="292"/>
      <c r="G3" s="292"/>
      <c r="H3" s="292"/>
      <c r="I3" s="292"/>
    </row>
    <row r="4" spans="1:14" ht="31.5" customHeight="1" x14ac:dyDescent="0.2">
      <c r="A4" s="68" t="s">
        <v>1</v>
      </c>
      <c r="B4" s="68" t="s">
        <v>2</v>
      </c>
      <c r="C4" s="68" t="s">
        <v>3</v>
      </c>
      <c r="D4" s="68" t="s">
        <v>5</v>
      </c>
      <c r="E4" s="68" t="s">
        <v>4242</v>
      </c>
      <c r="F4" s="68" t="s">
        <v>4243</v>
      </c>
      <c r="G4" s="68" t="s">
        <v>3842</v>
      </c>
      <c r="H4" s="68" t="s">
        <v>4120</v>
      </c>
      <c r="I4" s="68" t="s">
        <v>13</v>
      </c>
      <c r="J4" s="68" t="s">
        <v>4122</v>
      </c>
      <c r="K4" s="249" t="s">
        <v>14</v>
      </c>
      <c r="L4" s="68" t="s">
        <v>15</v>
      </c>
      <c r="M4" s="68" t="s">
        <v>16</v>
      </c>
      <c r="N4" s="217" t="s">
        <v>17</v>
      </c>
    </row>
    <row r="5" spans="1:14" ht="31.5" customHeight="1" x14ac:dyDescent="0.2">
      <c r="A5" s="7">
        <v>1</v>
      </c>
      <c r="B5" s="7">
        <v>1</v>
      </c>
      <c r="C5" s="13" t="s">
        <v>18</v>
      </c>
      <c r="D5" s="21" t="s">
        <v>20</v>
      </c>
      <c r="E5" s="3" t="s">
        <v>4244</v>
      </c>
      <c r="F5" s="3"/>
      <c r="G5" s="7"/>
      <c r="H5" s="7">
        <f>IFERROR(VLOOKUP(B5,'📊 Problem Tracker'!$B$4:$F$1200,5,FALSE()),"")</f>
        <v>0</v>
      </c>
      <c r="I5" s="3"/>
      <c r="J5" s="3" t="s">
        <v>19</v>
      </c>
      <c r="K5" s="228" t="s">
        <v>23</v>
      </c>
      <c r="L5" s="7" t="s">
        <v>24</v>
      </c>
      <c r="M5" s="176" t="s">
        <v>24</v>
      </c>
      <c r="N5" s="191" t="str">
        <f>HYPERLINK("https://leetcode.com/problems/two-sum/","https://leetcode.com/problems/two-sum/")</f>
        <v>https://leetcode.com/problems/two-sum/</v>
      </c>
    </row>
    <row r="6" spans="1:14" ht="31.5" customHeight="1" x14ac:dyDescent="0.2">
      <c r="A6" s="69">
        <v>2</v>
      </c>
      <c r="B6" s="69">
        <v>3</v>
      </c>
      <c r="C6" s="70" t="s">
        <v>34</v>
      </c>
      <c r="D6" s="71" t="s">
        <v>28</v>
      </c>
      <c r="E6" s="72" t="s">
        <v>917</v>
      </c>
      <c r="F6" s="72" t="s">
        <v>4244</v>
      </c>
      <c r="G6" s="69"/>
      <c r="H6" s="69">
        <f>IFERROR(VLOOKUP(B6,'📊 Problem Tracker'!$B$4:$F$1200,5,FALSE()),"")</f>
        <v>0</v>
      </c>
      <c r="I6" s="72"/>
      <c r="J6" s="72" t="s">
        <v>427</v>
      </c>
      <c r="K6" s="250" t="s">
        <v>37</v>
      </c>
      <c r="L6" s="69" t="s">
        <v>24</v>
      </c>
      <c r="M6" s="178" t="s">
        <v>38</v>
      </c>
      <c r="N6" s="204" t="str">
        <f>HYPERLINK("https://leetcode.com/problems/longest-substring-without-repeating-characters/","https://leetcode.com/problems/longest-substring-without-repeating-characters/")</f>
        <v>https://leetcode.com/problems/longest-substring-without-repeating-characters/</v>
      </c>
    </row>
    <row r="7" spans="1:14" ht="31.5" customHeight="1" x14ac:dyDescent="0.2">
      <c r="A7" s="7">
        <v>3</v>
      </c>
      <c r="B7" s="7">
        <v>5</v>
      </c>
      <c r="C7" s="13" t="s">
        <v>49</v>
      </c>
      <c r="D7" s="18" t="s">
        <v>28</v>
      </c>
      <c r="E7" s="3" t="s">
        <v>4245</v>
      </c>
      <c r="F7" s="3"/>
      <c r="G7" s="7"/>
      <c r="H7" s="7">
        <f>IFERROR(VLOOKUP(B7,'📊 Problem Tracker'!$B$4:$F$1200,5,FALSE()),"")</f>
        <v>0</v>
      </c>
      <c r="I7" s="3"/>
      <c r="J7" s="3" t="s">
        <v>50</v>
      </c>
      <c r="K7" s="228" t="s">
        <v>52</v>
      </c>
      <c r="L7" s="7" t="s">
        <v>53</v>
      </c>
      <c r="M7" s="176" t="s">
        <v>47</v>
      </c>
      <c r="N7" s="191" t="str">
        <f>HYPERLINK("https://leetcode.com/problems/longest-palindromic-substring/","https://leetcode.com/problems/longest-palindromic-substring/")</f>
        <v>https://leetcode.com/problems/longest-palindromic-substring/</v>
      </c>
    </row>
    <row r="8" spans="1:14" ht="31.5" customHeight="1" x14ac:dyDescent="0.2">
      <c r="A8" s="69">
        <v>4</v>
      </c>
      <c r="B8" s="69">
        <v>133</v>
      </c>
      <c r="C8" s="70" t="s">
        <v>645</v>
      </c>
      <c r="D8" s="71" t="s">
        <v>28</v>
      </c>
      <c r="E8" s="72" t="s">
        <v>4274</v>
      </c>
      <c r="F8" s="72" t="s">
        <v>4244</v>
      </c>
      <c r="G8" s="69"/>
      <c r="H8" s="69">
        <f>IFERROR(VLOOKUP(B8,'📊 Problem Tracker'!$B$4:$F$1200,5,FALSE()),"")</f>
        <v>0</v>
      </c>
      <c r="I8" s="72"/>
      <c r="J8" s="72" t="s">
        <v>646</v>
      </c>
      <c r="K8" s="250" t="s">
        <v>619</v>
      </c>
      <c r="L8" s="69" t="s">
        <v>648</v>
      </c>
      <c r="M8" s="178" t="s">
        <v>649</v>
      </c>
      <c r="N8" s="204" t="str">
        <f>HYPERLINK("https://leetcode.com/problems/clone-graph/","https://leetcode.com/problems/clone-graph/")</f>
        <v>https://leetcode.com/problems/clone-graph/</v>
      </c>
    </row>
    <row r="9" spans="1:14" ht="31.5" customHeight="1" x14ac:dyDescent="0.2">
      <c r="A9" s="7">
        <v>5</v>
      </c>
      <c r="B9" s="7">
        <v>383</v>
      </c>
      <c r="C9" s="13" t="s">
        <v>1337</v>
      </c>
      <c r="D9" s="21" t="s">
        <v>20</v>
      </c>
      <c r="E9" s="3" t="s">
        <v>4244</v>
      </c>
      <c r="F9" s="3"/>
      <c r="G9" s="7"/>
      <c r="H9" s="7">
        <f>IFERROR(VLOOKUP(B9,'📊 Problem Tracker'!$B$4:$F$1200,5,FALSE()),"")</f>
        <v>0</v>
      </c>
      <c r="I9" s="3"/>
      <c r="J9" s="3" t="s">
        <v>897</v>
      </c>
      <c r="K9" s="228" t="s">
        <v>1340</v>
      </c>
      <c r="L9" s="7" t="s">
        <v>259</v>
      </c>
      <c r="M9" s="176" t="s">
        <v>47</v>
      </c>
      <c r="N9" s="191" t="str">
        <f>HYPERLINK("https://leetcode.com/problems/ransom-note/","https://leetcode.com/problems/ransom-note/")</f>
        <v>https://leetcode.com/problems/ransom-note/</v>
      </c>
    </row>
    <row r="10" spans="1:14" ht="31.5" customHeight="1" x14ac:dyDescent="0.2">
      <c r="A10" s="69">
        <v>6</v>
      </c>
      <c r="B10" s="69">
        <v>8</v>
      </c>
      <c r="C10" s="70" t="s">
        <v>67</v>
      </c>
      <c r="D10" s="71" t="s">
        <v>28</v>
      </c>
      <c r="E10" s="72" t="s">
        <v>4246</v>
      </c>
      <c r="F10" s="72"/>
      <c r="G10" s="69"/>
      <c r="H10" s="69">
        <f>IFERROR(VLOOKUP(B10,'📊 Problem Tracker'!$B$4:$F$1200,5,FALSE()),"")</f>
        <v>0</v>
      </c>
      <c r="I10" s="72"/>
      <c r="J10" s="72" t="s">
        <v>56</v>
      </c>
      <c r="K10" s="250" t="s">
        <v>70</v>
      </c>
      <c r="L10" s="69" t="s">
        <v>24</v>
      </c>
      <c r="M10" s="178" t="s">
        <v>47</v>
      </c>
      <c r="N10" s="204" t="str">
        <f>HYPERLINK("https://leetcode.com/problems/string-to-integer-atoi/","https://leetcode.com/problems/string-to-integer-atoi/")</f>
        <v>https://leetcode.com/problems/string-to-integer-atoi/</v>
      </c>
    </row>
    <row r="11" spans="1:14" ht="31.5" customHeight="1" x14ac:dyDescent="0.2">
      <c r="A11" s="7">
        <v>7</v>
      </c>
      <c r="B11" s="7">
        <v>11</v>
      </c>
      <c r="C11" s="13" t="s">
        <v>83</v>
      </c>
      <c r="D11" s="18" t="s">
        <v>28</v>
      </c>
      <c r="E11" s="3" t="s">
        <v>689</v>
      </c>
      <c r="F11" s="3"/>
      <c r="G11" s="7"/>
      <c r="H11" s="7">
        <f>IFERROR(VLOOKUP(B11,'📊 Problem Tracker'!$B$4:$F$1200,5,FALSE()),"")</f>
        <v>0</v>
      </c>
      <c r="I11" s="3"/>
      <c r="J11" s="3" t="s">
        <v>84</v>
      </c>
      <c r="K11" s="228" t="s">
        <v>86</v>
      </c>
      <c r="L11" s="7" t="s">
        <v>24</v>
      </c>
      <c r="M11" s="176" t="s">
        <v>47</v>
      </c>
      <c r="N11" s="191" t="str">
        <f>HYPERLINK("https://leetcode.com/problems/container-with-most-water/","https://leetcode.com/problems/container-with-most-water/")</f>
        <v>https://leetcode.com/problems/container-with-most-water/</v>
      </c>
    </row>
    <row r="12" spans="1:14" ht="31.5" customHeight="1" x14ac:dyDescent="0.2">
      <c r="A12" s="69">
        <v>8</v>
      </c>
      <c r="B12" s="69">
        <v>139</v>
      </c>
      <c r="C12" s="70" t="s">
        <v>671</v>
      </c>
      <c r="D12" s="71" t="s">
        <v>28</v>
      </c>
      <c r="E12" s="72" t="s">
        <v>1042</v>
      </c>
      <c r="F12" s="72"/>
      <c r="G12" s="69"/>
      <c r="H12" s="69">
        <f>IFERROR(VLOOKUP(B12,'📊 Problem Tracker'!$B$4:$F$1200,5,FALSE()),"")</f>
        <v>0</v>
      </c>
      <c r="I12" s="72"/>
      <c r="J12" s="72" t="s">
        <v>672</v>
      </c>
      <c r="K12" s="250" t="s">
        <v>508</v>
      </c>
      <c r="L12" s="69" t="s">
        <v>53</v>
      </c>
      <c r="M12" s="178" t="s">
        <v>24</v>
      </c>
      <c r="N12" s="204" t="str">
        <f>HYPERLINK("https://leetcode.com/problems/word-break/","https://leetcode.com/problems/word-break/")</f>
        <v>https://leetcode.com/problems/word-break/</v>
      </c>
    </row>
    <row r="13" spans="1:14" ht="31.5" customHeight="1" x14ac:dyDescent="0.2">
      <c r="A13" s="7">
        <v>9</v>
      </c>
      <c r="B13" s="7">
        <v>141</v>
      </c>
      <c r="C13" s="13" t="s">
        <v>678</v>
      </c>
      <c r="D13" s="21" t="s">
        <v>20</v>
      </c>
      <c r="E13" s="3" t="s">
        <v>4034</v>
      </c>
      <c r="F13" s="3"/>
      <c r="G13" s="7"/>
      <c r="H13" s="7">
        <f>IFERROR(VLOOKUP(B13,'📊 Problem Tracker'!$B$4:$F$1200,5,FALSE()),"")</f>
        <v>0</v>
      </c>
      <c r="I13" s="3"/>
      <c r="J13" s="3" t="s">
        <v>679</v>
      </c>
      <c r="K13" s="228" t="s">
        <v>682</v>
      </c>
      <c r="L13" s="7" t="s">
        <v>24</v>
      </c>
      <c r="M13" s="176" t="s">
        <v>47</v>
      </c>
      <c r="N13" s="191" t="str">
        <f>HYPERLINK("https://leetcode.com/problems/linked-list-cycle/","https://leetcode.com/problems/linked-list-cycle/")</f>
        <v>https://leetcode.com/problems/linked-list-cycle/</v>
      </c>
    </row>
    <row r="14" spans="1:14" ht="31.5" customHeight="1" x14ac:dyDescent="0.2">
      <c r="A14" s="69">
        <v>10</v>
      </c>
      <c r="B14" s="69">
        <v>876</v>
      </c>
      <c r="C14" s="70" t="s">
        <v>2017</v>
      </c>
      <c r="D14" s="73" t="s">
        <v>20</v>
      </c>
      <c r="E14" s="72" t="s">
        <v>4034</v>
      </c>
      <c r="F14" s="72"/>
      <c r="G14" s="69"/>
      <c r="H14" s="69">
        <f>IFERROR(VLOOKUP(B14,'📊 Problem Tracker'!$B$4:$F$1200,5,FALSE()),"")</f>
        <v>0</v>
      </c>
      <c r="I14" s="72"/>
      <c r="J14" s="72" t="s">
        <v>679</v>
      </c>
      <c r="K14" s="250" t="s">
        <v>690</v>
      </c>
      <c r="L14" s="69" t="s">
        <v>24</v>
      </c>
      <c r="M14" s="178" t="s">
        <v>47</v>
      </c>
      <c r="N14" s="204" t="str">
        <f>HYPERLINK("https://leetcode.com/problems/middle-of-the-linked-list/","https://leetcode.com/problems/middle-of-the-linked-list/")</f>
        <v>https://leetcode.com/problems/middle-of-the-linked-list/</v>
      </c>
    </row>
    <row r="15" spans="1:14" ht="31.5" customHeight="1" x14ac:dyDescent="0.2">
      <c r="A15" s="7">
        <v>11</v>
      </c>
      <c r="B15" s="7">
        <v>15</v>
      </c>
      <c r="C15" s="13" t="s">
        <v>103</v>
      </c>
      <c r="D15" s="18" t="s">
        <v>28</v>
      </c>
      <c r="E15" s="3" t="s">
        <v>689</v>
      </c>
      <c r="F15" s="3" t="s">
        <v>4249</v>
      </c>
      <c r="G15" s="7"/>
      <c r="H15" s="7">
        <f>IFERROR(VLOOKUP(B15,'📊 Problem Tracker'!$B$4:$F$1200,5,FALSE()),"")</f>
        <v>0</v>
      </c>
      <c r="I15" s="3"/>
      <c r="J15" s="3" t="s">
        <v>84</v>
      </c>
      <c r="K15" s="228" t="s">
        <v>106</v>
      </c>
      <c r="L15" s="7" t="s">
        <v>53</v>
      </c>
      <c r="M15" s="176" t="s">
        <v>47</v>
      </c>
      <c r="N15" s="191" t="str">
        <f>HYPERLINK("https://leetcode.com/problems/3sum/","https://leetcode.com/problems/3sum/")</f>
        <v>https://leetcode.com/problems/3sum/</v>
      </c>
    </row>
    <row r="16" spans="1:14" ht="31.5" customHeight="1" x14ac:dyDescent="0.2">
      <c r="A16" s="69">
        <v>12</v>
      </c>
      <c r="B16" s="69">
        <v>994</v>
      </c>
      <c r="C16" s="70" t="s">
        <v>2153</v>
      </c>
      <c r="D16" s="71" t="s">
        <v>28</v>
      </c>
      <c r="E16" s="72" t="s">
        <v>4247</v>
      </c>
      <c r="F16" s="72"/>
      <c r="G16" s="69"/>
      <c r="H16" s="69">
        <f>IFERROR(VLOOKUP(B16,'📊 Problem Tracker'!$B$4:$F$1200,5,FALSE()),"")</f>
        <v>0</v>
      </c>
      <c r="I16" s="72"/>
      <c r="J16" s="72" t="s">
        <v>1106</v>
      </c>
      <c r="K16" s="250" t="s">
        <v>2155</v>
      </c>
      <c r="L16" s="69" t="s">
        <v>81</v>
      </c>
      <c r="M16" s="178" t="s">
        <v>81</v>
      </c>
      <c r="N16" s="204" t="str">
        <f>HYPERLINK("https://leetcode.com/problems/rotting-oranges/","https://leetcode.com/problems/rotting-oranges/")</f>
        <v>https://leetcode.com/problems/rotting-oranges/</v>
      </c>
    </row>
    <row r="17" spans="1:14" ht="31.5" customHeight="1" x14ac:dyDescent="0.2">
      <c r="A17" s="7">
        <v>13</v>
      </c>
      <c r="B17" s="7">
        <v>17</v>
      </c>
      <c r="C17" s="13" t="s">
        <v>113</v>
      </c>
      <c r="D17" s="18" t="s">
        <v>28</v>
      </c>
      <c r="E17" s="3" t="s">
        <v>300</v>
      </c>
      <c r="F17" s="3"/>
      <c r="G17" s="7"/>
      <c r="H17" s="7">
        <f>IFERROR(VLOOKUP(B17,'📊 Problem Tracker'!$B$4:$F$1200,5,FALSE()),"")</f>
        <v>0</v>
      </c>
      <c r="I17" s="3"/>
      <c r="J17" s="3" t="s">
        <v>114</v>
      </c>
      <c r="K17" s="228" t="s">
        <v>117</v>
      </c>
      <c r="L17" s="7" t="s">
        <v>118</v>
      </c>
      <c r="M17" s="176" t="s">
        <v>24</v>
      </c>
      <c r="N17" s="191" t="str">
        <f>HYPERLINK("https://leetcode.com/problems/letter-combinations-of-a-phone-number/","https://leetcode.com/problems/letter-combinations-of-a-phone-number/")</f>
        <v>https://leetcode.com/problems/letter-combinations-of-a-phone-number/</v>
      </c>
    </row>
    <row r="18" spans="1:14" ht="31.5" customHeight="1" x14ac:dyDescent="0.2">
      <c r="A18" s="69">
        <v>14</v>
      </c>
      <c r="B18" s="69">
        <v>146</v>
      </c>
      <c r="C18" s="70" t="s">
        <v>692</v>
      </c>
      <c r="D18" s="71" t="s">
        <v>28</v>
      </c>
      <c r="E18" s="72" t="s">
        <v>4244</v>
      </c>
      <c r="F18" s="72" t="s">
        <v>127</v>
      </c>
      <c r="G18" s="69"/>
      <c r="H18" s="69">
        <f>IFERROR(VLOOKUP(B18,'📊 Problem Tracker'!$B$4:$F$1200,5,FALSE()),"")</f>
        <v>0</v>
      </c>
      <c r="I18" s="72"/>
      <c r="J18" s="72" t="s">
        <v>693</v>
      </c>
      <c r="K18" s="250" t="s">
        <v>695</v>
      </c>
      <c r="L18" s="69" t="s">
        <v>696</v>
      </c>
      <c r="M18" s="178" t="s">
        <v>697</v>
      </c>
      <c r="N18" s="204" t="str">
        <f>HYPERLINK("https://leetcode.com/problems/lru-cache/","https://leetcode.com/problems/lru-cache/")</f>
        <v>https://leetcode.com/problems/lru-cache/</v>
      </c>
    </row>
    <row r="19" spans="1:14" ht="31.5" customHeight="1" x14ac:dyDescent="0.2">
      <c r="A19" s="7">
        <v>15</v>
      </c>
      <c r="B19" s="7">
        <v>20</v>
      </c>
      <c r="C19" s="13" t="s">
        <v>132</v>
      </c>
      <c r="D19" s="21" t="s">
        <v>20</v>
      </c>
      <c r="E19" s="3" t="s">
        <v>540</v>
      </c>
      <c r="F19" s="3"/>
      <c r="G19" s="7"/>
      <c r="H19" s="7">
        <f>IFERROR(VLOOKUP(B19,'📊 Problem Tracker'!$B$4:$F$1200,5,FALSE()),"")</f>
        <v>0</v>
      </c>
      <c r="I19" s="3"/>
      <c r="J19" s="3" t="s">
        <v>133</v>
      </c>
      <c r="K19" s="228" t="s">
        <v>135</v>
      </c>
      <c r="L19" s="7" t="s">
        <v>24</v>
      </c>
      <c r="M19" s="176" t="s">
        <v>24</v>
      </c>
      <c r="N19" s="191" t="str">
        <f>HYPERLINK("https://leetcode.com/problems/valid-parentheses/","https://leetcode.com/problems/valid-parentheses/")</f>
        <v>https://leetcode.com/problems/valid-parentheses/</v>
      </c>
    </row>
    <row r="20" spans="1:14" ht="31.5" customHeight="1" x14ac:dyDescent="0.2">
      <c r="A20" s="69">
        <v>16</v>
      </c>
      <c r="B20" s="69">
        <v>21</v>
      </c>
      <c r="C20" s="70" t="s">
        <v>137</v>
      </c>
      <c r="D20" s="73" t="s">
        <v>20</v>
      </c>
      <c r="E20" s="72" t="s">
        <v>127</v>
      </c>
      <c r="F20" s="72"/>
      <c r="G20" s="69"/>
      <c r="H20" s="69">
        <f>IFERROR(VLOOKUP(B20,'📊 Problem Tracker'!$B$4:$F$1200,5,FALSE()),"")</f>
        <v>0</v>
      </c>
      <c r="I20" s="72"/>
      <c r="J20" s="72" t="s">
        <v>127</v>
      </c>
      <c r="K20" s="250" t="s">
        <v>139</v>
      </c>
      <c r="L20" s="69" t="s">
        <v>140</v>
      </c>
      <c r="M20" s="178" t="s">
        <v>141</v>
      </c>
      <c r="N20" s="204" t="str">
        <f>HYPERLINK("https://leetcode.com/problems/merge-two-sorted-lists/","https://leetcode.com/problems/merge-two-sorted-lists/")</f>
        <v>https://leetcode.com/problems/merge-two-sorted-lists/</v>
      </c>
    </row>
    <row r="21" spans="1:14" ht="31.5" customHeight="1" x14ac:dyDescent="0.2">
      <c r="A21" s="7">
        <v>17</v>
      </c>
      <c r="B21" s="7">
        <v>150</v>
      </c>
      <c r="C21" s="13" t="s">
        <v>707</v>
      </c>
      <c r="D21" s="18" t="s">
        <v>28</v>
      </c>
      <c r="E21" s="3" t="s">
        <v>540</v>
      </c>
      <c r="F21" s="3"/>
      <c r="G21" s="7"/>
      <c r="H21" s="7">
        <f>IFERROR(VLOOKUP(B21,'📊 Problem Tracker'!$B$4:$F$1200,5,FALSE()),"")</f>
        <v>0</v>
      </c>
      <c r="I21" s="3"/>
      <c r="J21" s="3" t="s">
        <v>708</v>
      </c>
      <c r="K21" s="228" t="s">
        <v>711</v>
      </c>
      <c r="L21" s="7" t="s">
        <v>24</v>
      </c>
      <c r="M21" s="176" t="s">
        <v>24</v>
      </c>
      <c r="N21" s="191" t="str">
        <f>HYPERLINK("https://leetcode.com/problems/evaluate-reverse-polish-notation/","https://leetcode.com/problems/evaluate-reverse-polish-notation/")</f>
        <v>https://leetcode.com/problems/evaluate-reverse-polish-notation/</v>
      </c>
    </row>
    <row r="22" spans="1:14" ht="31.5" customHeight="1" x14ac:dyDescent="0.2">
      <c r="A22" s="69">
        <v>18</v>
      </c>
      <c r="B22" s="69">
        <v>23</v>
      </c>
      <c r="C22" s="70" t="s">
        <v>148</v>
      </c>
      <c r="D22" s="74" t="s">
        <v>42</v>
      </c>
      <c r="E22" s="72" t="s">
        <v>4252</v>
      </c>
      <c r="F22" s="72"/>
      <c r="G22" s="69"/>
      <c r="H22" s="69">
        <f>IFERROR(VLOOKUP(B22,'📊 Problem Tracker'!$B$4:$F$1200,5,FALSE()),"")</f>
        <v>0</v>
      </c>
      <c r="I22" s="72"/>
      <c r="J22" s="72" t="s">
        <v>149</v>
      </c>
      <c r="K22" s="250" t="s">
        <v>151</v>
      </c>
      <c r="L22" s="69" t="s">
        <v>152</v>
      </c>
      <c r="M22" s="178" t="s">
        <v>153</v>
      </c>
      <c r="N22" s="204" t="str">
        <f>HYPERLINK("https://leetcode.com/problems/merge-k-sorted-lists/","https://leetcode.com/problems/merge-k-sorted-lists/")</f>
        <v>https://leetcode.com/problems/merge-k-sorted-lists/</v>
      </c>
    </row>
    <row r="23" spans="1:14" ht="31.5" customHeight="1" x14ac:dyDescent="0.2">
      <c r="A23" s="7">
        <v>19</v>
      </c>
      <c r="B23" s="7">
        <v>278</v>
      </c>
      <c r="C23" s="13" t="s">
        <v>1082</v>
      </c>
      <c r="D23" s="21" t="s">
        <v>20</v>
      </c>
      <c r="E23" s="3" t="s">
        <v>4255</v>
      </c>
      <c r="F23" s="3"/>
      <c r="G23" s="7"/>
      <c r="H23" s="7">
        <f>IFERROR(VLOOKUP(B23,'📊 Problem Tracker'!$B$4:$F$1200,5,FALSE()),"")</f>
        <v>0</v>
      </c>
      <c r="I23" s="3"/>
      <c r="J23" s="3" t="s">
        <v>512</v>
      </c>
      <c r="K23" s="228" t="s">
        <v>513</v>
      </c>
      <c r="L23" s="7" t="s">
        <v>65</v>
      </c>
      <c r="M23" s="176" t="s">
        <v>47</v>
      </c>
      <c r="N23" s="191" t="str">
        <f>HYPERLINK("https://leetcode.com/problems/first-bad-version/","https://leetcode.com/problems/first-bad-version/")</f>
        <v>https://leetcode.com/problems/first-bad-version/</v>
      </c>
    </row>
    <row r="24" spans="1:14" ht="31.5" customHeight="1" x14ac:dyDescent="0.2">
      <c r="A24" s="69">
        <v>20</v>
      </c>
      <c r="B24" s="69">
        <v>409</v>
      </c>
      <c r="C24" s="70" t="s">
        <v>1394</v>
      </c>
      <c r="D24" s="73" t="s">
        <v>20</v>
      </c>
      <c r="E24" s="72" t="s">
        <v>4311</v>
      </c>
      <c r="F24" s="72"/>
      <c r="G24" s="69"/>
      <c r="H24" s="69">
        <f>IFERROR(VLOOKUP(B24,'📊 Problem Tracker'!$B$4:$F$1200,5,FALSE()),"")</f>
        <v>0</v>
      </c>
      <c r="I24" s="72"/>
      <c r="J24" s="72" t="s">
        <v>1395</v>
      </c>
      <c r="K24" s="250" t="s">
        <v>705</v>
      </c>
      <c r="L24" s="69" t="s">
        <v>24</v>
      </c>
      <c r="M24" s="178" t="s">
        <v>24</v>
      </c>
      <c r="N24" s="204" t="str">
        <f>HYPERLINK("https://leetcode.com/problems/longest-palindrome/","https://leetcode.com/problems/longest-palindrome/")</f>
        <v>https://leetcode.com/problems/longest-palindrome/</v>
      </c>
    </row>
    <row r="25" spans="1:14" ht="31.5" customHeight="1" x14ac:dyDescent="0.2">
      <c r="A25" s="7">
        <v>21</v>
      </c>
      <c r="B25" s="7">
        <v>704</v>
      </c>
      <c r="C25" s="13" t="s">
        <v>512</v>
      </c>
      <c r="D25" s="21" t="s">
        <v>20</v>
      </c>
      <c r="E25" s="3" t="s">
        <v>512</v>
      </c>
      <c r="F25" s="3"/>
      <c r="G25" s="7"/>
      <c r="H25" s="7">
        <f>IFERROR(VLOOKUP(B25,'📊 Problem Tracker'!$B$4:$F$1200,5,FALSE()),"")</f>
        <v>0</v>
      </c>
      <c r="I25" s="3"/>
      <c r="J25" s="3" t="s">
        <v>41</v>
      </c>
      <c r="K25" s="228" t="s">
        <v>1776</v>
      </c>
      <c r="L25" s="7" t="s">
        <v>65</v>
      </c>
      <c r="M25" s="176" t="s">
        <v>47</v>
      </c>
      <c r="N25" s="191" t="str">
        <f>HYPERLINK("https://leetcode.com/problems/binary-search/","https://leetcode.com/problems/binary-search/")</f>
        <v>https://leetcode.com/problems/binary-search/</v>
      </c>
    </row>
    <row r="26" spans="1:14" ht="31.5" customHeight="1" x14ac:dyDescent="0.2">
      <c r="A26" s="69">
        <v>22</v>
      </c>
      <c r="B26" s="69">
        <v>155</v>
      </c>
      <c r="C26" s="70" t="s">
        <v>728</v>
      </c>
      <c r="D26" s="71" t="s">
        <v>28</v>
      </c>
      <c r="E26" s="72" t="s">
        <v>540</v>
      </c>
      <c r="F26" s="72"/>
      <c r="G26" s="69"/>
      <c r="H26" s="69">
        <f>IFERROR(VLOOKUP(B26,'📊 Problem Tracker'!$B$4:$F$1200,5,FALSE()),"")</f>
        <v>0</v>
      </c>
      <c r="I26" s="72"/>
      <c r="J26" s="72" t="s">
        <v>729</v>
      </c>
      <c r="K26" s="250" t="s">
        <v>731</v>
      </c>
      <c r="L26" s="69" t="s">
        <v>732</v>
      </c>
      <c r="M26" s="178" t="s">
        <v>24</v>
      </c>
      <c r="N26" s="204" t="str">
        <f>HYPERLINK("https://leetcode.com/problems/min-stack/","https://leetcode.com/problems/min-stack/")</f>
        <v>https://leetcode.com/problems/min-stack/</v>
      </c>
    </row>
    <row r="27" spans="1:14" ht="31.5" customHeight="1" x14ac:dyDescent="0.2">
      <c r="A27" s="7">
        <v>23</v>
      </c>
      <c r="B27" s="7">
        <v>981</v>
      </c>
      <c r="C27" s="13" t="s">
        <v>2132</v>
      </c>
      <c r="D27" s="18" t="s">
        <v>28</v>
      </c>
      <c r="E27" s="3" t="s">
        <v>512</v>
      </c>
      <c r="F27" s="3" t="s">
        <v>4244</v>
      </c>
      <c r="G27" s="7"/>
      <c r="H27" s="7">
        <f>IFERROR(VLOOKUP(B27,'📊 Problem Tracker'!$B$4:$F$1200,5,FALSE()),"")</f>
        <v>0</v>
      </c>
      <c r="I27" s="3"/>
      <c r="J27" s="3" t="s">
        <v>2133</v>
      </c>
      <c r="K27" s="228" t="s">
        <v>513</v>
      </c>
      <c r="L27" s="7" t="s">
        <v>2134</v>
      </c>
      <c r="M27" s="176" t="s">
        <v>24</v>
      </c>
      <c r="N27" s="191" t="str">
        <f>HYPERLINK("https://leetcode.com/problems/time-based-key-value-store/","https://leetcode.com/problems/time-based-key-value-store/")</f>
        <v>https://leetcode.com/problems/time-based-key-value-store/</v>
      </c>
    </row>
    <row r="28" spans="1:14" ht="31.5" customHeight="1" x14ac:dyDescent="0.2">
      <c r="A28" s="69">
        <v>24</v>
      </c>
      <c r="B28" s="69">
        <v>542</v>
      </c>
      <c r="C28" s="70" t="s">
        <v>1581</v>
      </c>
      <c r="D28" s="71" t="s">
        <v>28</v>
      </c>
      <c r="E28" s="72" t="s">
        <v>4247</v>
      </c>
      <c r="F28" s="72"/>
      <c r="G28" s="69"/>
      <c r="H28" s="69">
        <f>IFERROR(VLOOKUP(B28,'📊 Problem Tracker'!$B$4:$F$1200,5,FALSE()),"")</f>
        <v>0</v>
      </c>
      <c r="I28" s="72"/>
      <c r="J28" s="72" t="s">
        <v>1106</v>
      </c>
      <c r="K28" s="250" t="s">
        <v>619</v>
      </c>
      <c r="L28" s="69" t="s">
        <v>81</v>
      </c>
      <c r="M28" s="178" t="s">
        <v>81</v>
      </c>
      <c r="N28" s="204" t="str">
        <f>HYPERLINK("https://leetcode.com/problems/01-matrix/","https://leetcode.com/problems/01-matrix/")</f>
        <v>https://leetcode.com/problems/01-matrix/</v>
      </c>
    </row>
    <row r="29" spans="1:14" ht="31.5" customHeight="1" x14ac:dyDescent="0.2">
      <c r="A29" s="7">
        <v>25</v>
      </c>
      <c r="B29" s="7">
        <v>543</v>
      </c>
      <c r="C29" s="13" t="s">
        <v>1584</v>
      </c>
      <c r="D29" s="21" t="s">
        <v>20</v>
      </c>
      <c r="E29" s="3" t="s">
        <v>4256</v>
      </c>
      <c r="F29" s="3"/>
      <c r="G29" s="7"/>
      <c r="H29" s="7">
        <f>IFERROR(VLOOKUP(B29,'📊 Problem Tracker'!$B$4:$F$1200,5,FALSE()),"")</f>
        <v>0</v>
      </c>
      <c r="I29" s="3"/>
      <c r="J29" s="3" t="s">
        <v>500</v>
      </c>
      <c r="K29" s="228" t="s">
        <v>571</v>
      </c>
      <c r="L29" s="7" t="s">
        <v>24</v>
      </c>
      <c r="M29" s="176" t="s">
        <v>503</v>
      </c>
      <c r="N29" s="191" t="str">
        <f>HYPERLINK("https://leetcode.com/problems/diameter-of-binary-tree/","https://leetcode.com/problems/diameter-of-binary-tree/")</f>
        <v>https://leetcode.com/problems/diameter-of-binary-tree/</v>
      </c>
    </row>
    <row r="30" spans="1:14" ht="31.5" customHeight="1" x14ac:dyDescent="0.2">
      <c r="A30" s="69">
        <v>26</v>
      </c>
      <c r="B30" s="69">
        <v>416</v>
      </c>
      <c r="C30" s="70" t="s">
        <v>1406</v>
      </c>
      <c r="D30" s="71" t="s">
        <v>28</v>
      </c>
      <c r="E30" s="72" t="s">
        <v>4312</v>
      </c>
      <c r="F30" s="72"/>
      <c r="G30" s="69"/>
      <c r="H30" s="69">
        <f>IFERROR(VLOOKUP(B30,'📊 Problem Tracker'!$B$4:$F$1200,5,FALSE()),"")</f>
        <v>0</v>
      </c>
      <c r="I30" s="72"/>
      <c r="J30" s="72" t="s">
        <v>309</v>
      </c>
      <c r="K30" s="250" t="s">
        <v>508</v>
      </c>
      <c r="L30" s="69" t="s">
        <v>1408</v>
      </c>
      <c r="M30" s="178" t="s">
        <v>1409</v>
      </c>
      <c r="N30" s="204" t="str">
        <f>HYPERLINK("https://leetcode.com/problems/partition-equal-subset-sum/","https://leetcode.com/problems/partition-equal-subset-sum/")</f>
        <v>https://leetcode.com/problems/partition-equal-subset-sum/</v>
      </c>
    </row>
    <row r="31" spans="1:14" ht="31.5" customHeight="1" x14ac:dyDescent="0.2">
      <c r="A31" s="7">
        <v>27</v>
      </c>
      <c r="B31" s="7">
        <v>33</v>
      </c>
      <c r="C31" s="13" t="s">
        <v>202</v>
      </c>
      <c r="D31" s="18" t="s">
        <v>28</v>
      </c>
      <c r="E31" s="3" t="s">
        <v>4255</v>
      </c>
      <c r="F31" s="3"/>
      <c r="G31" s="7"/>
      <c r="H31" s="7">
        <f>IFERROR(VLOOKUP(B31,'📊 Problem Tracker'!$B$4:$F$1200,5,FALSE()),"")</f>
        <v>0</v>
      </c>
      <c r="I31" s="3"/>
      <c r="J31" s="3" t="s">
        <v>41</v>
      </c>
      <c r="K31" s="228" t="s">
        <v>204</v>
      </c>
      <c r="L31" s="7" t="s">
        <v>65</v>
      </c>
      <c r="M31" s="176" t="s">
        <v>47</v>
      </c>
      <c r="N31" s="191" t="str">
        <f>HYPERLINK("https://leetcode.com/problems/search-in-rotated-sorted-array/","https://leetcode.com/problems/search-in-rotated-sorted-array/")</f>
        <v>https://leetcode.com/problems/search-in-rotated-sorted-array/</v>
      </c>
    </row>
    <row r="32" spans="1:14" ht="31.5" customHeight="1" x14ac:dyDescent="0.2">
      <c r="A32" s="69">
        <v>28</v>
      </c>
      <c r="B32" s="69">
        <v>39</v>
      </c>
      <c r="C32" s="70" t="s">
        <v>233</v>
      </c>
      <c r="D32" s="71" t="s">
        <v>28</v>
      </c>
      <c r="E32" s="72" t="s">
        <v>300</v>
      </c>
      <c r="F32" s="72"/>
      <c r="G32" s="69"/>
      <c r="H32" s="69">
        <f>IFERROR(VLOOKUP(B32,'📊 Problem Tracker'!$B$4:$F$1200,5,FALSE()),"")</f>
        <v>0</v>
      </c>
      <c r="I32" s="72"/>
      <c r="J32" s="72" t="s">
        <v>234</v>
      </c>
      <c r="K32" s="250" t="s">
        <v>237</v>
      </c>
      <c r="L32" s="69" t="s">
        <v>238</v>
      </c>
      <c r="M32" s="178" t="s">
        <v>239</v>
      </c>
      <c r="N32" s="204" t="str">
        <f>HYPERLINK("https://leetcode.com/problems/combination-sum/","https://leetcode.com/problems/combination-sum/")</f>
        <v>https://leetcode.com/problems/combination-sum/</v>
      </c>
    </row>
    <row r="33" spans="1:14" ht="31.5" customHeight="1" x14ac:dyDescent="0.2">
      <c r="A33" s="7">
        <v>29</v>
      </c>
      <c r="B33" s="7">
        <v>295</v>
      </c>
      <c r="C33" s="13" t="s">
        <v>1120</v>
      </c>
      <c r="D33" s="20" t="s">
        <v>42</v>
      </c>
      <c r="E33" s="3" t="s">
        <v>4297</v>
      </c>
      <c r="F33" s="3"/>
      <c r="G33" s="7"/>
      <c r="H33" s="7">
        <f>IFERROR(VLOOKUP(B33,'📊 Problem Tracker'!$B$4:$F$1200,5,FALSE()),"")</f>
        <v>0</v>
      </c>
      <c r="I33" s="3"/>
      <c r="J33" s="3" t="s">
        <v>4233</v>
      </c>
      <c r="K33" s="228" t="s">
        <v>1123</v>
      </c>
      <c r="L33" s="7" t="s">
        <v>1124</v>
      </c>
      <c r="M33" s="176" t="s">
        <v>24</v>
      </c>
      <c r="N33" s="191" t="str">
        <f>HYPERLINK("https://leetcode.com/problems/find-median-from-data-stream/","https://leetcode.com/problems/find-median-from-data-stream/")</f>
        <v>https://leetcode.com/problems/find-median-from-data-stream/</v>
      </c>
    </row>
    <row r="34" spans="1:14" ht="31.5" customHeight="1" x14ac:dyDescent="0.2">
      <c r="A34" s="69">
        <v>30</v>
      </c>
      <c r="B34" s="69">
        <v>169</v>
      </c>
      <c r="C34" s="70" t="s">
        <v>773</v>
      </c>
      <c r="D34" s="73" t="s">
        <v>20</v>
      </c>
      <c r="E34" s="72" t="s">
        <v>4278</v>
      </c>
      <c r="F34" s="72"/>
      <c r="G34" s="69"/>
      <c r="H34" s="69">
        <f>IFERROR(VLOOKUP(B34,'📊 Problem Tracker'!$B$4:$F$1200,5,FALSE()),"")</f>
        <v>0</v>
      </c>
      <c r="I34" s="72"/>
      <c r="J34" s="72" t="s">
        <v>166</v>
      </c>
      <c r="K34" s="250" t="s">
        <v>776</v>
      </c>
      <c r="L34" s="69" t="s">
        <v>24</v>
      </c>
      <c r="M34" s="178" t="s">
        <v>47</v>
      </c>
      <c r="N34" s="204" t="str">
        <f>HYPERLINK("https://leetcode.com/problems/majority-element/","https://leetcode.com/problems/majority-element/")</f>
        <v>https://leetcode.com/problems/majority-element/</v>
      </c>
    </row>
    <row r="35" spans="1:14" ht="31.5" customHeight="1" x14ac:dyDescent="0.2">
      <c r="A35" s="7">
        <v>31</v>
      </c>
      <c r="B35" s="7">
        <v>42</v>
      </c>
      <c r="C35" s="13" t="s">
        <v>251</v>
      </c>
      <c r="D35" s="20" t="s">
        <v>42</v>
      </c>
      <c r="E35" s="3" t="s">
        <v>689</v>
      </c>
      <c r="F35" s="3" t="s">
        <v>1473</v>
      </c>
      <c r="G35" s="7"/>
      <c r="H35" s="7">
        <f>IFERROR(VLOOKUP(B35,'📊 Problem Tracker'!$B$4:$F$1200,5,FALSE()),"")</f>
        <v>0</v>
      </c>
      <c r="I35" s="3"/>
      <c r="J35" s="3" t="s">
        <v>4259</v>
      </c>
      <c r="K35" s="228" t="s">
        <v>254</v>
      </c>
      <c r="L35" s="7" t="s">
        <v>24</v>
      </c>
      <c r="M35" s="176" t="s">
        <v>47</v>
      </c>
      <c r="N35" s="191" t="str">
        <f>HYPERLINK("https://leetcode.com/problems/trapping-rain-water/","https://leetcode.com/problems/trapping-rain-water/")</f>
        <v>https://leetcode.com/problems/trapping-rain-water/</v>
      </c>
    </row>
    <row r="36" spans="1:14" ht="31.5" customHeight="1" x14ac:dyDescent="0.2">
      <c r="A36" s="69">
        <v>32</v>
      </c>
      <c r="B36" s="69">
        <v>297</v>
      </c>
      <c r="C36" s="70" t="s">
        <v>1126</v>
      </c>
      <c r="D36" s="74" t="s">
        <v>42</v>
      </c>
      <c r="E36" s="72" t="s">
        <v>4298</v>
      </c>
      <c r="F36" s="72" t="s">
        <v>4299</v>
      </c>
      <c r="G36" s="69"/>
      <c r="H36" s="69">
        <f>IFERROR(VLOOKUP(B36,'📊 Problem Tracker'!$B$4:$F$1200,5,FALSE()),"")</f>
        <v>0</v>
      </c>
      <c r="I36" s="72"/>
      <c r="J36" s="72" t="s">
        <v>4215</v>
      </c>
      <c r="K36" s="250" t="s">
        <v>571</v>
      </c>
      <c r="L36" s="69" t="s">
        <v>24</v>
      </c>
      <c r="M36" s="178" t="s">
        <v>24</v>
      </c>
      <c r="N36" s="204" t="str">
        <f>HYPERLINK("https://leetcode.com/problems/serialize-and-deserialize-binary-tree/","https://leetcode.com/problems/serialize-and-deserialize-binary-tree/")</f>
        <v>https://leetcode.com/problems/serialize-and-deserialize-binary-tree/</v>
      </c>
    </row>
    <row r="37" spans="1:14" ht="31.5" customHeight="1" x14ac:dyDescent="0.2">
      <c r="A37" s="7">
        <v>33</v>
      </c>
      <c r="B37" s="7">
        <v>46</v>
      </c>
      <c r="C37" s="13" t="s">
        <v>272</v>
      </c>
      <c r="D37" s="18" t="s">
        <v>28</v>
      </c>
      <c r="E37" s="3" t="s">
        <v>300</v>
      </c>
      <c r="F37" s="3"/>
      <c r="G37" s="7"/>
      <c r="H37" s="7">
        <f>IFERROR(VLOOKUP(B37,'📊 Problem Tracker'!$B$4:$F$1200,5,FALSE()),"")</f>
        <v>0</v>
      </c>
      <c r="I37" s="3"/>
      <c r="J37" s="3" t="s">
        <v>234</v>
      </c>
      <c r="K37" s="228" t="s">
        <v>274</v>
      </c>
      <c r="L37" s="7" t="s">
        <v>275</v>
      </c>
      <c r="M37" s="176" t="s">
        <v>24</v>
      </c>
      <c r="N37" s="191" t="str">
        <f>HYPERLINK("https://leetcode.com/problems/permutations/","https://leetcode.com/problems/permutations/")</f>
        <v>https://leetcode.com/problems/permutations/</v>
      </c>
    </row>
    <row r="38" spans="1:14" ht="31.5" customHeight="1" x14ac:dyDescent="0.2">
      <c r="A38" s="69">
        <v>34</v>
      </c>
      <c r="B38" s="69">
        <v>53</v>
      </c>
      <c r="C38" s="70" t="s">
        <v>308</v>
      </c>
      <c r="D38" s="71" t="s">
        <v>28</v>
      </c>
      <c r="E38" s="72" t="s">
        <v>4261</v>
      </c>
      <c r="F38" s="72"/>
      <c r="G38" s="69"/>
      <c r="H38" s="69">
        <f>IFERROR(VLOOKUP(B38,'📊 Problem Tracker'!$B$4:$F$1200,5,FALSE()),"")</f>
        <v>0</v>
      </c>
      <c r="I38" s="72"/>
      <c r="J38" s="72" t="s">
        <v>309</v>
      </c>
      <c r="K38" s="250" t="s">
        <v>311</v>
      </c>
      <c r="L38" s="69" t="s">
        <v>24</v>
      </c>
      <c r="M38" s="178" t="s">
        <v>47</v>
      </c>
      <c r="N38" s="204" t="str">
        <f>HYPERLINK("https://leetcode.com/problems/maximum-subarray/","https://leetcode.com/problems/maximum-subarray/")</f>
        <v>https://leetcode.com/problems/maximum-subarray/</v>
      </c>
    </row>
    <row r="39" spans="1:14" ht="31.5" customHeight="1" x14ac:dyDescent="0.2">
      <c r="A39" s="7">
        <v>35</v>
      </c>
      <c r="B39" s="7">
        <v>54</v>
      </c>
      <c r="C39" s="13" t="s">
        <v>313</v>
      </c>
      <c r="D39" s="18" t="s">
        <v>28</v>
      </c>
      <c r="E39" s="3" t="s">
        <v>4262</v>
      </c>
      <c r="F39" s="3"/>
      <c r="G39" s="7"/>
      <c r="H39" s="7">
        <f>IFERROR(VLOOKUP(B39,'📊 Problem Tracker'!$B$4:$F$1200,5,FALSE()),"")</f>
        <v>0</v>
      </c>
      <c r="I39" s="3"/>
      <c r="J39" s="3" t="s">
        <v>283</v>
      </c>
      <c r="K39" s="228" t="s">
        <v>315</v>
      </c>
      <c r="L39" s="7" t="s">
        <v>81</v>
      </c>
      <c r="M39" s="176" t="s">
        <v>47</v>
      </c>
      <c r="N39" s="191" t="str">
        <f>HYPERLINK("https://leetcode.com/problems/spiral-matrix/","https://leetcode.com/problems/spiral-matrix/")</f>
        <v>https://leetcode.com/problems/spiral-matrix/</v>
      </c>
    </row>
    <row r="40" spans="1:14" ht="31.5" customHeight="1" x14ac:dyDescent="0.2">
      <c r="A40" s="69">
        <v>36</v>
      </c>
      <c r="B40" s="69">
        <v>310</v>
      </c>
      <c r="C40" s="70" t="s">
        <v>1166</v>
      </c>
      <c r="D40" s="71" t="s">
        <v>28</v>
      </c>
      <c r="E40" s="72" t="s">
        <v>4301</v>
      </c>
      <c r="F40" s="72"/>
      <c r="G40" s="69"/>
      <c r="H40" s="69">
        <f>IFERROR(VLOOKUP(B40,'📊 Problem Tracker'!$B$4:$F$1200,5,FALSE()),"")</f>
        <v>0</v>
      </c>
      <c r="I40" s="72"/>
      <c r="J40" s="72" t="s">
        <v>1167</v>
      </c>
      <c r="K40" s="250" t="s">
        <v>571</v>
      </c>
      <c r="L40" s="69" t="s">
        <v>1169</v>
      </c>
      <c r="M40" s="178" t="s">
        <v>649</v>
      </c>
      <c r="N40" s="204" t="str">
        <f>HYPERLINK("https://leetcode.com/problems/minimum-height-trees/","https://leetcode.com/problems/minimum-height-trees/")</f>
        <v>https://leetcode.com/problems/minimum-height-trees/</v>
      </c>
    </row>
    <row r="41" spans="1:14" ht="31.5" customHeight="1" x14ac:dyDescent="0.2">
      <c r="A41" s="7">
        <v>37</v>
      </c>
      <c r="B41" s="7">
        <v>56</v>
      </c>
      <c r="C41" s="13" t="s">
        <v>322</v>
      </c>
      <c r="D41" s="18" t="s">
        <v>28</v>
      </c>
      <c r="E41" s="3" t="s">
        <v>322</v>
      </c>
      <c r="F41" s="3" t="s">
        <v>4249</v>
      </c>
      <c r="G41" s="7"/>
      <c r="H41" s="7">
        <f>IFERROR(VLOOKUP(B41,'📊 Problem Tracker'!$B$4:$F$1200,5,FALSE()),"")</f>
        <v>0</v>
      </c>
      <c r="I41" s="3"/>
      <c r="J41" s="3" t="s">
        <v>323</v>
      </c>
      <c r="K41" s="228" t="s">
        <v>325</v>
      </c>
      <c r="L41" s="7" t="s">
        <v>326</v>
      </c>
      <c r="M41" s="176" t="s">
        <v>24</v>
      </c>
      <c r="N41" s="191" t="str">
        <f>HYPERLINK("https://leetcode.com/problems/merge-intervals/","https://leetcode.com/problems/merge-intervals/")</f>
        <v>https://leetcode.com/problems/merge-intervals/</v>
      </c>
    </row>
    <row r="42" spans="1:14" ht="31.5" customHeight="1" x14ac:dyDescent="0.2">
      <c r="A42" s="69">
        <v>38</v>
      </c>
      <c r="B42" s="69">
        <v>57</v>
      </c>
      <c r="C42" s="70" t="s">
        <v>328</v>
      </c>
      <c r="D42" s="71" t="s">
        <v>28</v>
      </c>
      <c r="E42" s="72" t="s">
        <v>322</v>
      </c>
      <c r="F42" s="72"/>
      <c r="G42" s="69"/>
      <c r="H42" s="69">
        <f>IFERROR(VLOOKUP(B42,'📊 Problem Tracker'!$B$4:$F$1200,5,FALSE()),"")</f>
        <v>0</v>
      </c>
      <c r="I42" s="72"/>
      <c r="J42" s="72" t="s">
        <v>323</v>
      </c>
      <c r="K42" s="250" t="s">
        <v>331</v>
      </c>
      <c r="L42" s="69" t="s">
        <v>24</v>
      </c>
      <c r="M42" s="178" t="s">
        <v>24</v>
      </c>
      <c r="N42" s="204" t="str">
        <f>HYPERLINK("https://leetcode.com/problems/insert-interval/","https://leetcode.com/problems/insert-interval/")</f>
        <v>https://leetcode.com/problems/insert-interval/</v>
      </c>
    </row>
    <row r="43" spans="1:14" ht="31.5" customHeight="1" x14ac:dyDescent="0.2">
      <c r="A43" s="7">
        <v>39</v>
      </c>
      <c r="B43" s="7">
        <v>438</v>
      </c>
      <c r="C43" s="13" t="s">
        <v>1441</v>
      </c>
      <c r="D43" s="18" t="s">
        <v>28</v>
      </c>
      <c r="E43" s="3" t="s">
        <v>917</v>
      </c>
      <c r="F43" s="3" t="s">
        <v>4244</v>
      </c>
      <c r="G43" s="7"/>
      <c r="H43" s="7">
        <f>IFERROR(VLOOKUP(B43,'📊 Problem Tracker'!$B$4:$F$1200,5,FALSE()),"")</f>
        <v>0</v>
      </c>
      <c r="I43" s="3"/>
      <c r="J43" s="3" t="s">
        <v>427</v>
      </c>
      <c r="K43" s="228" t="s">
        <v>1443</v>
      </c>
      <c r="L43" s="7" t="s">
        <v>24</v>
      </c>
      <c r="M43" s="176" t="s">
        <v>47</v>
      </c>
      <c r="N43" s="191" t="str">
        <f>HYPERLINK("https://leetcode.com/problems/find-all-anagrams-in-a-string/","https://leetcode.com/problems/find-all-anagrams-in-a-string/")</f>
        <v>https://leetcode.com/problems/find-all-anagrams-in-a-string/</v>
      </c>
    </row>
    <row r="44" spans="1:14" ht="31.5" customHeight="1" x14ac:dyDescent="0.2">
      <c r="A44" s="69">
        <v>40</v>
      </c>
      <c r="B44" s="69">
        <v>62</v>
      </c>
      <c r="C44" s="70" t="s">
        <v>353</v>
      </c>
      <c r="D44" s="71" t="s">
        <v>28</v>
      </c>
      <c r="E44" s="72" t="s">
        <v>4263</v>
      </c>
      <c r="F44" s="72"/>
      <c r="G44" s="69"/>
      <c r="H44" s="69">
        <f>IFERROR(VLOOKUP(B44,'📊 Problem Tracker'!$B$4:$F$1200,5,FALSE()),"")</f>
        <v>0</v>
      </c>
      <c r="I44" s="72"/>
      <c r="J44" s="72" t="s">
        <v>354</v>
      </c>
      <c r="K44" s="250" t="s">
        <v>357</v>
      </c>
      <c r="L44" s="69" t="s">
        <v>81</v>
      </c>
      <c r="M44" s="178" t="s">
        <v>24</v>
      </c>
      <c r="N44" s="204" t="str">
        <f>HYPERLINK("https://leetcode.com/problems/unique-paths/","https://leetcode.com/problems/unique-paths/")</f>
        <v>https://leetcode.com/problems/unique-paths/</v>
      </c>
    </row>
    <row r="45" spans="1:14" ht="31.5" customHeight="1" x14ac:dyDescent="0.2">
      <c r="A45" s="7">
        <v>41</v>
      </c>
      <c r="B45" s="7">
        <v>322</v>
      </c>
      <c r="C45" s="13" t="s">
        <v>1205</v>
      </c>
      <c r="D45" s="18" t="s">
        <v>28</v>
      </c>
      <c r="E45" s="3" t="s">
        <v>4302</v>
      </c>
      <c r="F45" s="3"/>
      <c r="G45" s="7"/>
      <c r="H45" s="7">
        <f>IFERROR(VLOOKUP(B45,'📊 Problem Tracker'!$B$4:$F$1200,5,FALSE()),"")</f>
        <v>0</v>
      </c>
      <c r="I45" s="3"/>
      <c r="J45" s="3" t="s">
        <v>1206</v>
      </c>
      <c r="K45" s="228" t="s">
        <v>1208</v>
      </c>
      <c r="L45" s="7" t="s">
        <v>1209</v>
      </c>
      <c r="M45" s="176" t="s">
        <v>1210</v>
      </c>
      <c r="N45" s="191" t="str">
        <f>HYPERLINK("https://leetcode.com/problems/coin-change/","https://leetcode.com/problems/coin-change/")</f>
        <v>https://leetcode.com/problems/coin-change/</v>
      </c>
    </row>
    <row r="46" spans="1:14" ht="31.5" customHeight="1" x14ac:dyDescent="0.2">
      <c r="A46" s="69">
        <v>42</v>
      </c>
      <c r="B46" s="69">
        <v>67</v>
      </c>
      <c r="C46" s="70" t="s">
        <v>380</v>
      </c>
      <c r="D46" s="73" t="s">
        <v>20</v>
      </c>
      <c r="E46" s="72" t="s">
        <v>666</v>
      </c>
      <c r="F46" s="72"/>
      <c r="G46" s="69"/>
      <c r="H46" s="69">
        <f>IFERROR(VLOOKUP(B46,'📊 Problem Tracker'!$B$4:$F$1200,5,FALSE()),"")</f>
        <v>0</v>
      </c>
      <c r="I46" s="72"/>
      <c r="J46" s="72" t="s">
        <v>2456</v>
      </c>
      <c r="K46" s="250" t="s">
        <v>384</v>
      </c>
      <c r="L46" s="69" t="s">
        <v>32</v>
      </c>
      <c r="M46" s="178" t="s">
        <v>32</v>
      </c>
      <c r="N46" s="204" t="str">
        <f>HYPERLINK("https://leetcode.com/problems/add-binary/","https://leetcode.com/problems/add-binary/")</f>
        <v>https://leetcode.com/problems/add-binary/</v>
      </c>
    </row>
    <row r="47" spans="1:14" ht="31.5" customHeight="1" x14ac:dyDescent="0.2">
      <c r="A47" s="7">
        <v>43</v>
      </c>
      <c r="B47" s="7">
        <v>70</v>
      </c>
      <c r="C47" s="13" t="s">
        <v>398</v>
      </c>
      <c r="D47" s="21" t="s">
        <v>20</v>
      </c>
      <c r="E47" s="3" t="s">
        <v>4264</v>
      </c>
      <c r="F47" s="3"/>
      <c r="G47" s="7"/>
      <c r="H47" s="7">
        <f>IFERROR(VLOOKUP(B47,'📊 Problem Tracker'!$B$4:$F$1200,5,FALSE()),"")</f>
        <v>0</v>
      </c>
      <c r="I47" s="3"/>
      <c r="J47" s="3" t="s">
        <v>1314</v>
      </c>
      <c r="K47" s="228" t="s">
        <v>400</v>
      </c>
      <c r="L47" s="7" t="s">
        <v>24</v>
      </c>
      <c r="M47" s="176" t="s">
        <v>47</v>
      </c>
      <c r="N47" s="191" t="str">
        <f>HYPERLINK("https://leetcode.com/problems/climbing-stairs/","https://leetcode.com/problems/climbing-stairs/")</f>
        <v>https://leetcode.com/problems/climbing-stairs/</v>
      </c>
    </row>
    <row r="48" spans="1:14" ht="31.5" customHeight="1" x14ac:dyDescent="0.2">
      <c r="A48" s="69">
        <v>44</v>
      </c>
      <c r="B48" s="69">
        <v>199</v>
      </c>
      <c r="C48" s="70" t="s">
        <v>878</v>
      </c>
      <c r="D48" s="71" t="s">
        <v>28</v>
      </c>
      <c r="E48" s="72" t="s">
        <v>4270</v>
      </c>
      <c r="F48" s="72"/>
      <c r="G48" s="69"/>
      <c r="H48" s="69">
        <f>IFERROR(VLOOKUP(B48,'📊 Problem Tracker'!$B$4:$F$1200,5,FALSE()),"")</f>
        <v>0</v>
      </c>
      <c r="I48" s="72"/>
      <c r="J48" s="72" t="s">
        <v>879</v>
      </c>
      <c r="K48" s="250" t="s">
        <v>571</v>
      </c>
      <c r="L48" s="69" t="s">
        <v>24</v>
      </c>
      <c r="M48" s="178" t="s">
        <v>24</v>
      </c>
      <c r="N48" s="204" t="str">
        <f>HYPERLINK("https://leetcode.com/problems/binary-tree-right-side-view/","https://leetcode.com/problems/binary-tree-right-side-view/")</f>
        <v>https://leetcode.com/problems/binary-tree-right-side-view/</v>
      </c>
    </row>
    <row r="49" spans="1:14" ht="31.5" customHeight="1" x14ac:dyDescent="0.2">
      <c r="A49" s="7">
        <v>45</v>
      </c>
      <c r="B49" s="7">
        <v>200</v>
      </c>
      <c r="C49" s="13" t="s">
        <v>882</v>
      </c>
      <c r="D49" s="18" t="s">
        <v>28</v>
      </c>
      <c r="E49" s="3" t="s">
        <v>4274</v>
      </c>
      <c r="F49" s="3" t="s">
        <v>1736</v>
      </c>
      <c r="G49" s="7"/>
      <c r="H49" s="7">
        <f>IFERROR(VLOOKUP(B49,'📊 Problem Tracker'!$B$4:$F$1200,5,FALSE()),"")</f>
        <v>0</v>
      </c>
      <c r="I49" s="3"/>
      <c r="J49" s="3" t="s">
        <v>4159</v>
      </c>
      <c r="K49" s="228" t="s">
        <v>884</v>
      </c>
      <c r="L49" s="7" t="s">
        <v>81</v>
      </c>
      <c r="M49" s="176" t="s">
        <v>81</v>
      </c>
      <c r="N49" s="191" t="str">
        <f>HYPERLINK("https://leetcode.com/problems/number-of-islands/","https://leetcode.com/problems/number-of-islands/")</f>
        <v>https://leetcode.com/problems/number-of-islands/</v>
      </c>
    </row>
    <row r="50" spans="1:14" ht="31.5" customHeight="1" x14ac:dyDescent="0.2">
      <c r="A50" s="69">
        <v>46</v>
      </c>
      <c r="B50" s="69">
        <v>1235</v>
      </c>
      <c r="C50" s="70" t="s">
        <v>2313</v>
      </c>
      <c r="D50" s="74" t="s">
        <v>42</v>
      </c>
      <c r="E50" s="72" t="s">
        <v>4300</v>
      </c>
      <c r="F50" s="72"/>
      <c r="G50" s="69"/>
      <c r="H50" s="69">
        <f>IFERROR(VLOOKUP(B50,'📊 Problem Tracker'!$B$4:$F$1200,5,FALSE()),"")</f>
        <v>0</v>
      </c>
      <c r="I50" s="72"/>
      <c r="J50" s="72" t="s">
        <v>1136</v>
      </c>
      <c r="K50" s="250" t="s">
        <v>513</v>
      </c>
      <c r="L50" s="69" t="s">
        <v>65</v>
      </c>
      <c r="M50" s="178" t="s">
        <v>47</v>
      </c>
      <c r="N50" s="204" t="str">
        <f>HYPERLINK("https://leetcode.com/problems/maximum-profit-in-job-scheduling/","https://leetcode.com/problems/maximum-profit-in-job-scheduling/")</f>
        <v>https://leetcode.com/problems/maximum-profit-in-job-scheduling/</v>
      </c>
    </row>
    <row r="51" spans="1:14" ht="31.5" customHeight="1" x14ac:dyDescent="0.2">
      <c r="A51" s="7">
        <v>47</v>
      </c>
      <c r="B51" s="7">
        <v>75</v>
      </c>
      <c r="C51" s="13" t="s">
        <v>422</v>
      </c>
      <c r="D51" s="18" t="s">
        <v>28</v>
      </c>
      <c r="E51" s="3" t="s">
        <v>4265</v>
      </c>
      <c r="F51" s="3"/>
      <c r="G51" s="7"/>
      <c r="H51" s="7">
        <f>IFERROR(VLOOKUP(B51,'📊 Problem Tracker'!$B$4:$F$1200,5,FALSE()),"")</f>
        <v>0</v>
      </c>
      <c r="I51" s="3"/>
      <c r="J51" s="3" t="s">
        <v>84</v>
      </c>
      <c r="K51" s="228" t="s">
        <v>424</v>
      </c>
      <c r="L51" s="7" t="s">
        <v>24</v>
      </c>
      <c r="M51" s="176" t="s">
        <v>47</v>
      </c>
      <c r="N51" s="191" t="str">
        <f>HYPERLINK("https://leetcode.com/problems/sort-colors/","https://leetcode.com/problems/sort-colors/")</f>
        <v>https://leetcode.com/problems/sort-colors/</v>
      </c>
    </row>
    <row r="52" spans="1:14" ht="31.5" customHeight="1" x14ac:dyDescent="0.2">
      <c r="A52" s="69">
        <v>48</v>
      </c>
      <c r="B52" s="69">
        <v>76</v>
      </c>
      <c r="C52" s="70" t="s">
        <v>426</v>
      </c>
      <c r="D52" s="74" t="s">
        <v>42</v>
      </c>
      <c r="E52" s="72" t="s">
        <v>917</v>
      </c>
      <c r="F52" s="72"/>
      <c r="G52" s="69"/>
      <c r="H52" s="69">
        <f>IFERROR(VLOOKUP(B52,'📊 Problem Tracker'!$B$4:$F$1200,5,FALSE()),"")</f>
        <v>0</v>
      </c>
      <c r="I52" s="72"/>
      <c r="J52" s="72" t="s">
        <v>427</v>
      </c>
      <c r="K52" s="250" t="s">
        <v>430</v>
      </c>
      <c r="L52" s="69" t="s">
        <v>178</v>
      </c>
      <c r="M52" s="178" t="s">
        <v>153</v>
      </c>
      <c r="N52" s="204" t="str">
        <f>HYPERLINK("https://leetcode.com/problems/minimum-window-substring/","https://leetcode.com/problems/minimum-window-substring/")</f>
        <v>https://leetcode.com/problems/minimum-window-substring/</v>
      </c>
    </row>
    <row r="53" spans="1:14" ht="31.5" customHeight="1" x14ac:dyDescent="0.2">
      <c r="A53" s="7">
        <v>49</v>
      </c>
      <c r="B53" s="7">
        <v>78</v>
      </c>
      <c r="C53" s="13" t="s">
        <v>436</v>
      </c>
      <c r="D53" s="18" t="s">
        <v>28</v>
      </c>
      <c r="E53" s="3" t="s">
        <v>4267</v>
      </c>
      <c r="F53" s="3"/>
      <c r="G53" s="7"/>
      <c r="H53" s="7">
        <f>IFERROR(VLOOKUP(B53,'📊 Problem Tracker'!$B$4:$F$1200,5,FALSE()),"")</f>
        <v>0</v>
      </c>
      <c r="I53" s="3"/>
      <c r="J53" s="3" t="s">
        <v>234</v>
      </c>
      <c r="K53" s="228" t="s">
        <v>439</v>
      </c>
      <c r="L53" s="7" t="s">
        <v>440</v>
      </c>
      <c r="M53" s="176" t="s">
        <v>24</v>
      </c>
      <c r="N53" s="191" t="str">
        <f>HYPERLINK("https://leetcode.com/problems/subsets/","https://leetcode.com/problems/subsets/")</f>
        <v>https://leetcode.com/problems/subsets/</v>
      </c>
    </row>
    <row r="54" spans="1:14" ht="31.5" customHeight="1" x14ac:dyDescent="0.2">
      <c r="A54" s="69">
        <v>50</v>
      </c>
      <c r="B54" s="69">
        <v>79</v>
      </c>
      <c r="C54" s="70" t="s">
        <v>442</v>
      </c>
      <c r="D54" s="71" t="s">
        <v>28</v>
      </c>
      <c r="E54" s="72" t="s">
        <v>4268</v>
      </c>
      <c r="F54" s="72"/>
      <c r="G54" s="69"/>
      <c r="H54" s="69">
        <f>IFERROR(VLOOKUP(B54,'📊 Problem Tracker'!$B$4:$F$1200,5,FALSE()),"")</f>
        <v>0</v>
      </c>
      <c r="I54" s="72"/>
      <c r="J54" s="72" t="s">
        <v>4192</v>
      </c>
      <c r="K54" s="250" t="s">
        <v>445</v>
      </c>
      <c r="L54" s="69" t="s">
        <v>446</v>
      </c>
      <c r="M54" s="178" t="s">
        <v>392</v>
      </c>
      <c r="N54" s="204" t="str">
        <f>HYPERLINK("https://leetcode.com/problems/word-search/","https://leetcode.com/problems/word-search/")</f>
        <v>https://leetcode.com/problems/word-search/</v>
      </c>
    </row>
    <row r="55" spans="1:14" ht="31.5" customHeight="1" x14ac:dyDescent="0.2">
      <c r="A55" s="7">
        <v>51</v>
      </c>
      <c r="B55" s="7">
        <v>206</v>
      </c>
      <c r="C55" s="13" t="s">
        <v>899</v>
      </c>
      <c r="D55" s="21" t="s">
        <v>20</v>
      </c>
      <c r="E55" s="3" t="s">
        <v>4253</v>
      </c>
      <c r="F55" s="3"/>
      <c r="G55" s="7"/>
      <c r="H55" s="7">
        <f>IFERROR(VLOOKUP(B55,'📊 Problem Tracker'!$B$4:$F$1200,5,FALSE()),"")</f>
        <v>0</v>
      </c>
      <c r="I55" s="3"/>
      <c r="J55" s="3" t="s">
        <v>127</v>
      </c>
      <c r="K55" s="228" t="s">
        <v>901</v>
      </c>
      <c r="L55" s="7" t="s">
        <v>24</v>
      </c>
      <c r="M55" s="176" t="s">
        <v>47</v>
      </c>
      <c r="N55" s="191" t="str">
        <f>HYPERLINK("https://leetcode.com/problems/reverse-linked-list/","https://leetcode.com/problems/reverse-linked-list/")</f>
        <v>https://leetcode.com/problems/reverse-linked-list/</v>
      </c>
    </row>
    <row r="56" spans="1:14" ht="31.5" customHeight="1" x14ac:dyDescent="0.2">
      <c r="A56" s="69">
        <v>52</v>
      </c>
      <c r="B56" s="69">
        <v>207</v>
      </c>
      <c r="C56" s="70" t="s">
        <v>903</v>
      </c>
      <c r="D56" s="71" t="s">
        <v>28</v>
      </c>
      <c r="E56" s="72" t="s">
        <v>4282</v>
      </c>
      <c r="F56" s="72" t="s">
        <v>4283</v>
      </c>
      <c r="G56" s="69"/>
      <c r="H56" s="69">
        <f>IFERROR(VLOOKUP(B56,'📊 Problem Tracker'!$B$4:$F$1200,5,FALSE()),"")</f>
        <v>0</v>
      </c>
      <c r="I56" s="72"/>
      <c r="J56" s="72" t="s">
        <v>4156</v>
      </c>
      <c r="K56" s="250" t="s">
        <v>906</v>
      </c>
      <c r="L56" s="69" t="s">
        <v>648</v>
      </c>
      <c r="M56" s="178" t="s">
        <v>648</v>
      </c>
      <c r="N56" s="204" t="str">
        <f>HYPERLINK("https://leetcode.com/problems/course-schedule/","https://leetcode.com/problems/course-schedule/")</f>
        <v>https://leetcode.com/problems/course-schedule/</v>
      </c>
    </row>
    <row r="57" spans="1:14" ht="31.5" customHeight="1" x14ac:dyDescent="0.2">
      <c r="A57" s="7">
        <v>53</v>
      </c>
      <c r="B57" s="7">
        <v>208</v>
      </c>
      <c r="C57" s="13" t="s">
        <v>908</v>
      </c>
      <c r="D57" s="18" t="s">
        <v>28</v>
      </c>
      <c r="E57" s="3" t="s">
        <v>925</v>
      </c>
      <c r="F57" s="3"/>
      <c r="G57" s="7"/>
      <c r="H57" s="7">
        <f>IFERROR(VLOOKUP(B57,'📊 Problem Tracker'!$B$4:$F$1200,5,FALSE()),"")</f>
        <v>0</v>
      </c>
      <c r="I57" s="3"/>
      <c r="J57" s="3" t="s">
        <v>909</v>
      </c>
      <c r="K57" s="228" t="s">
        <v>911</v>
      </c>
      <c r="L57" s="7" t="s">
        <v>912</v>
      </c>
      <c r="M57" s="176" t="s">
        <v>913</v>
      </c>
      <c r="N57" s="191" t="str">
        <f>HYPERLINK("https://leetcode.com/problems/implement-trie-prefix-tree/","https://leetcode.com/problems/implement-trie-prefix-tree/")</f>
        <v>https://leetcode.com/problems/implement-trie-prefix-tree/</v>
      </c>
    </row>
    <row r="58" spans="1:14" ht="31.5" customHeight="1" x14ac:dyDescent="0.2">
      <c r="A58" s="69">
        <v>54</v>
      </c>
      <c r="B58" s="69">
        <v>721</v>
      </c>
      <c r="C58" s="70" t="s">
        <v>1805</v>
      </c>
      <c r="D58" s="71" t="s">
        <v>28</v>
      </c>
      <c r="E58" s="72" t="s">
        <v>1736</v>
      </c>
      <c r="F58" s="72" t="s">
        <v>4244</v>
      </c>
      <c r="G58" s="69"/>
      <c r="H58" s="69">
        <f>IFERROR(VLOOKUP(B58,'📊 Problem Tracker'!$B$4:$F$1200,5,FALSE()),"")</f>
        <v>0</v>
      </c>
      <c r="I58" s="72"/>
      <c r="J58" s="72" t="s">
        <v>1806</v>
      </c>
      <c r="K58" s="250" t="s">
        <v>619</v>
      </c>
      <c r="L58" s="69" t="s">
        <v>1807</v>
      </c>
      <c r="M58" s="178" t="s">
        <v>1808</v>
      </c>
      <c r="N58" s="204" t="str">
        <f>HYPERLINK("https://leetcode.com/problems/accounts-merge/","https://leetcode.com/problems/accounts-merge/")</f>
        <v>https://leetcode.com/problems/accounts-merge/</v>
      </c>
    </row>
    <row r="59" spans="1:14" ht="31.5" customHeight="1" x14ac:dyDescent="0.2">
      <c r="A59" s="7">
        <v>55</v>
      </c>
      <c r="B59" s="7">
        <v>84</v>
      </c>
      <c r="C59" s="13" t="s">
        <v>465</v>
      </c>
      <c r="D59" s="20" t="s">
        <v>42</v>
      </c>
      <c r="E59" s="3" t="s">
        <v>1473</v>
      </c>
      <c r="F59" s="3"/>
      <c r="G59" s="7"/>
      <c r="H59" s="7">
        <f>IFERROR(VLOOKUP(B59,'📊 Problem Tracker'!$B$4:$F$1200,5,FALSE()),"")</f>
        <v>0</v>
      </c>
      <c r="I59" s="3"/>
      <c r="J59" s="3" t="s">
        <v>466</v>
      </c>
      <c r="K59" s="228" t="s">
        <v>468</v>
      </c>
      <c r="L59" s="7" t="s">
        <v>24</v>
      </c>
      <c r="M59" s="176" t="s">
        <v>24</v>
      </c>
      <c r="N59" s="191" t="str">
        <f>HYPERLINK("https://leetcode.com/problems/largest-rectangle-in-histogram/","https://leetcode.com/problems/largest-rectangle-in-histogram/")</f>
        <v>https://leetcode.com/problems/largest-rectangle-in-histogram/</v>
      </c>
    </row>
    <row r="60" spans="1:14" ht="31.5" customHeight="1" x14ac:dyDescent="0.2">
      <c r="A60" s="69">
        <v>56</v>
      </c>
      <c r="B60" s="69">
        <v>217</v>
      </c>
      <c r="C60" s="70" t="s">
        <v>951</v>
      </c>
      <c r="D60" s="73" t="s">
        <v>20</v>
      </c>
      <c r="E60" s="72" t="s">
        <v>4244</v>
      </c>
      <c r="F60" s="72"/>
      <c r="G60" s="69"/>
      <c r="H60" s="69">
        <f>IFERROR(VLOOKUP(B60,'📊 Problem Tracker'!$B$4:$F$1200,5,FALSE()),"")</f>
        <v>0</v>
      </c>
      <c r="I60" s="72"/>
      <c r="J60" s="72" t="s">
        <v>19</v>
      </c>
      <c r="K60" s="250" t="s">
        <v>954</v>
      </c>
      <c r="L60" s="69" t="s">
        <v>24</v>
      </c>
      <c r="M60" s="178" t="s">
        <v>24</v>
      </c>
      <c r="N60" s="204" t="str">
        <f>HYPERLINK("https://leetcode.com/problems/contains-duplicate/","https://leetcode.com/problems/contains-duplicate/")</f>
        <v>https://leetcode.com/problems/contains-duplicate/</v>
      </c>
    </row>
    <row r="61" spans="1:14" ht="31.5" customHeight="1" x14ac:dyDescent="0.2">
      <c r="A61" s="7">
        <v>57</v>
      </c>
      <c r="B61" s="7">
        <v>733</v>
      </c>
      <c r="C61" s="13" t="s">
        <v>1828</v>
      </c>
      <c r="D61" s="21" t="s">
        <v>20</v>
      </c>
      <c r="E61" s="3" t="s">
        <v>4274</v>
      </c>
      <c r="F61" s="3"/>
      <c r="G61" s="7"/>
      <c r="H61" s="7">
        <f>IFERROR(VLOOKUP(B61,'📊 Problem Tracker'!$B$4:$F$1200,5,FALSE()),"")</f>
        <v>0</v>
      </c>
      <c r="I61" s="3"/>
      <c r="J61" s="3" t="s">
        <v>637</v>
      </c>
      <c r="K61" s="228" t="s">
        <v>1830</v>
      </c>
      <c r="L61" s="7" t="s">
        <v>81</v>
      </c>
      <c r="M61" s="176" t="s">
        <v>81</v>
      </c>
      <c r="N61" s="191" t="str">
        <f>HYPERLINK("https://leetcode.com/problems/flood-fill/","https://leetcode.com/problems/flood-fill/")</f>
        <v>https://leetcode.com/problems/flood-fill/</v>
      </c>
    </row>
    <row r="62" spans="1:14" ht="31.5" customHeight="1" x14ac:dyDescent="0.2">
      <c r="A62" s="69">
        <v>58</v>
      </c>
      <c r="B62" s="69">
        <v>224</v>
      </c>
      <c r="C62" s="70" t="s">
        <v>970</v>
      </c>
      <c r="D62" s="74" t="s">
        <v>42</v>
      </c>
      <c r="E62" s="72" t="s">
        <v>540</v>
      </c>
      <c r="F62" s="72"/>
      <c r="G62" s="69"/>
      <c r="H62" s="69">
        <f>IFERROR(VLOOKUP(B62,'📊 Problem Tracker'!$B$4:$F$1200,5,FALSE()),"")</f>
        <v>0</v>
      </c>
      <c r="I62" s="72"/>
      <c r="J62" s="72" t="s">
        <v>971</v>
      </c>
      <c r="K62" s="250" t="s">
        <v>542</v>
      </c>
      <c r="L62" s="69" t="s">
        <v>24</v>
      </c>
      <c r="M62" s="178" t="s">
        <v>24</v>
      </c>
      <c r="N62" s="204" t="str">
        <f>HYPERLINK("https://leetcode.com/problems/basic-calculator/","https://leetcode.com/problems/basic-calculator/")</f>
        <v>https://leetcode.com/problems/basic-calculator/</v>
      </c>
    </row>
    <row r="63" spans="1:14" ht="31.5" customHeight="1" x14ac:dyDescent="0.2">
      <c r="A63" s="7">
        <v>59</v>
      </c>
      <c r="B63" s="7">
        <v>98</v>
      </c>
      <c r="C63" s="13" t="s">
        <v>517</v>
      </c>
      <c r="D63" s="18" t="s">
        <v>28</v>
      </c>
      <c r="E63" s="3" t="s">
        <v>4256</v>
      </c>
      <c r="F63" s="3" t="s">
        <v>4269</v>
      </c>
      <c r="G63" s="7"/>
      <c r="H63" s="7">
        <f>IFERROR(VLOOKUP(B63,'📊 Problem Tracker'!$B$4:$F$1200,5,FALSE()),"")</f>
        <v>0</v>
      </c>
      <c r="I63" s="3"/>
      <c r="J63" s="3" t="s">
        <v>518</v>
      </c>
      <c r="K63" s="228" t="s">
        <v>520</v>
      </c>
      <c r="L63" s="7" t="s">
        <v>24</v>
      </c>
      <c r="M63" s="176" t="s">
        <v>503</v>
      </c>
      <c r="N63" s="191" t="str">
        <f>HYPERLINK("https://leetcode.com/problems/validate-binary-search-tree/","https://leetcode.com/problems/validate-binary-search-tree/")</f>
        <v>https://leetcode.com/problems/validate-binary-search-tree/</v>
      </c>
    </row>
    <row r="64" spans="1:14" ht="31.5" customHeight="1" x14ac:dyDescent="0.2">
      <c r="A64" s="69">
        <v>60</v>
      </c>
      <c r="B64" s="69">
        <v>226</v>
      </c>
      <c r="C64" s="70" t="s">
        <v>976</v>
      </c>
      <c r="D64" s="73" t="s">
        <v>20</v>
      </c>
      <c r="E64" s="72" t="s">
        <v>4256</v>
      </c>
      <c r="F64" s="72"/>
      <c r="G64" s="69"/>
      <c r="H64" s="69">
        <f>IFERROR(VLOOKUP(B64,'📊 Problem Tracker'!$B$4:$F$1200,5,FALSE()),"")</f>
        <v>0</v>
      </c>
      <c r="I64" s="72"/>
      <c r="J64" s="72" t="s">
        <v>500</v>
      </c>
      <c r="K64" s="250" t="s">
        <v>978</v>
      </c>
      <c r="L64" s="69" t="s">
        <v>24</v>
      </c>
      <c r="M64" s="178" t="s">
        <v>503</v>
      </c>
      <c r="N64" s="204" t="str">
        <f>HYPERLINK("https://leetcode.com/problems/invert-binary-tree/","https://leetcode.com/problems/invert-binary-tree/")</f>
        <v>https://leetcode.com/problems/invert-binary-tree/</v>
      </c>
    </row>
    <row r="65" spans="1:14" ht="31.5" customHeight="1" x14ac:dyDescent="0.2">
      <c r="A65" s="7">
        <v>61</v>
      </c>
      <c r="B65" s="7">
        <v>102</v>
      </c>
      <c r="C65" s="13" t="s">
        <v>533</v>
      </c>
      <c r="D65" s="18" t="s">
        <v>28</v>
      </c>
      <c r="E65" s="3" t="s">
        <v>4270</v>
      </c>
      <c r="F65" s="3"/>
      <c r="G65" s="7"/>
      <c r="H65" s="7">
        <f>IFERROR(VLOOKUP(B65,'📊 Problem Tracker'!$B$4:$F$1200,5,FALSE()),"")</f>
        <v>0</v>
      </c>
      <c r="I65" s="3"/>
      <c r="J65" s="3" t="s">
        <v>534</v>
      </c>
      <c r="K65" s="228" t="s">
        <v>536</v>
      </c>
      <c r="L65" s="7" t="s">
        <v>24</v>
      </c>
      <c r="M65" s="176" t="s">
        <v>24</v>
      </c>
      <c r="N65" s="191" t="str">
        <f>HYPERLINK("https://leetcode.com/problems/binary-tree-level-order-traversal/","https://leetcode.com/problems/binary-tree-level-order-traversal/")</f>
        <v>https://leetcode.com/problems/binary-tree-level-order-traversal/</v>
      </c>
    </row>
    <row r="66" spans="1:14" ht="31.5" customHeight="1" x14ac:dyDescent="0.2">
      <c r="A66" s="69">
        <v>62</v>
      </c>
      <c r="B66" s="69">
        <v>230</v>
      </c>
      <c r="C66" s="70" t="s">
        <v>989</v>
      </c>
      <c r="D66" s="71" t="s">
        <v>28</v>
      </c>
      <c r="E66" s="72" t="s">
        <v>4287</v>
      </c>
      <c r="F66" s="72" t="s">
        <v>4269</v>
      </c>
      <c r="G66" s="69"/>
      <c r="H66" s="69">
        <f>IFERROR(VLOOKUP(B66,'📊 Problem Tracker'!$B$4:$F$1200,5,FALSE()),"")</f>
        <v>0</v>
      </c>
      <c r="I66" s="72"/>
      <c r="J66" s="72" t="s">
        <v>518</v>
      </c>
      <c r="K66" s="250" t="s">
        <v>571</v>
      </c>
      <c r="L66" s="69" t="s">
        <v>991</v>
      </c>
      <c r="M66" s="178" t="s">
        <v>503</v>
      </c>
      <c r="N66" s="204" t="str">
        <f>HYPERLINK("https://leetcode.com/problems/kth-smallest-element-in-a-bst/","https://leetcode.com/problems/kth-smallest-element-in-a-bst/")</f>
        <v>https://leetcode.com/problems/kth-smallest-element-in-a-bst/</v>
      </c>
    </row>
    <row r="67" spans="1:14" ht="31.5" customHeight="1" x14ac:dyDescent="0.2">
      <c r="A67" s="7">
        <v>63</v>
      </c>
      <c r="B67" s="7">
        <v>104</v>
      </c>
      <c r="C67" s="13" t="s">
        <v>544</v>
      </c>
      <c r="D67" s="21" t="s">
        <v>20</v>
      </c>
      <c r="E67" s="3" t="s">
        <v>4256</v>
      </c>
      <c r="F67" s="3"/>
      <c r="G67" s="7"/>
      <c r="H67" s="7">
        <f>IFERROR(VLOOKUP(B67,'📊 Problem Tracker'!$B$4:$F$1200,5,FALSE()),"")</f>
        <v>0</v>
      </c>
      <c r="I67" s="3"/>
      <c r="J67" s="3" t="s">
        <v>500</v>
      </c>
      <c r="K67" s="228" t="s">
        <v>546</v>
      </c>
      <c r="L67" s="7" t="s">
        <v>24</v>
      </c>
      <c r="M67" s="176" t="s">
        <v>503</v>
      </c>
      <c r="N67" s="191" t="str">
        <f>HYPERLINK("https://leetcode.com/problems/maximum-depth-of-binary-tree/","https://leetcode.com/problems/maximum-depth-of-binary-tree/")</f>
        <v>https://leetcode.com/problems/maximum-depth-of-binary-tree/</v>
      </c>
    </row>
    <row r="68" spans="1:14" ht="31.5" customHeight="1" x14ac:dyDescent="0.2">
      <c r="A68" s="69">
        <v>64</v>
      </c>
      <c r="B68" s="69">
        <v>105</v>
      </c>
      <c r="C68" s="70" t="s">
        <v>548</v>
      </c>
      <c r="D68" s="71" t="s">
        <v>28</v>
      </c>
      <c r="E68" s="72" t="s">
        <v>4256</v>
      </c>
      <c r="F68" s="72" t="s">
        <v>1368</v>
      </c>
      <c r="G68" s="69"/>
      <c r="H68" s="69">
        <f>IFERROR(VLOOKUP(B68,'📊 Problem Tracker'!$B$4:$F$1200,5,FALSE()),"")</f>
        <v>0</v>
      </c>
      <c r="I68" s="72"/>
      <c r="J68" s="72" t="s">
        <v>549</v>
      </c>
      <c r="K68" s="250" t="s">
        <v>551</v>
      </c>
      <c r="L68" s="69" t="s">
        <v>24</v>
      </c>
      <c r="M68" s="178" t="s">
        <v>24</v>
      </c>
      <c r="N68" s="204" t="str">
        <f>HYPERLINK("https://leetcode.com/problems/construct-binary-tree-from-preorder-and-inorder-traversal/","https://leetcode.com/problems/construct-binary-tree-from-preorder-and-inorder-traversal/")</f>
        <v>https://leetcode.com/problems/construct-binary-tree-from-preorder-and-inorder-traversal/</v>
      </c>
    </row>
    <row r="69" spans="1:14" ht="31.5" customHeight="1" x14ac:dyDescent="0.2">
      <c r="A69" s="7">
        <v>65</v>
      </c>
      <c r="B69" s="7">
        <v>232</v>
      </c>
      <c r="C69" s="13" t="s">
        <v>995</v>
      </c>
      <c r="D69" s="21" t="s">
        <v>20</v>
      </c>
      <c r="E69" s="3" t="s">
        <v>540</v>
      </c>
      <c r="F69" s="3" t="s">
        <v>4288</v>
      </c>
      <c r="G69" s="7"/>
      <c r="H69" s="7">
        <f>IFERROR(VLOOKUP(B69,'📊 Problem Tracker'!$B$4:$F$1200,5,FALSE()),"")</f>
        <v>0</v>
      </c>
      <c r="I69" s="3"/>
      <c r="J69" s="3" t="s">
        <v>974</v>
      </c>
      <c r="K69" s="228" t="s">
        <v>542</v>
      </c>
      <c r="L69" s="7" t="s">
        <v>996</v>
      </c>
      <c r="M69" s="176" t="s">
        <v>24</v>
      </c>
      <c r="N69" s="191" t="str">
        <f>HYPERLINK("https://leetcode.com/problems/implement-queue-using-stacks/","https://leetcode.com/problems/implement-queue-using-stacks/")</f>
        <v>https://leetcode.com/problems/implement-queue-using-stacks/</v>
      </c>
    </row>
    <row r="70" spans="1:14" ht="31.5" customHeight="1" x14ac:dyDescent="0.2">
      <c r="A70" s="69">
        <v>66</v>
      </c>
      <c r="B70" s="69">
        <v>235</v>
      </c>
      <c r="C70" s="70" t="s">
        <v>1002</v>
      </c>
      <c r="D70" s="71" t="s">
        <v>28</v>
      </c>
      <c r="E70" s="72" t="s">
        <v>4256</v>
      </c>
      <c r="F70" s="72" t="s">
        <v>4269</v>
      </c>
      <c r="G70" s="69"/>
      <c r="H70" s="69">
        <f>IFERROR(VLOOKUP(B70,'📊 Problem Tracker'!$B$4:$F$1200,5,FALSE()),"")</f>
        <v>0</v>
      </c>
      <c r="I70" s="72"/>
      <c r="J70" s="72" t="s">
        <v>518</v>
      </c>
      <c r="K70" s="250" t="s">
        <v>513</v>
      </c>
      <c r="L70" s="69" t="s">
        <v>503</v>
      </c>
      <c r="M70" s="178" t="s">
        <v>47</v>
      </c>
      <c r="N70" s="204" t="str">
        <f>HYPERLINK("https://leetcode.com/problems/lowest-common-ancestor-of-a-binary-search-tree/","https://leetcode.com/problems/lowest-common-ancestor-of-a-binary-search-tree/")</f>
        <v>https://leetcode.com/problems/lowest-common-ancestor-of-a-binary-search-tree/</v>
      </c>
    </row>
    <row r="71" spans="1:14" ht="31.5" customHeight="1" x14ac:dyDescent="0.2">
      <c r="A71" s="7">
        <v>67</v>
      </c>
      <c r="B71" s="7">
        <v>236</v>
      </c>
      <c r="C71" s="13" t="s">
        <v>1004</v>
      </c>
      <c r="D71" s="18" t="s">
        <v>28</v>
      </c>
      <c r="E71" s="3" t="s">
        <v>4256</v>
      </c>
      <c r="F71" s="3"/>
      <c r="G71" s="7"/>
      <c r="H71" s="7">
        <f>IFERROR(VLOOKUP(B71,'📊 Problem Tracker'!$B$4:$F$1200,5,FALSE()),"")</f>
        <v>0</v>
      </c>
      <c r="I71" s="3"/>
      <c r="J71" s="3" t="s">
        <v>500</v>
      </c>
      <c r="K71" s="228" t="s">
        <v>571</v>
      </c>
      <c r="L71" s="7" t="s">
        <v>24</v>
      </c>
      <c r="M71" s="176" t="s">
        <v>503</v>
      </c>
      <c r="N71" s="191" t="str">
        <f>HYPERLINK("https://leetcode.com/problems/lowest-common-ancestor-of-a-binary-tree/","https://leetcode.com/problems/lowest-common-ancestor-of-a-binary-tree/")</f>
        <v>https://leetcode.com/problems/lowest-common-ancestor-of-a-binary-tree/</v>
      </c>
    </row>
    <row r="72" spans="1:14" ht="31.5" customHeight="1" x14ac:dyDescent="0.2">
      <c r="A72" s="69">
        <v>68</v>
      </c>
      <c r="B72" s="69">
        <v>621</v>
      </c>
      <c r="C72" s="70" t="s">
        <v>1665</v>
      </c>
      <c r="D72" s="71" t="s">
        <v>28</v>
      </c>
      <c r="E72" s="72" t="s">
        <v>4272</v>
      </c>
      <c r="F72" s="72"/>
      <c r="G72" s="69"/>
      <c r="H72" s="69">
        <f>IFERROR(VLOOKUP(B72,'📊 Problem Tracker'!$B$4:$F$1200,5,FALSE()),"")</f>
        <v>0</v>
      </c>
      <c r="I72" s="72"/>
      <c r="J72" s="72" t="s">
        <v>1531</v>
      </c>
      <c r="K72" s="250" t="s">
        <v>959</v>
      </c>
      <c r="L72" s="69" t="s">
        <v>24</v>
      </c>
      <c r="M72" s="178" t="s">
        <v>47</v>
      </c>
      <c r="N72" s="204" t="str">
        <f>HYPERLINK("https://leetcode.com/problems/task-scheduler/","https://leetcode.com/problems/task-scheduler/")</f>
        <v>https://leetcode.com/problems/task-scheduler/</v>
      </c>
    </row>
    <row r="73" spans="1:14" ht="31.5" customHeight="1" x14ac:dyDescent="0.2">
      <c r="A73" s="7">
        <v>69</v>
      </c>
      <c r="B73" s="7">
        <v>110</v>
      </c>
      <c r="C73" s="13" t="s">
        <v>568</v>
      </c>
      <c r="D73" s="21" t="s">
        <v>20</v>
      </c>
      <c r="E73" s="3" t="s">
        <v>4256</v>
      </c>
      <c r="F73" s="3"/>
      <c r="G73" s="7"/>
      <c r="H73" s="7">
        <f>IFERROR(VLOOKUP(B73,'📊 Problem Tracker'!$B$4:$F$1200,5,FALSE()),"")</f>
        <v>0</v>
      </c>
      <c r="I73" s="3"/>
      <c r="J73" s="3" t="s">
        <v>500</v>
      </c>
      <c r="K73" s="228" t="s">
        <v>571</v>
      </c>
      <c r="L73" s="7" t="s">
        <v>24</v>
      </c>
      <c r="M73" s="176" t="s">
        <v>503</v>
      </c>
      <c r="N73" s="191" t="str">
        <f>HYPERLINK("https://leetcode.com/problems/balanced-binary-tree/","https://leetcode.com/problems/balanced-binary-tree/")</f>
        <v>https://leetcode.com/problems/balanced-binary-tree/</v>
      </c>
    </row>
    <row r="74" spans="1:14" ht="31.5" customHeight="1" x14ac:dyDescent="0.2">
      <c r="A74" s="69">
        <v>70</v>
      </c>
      <c r="B74" s="69">
        <v>238</v>
      </c>
      <c r="C74" s="70" t="s">
        <v>1008</v>
      </c>
      <c r="D74" s="71" t="s">
        <v>28</v>
      </c>
      <c r="E74" s="72" t="s">
        <v>4291</v>
      </c>
      <c r="F74" s="72"/>
      <c r="G74" s="69"/>
      <c r="H74" s="69">
        <f>IFERROR(VLOOKUP(B74,'📊 Problem Tracker'!$B$4:$F$1200,5,FALSE()),"")</f>
        <v>0</v>
      </c>
      <c r="I74" s="72"/>
      <c r="J74" s="72" t="s">
        <v>1009</v>
      </c>
      <c r="K74" s="250" t="s">
        <v>1011</v>
      </c>
      <c r="L74" s="69" t="s">
        <v>24</v>
      </c>
      <c r="M74" s="178" t="s">
        <v>1012</v>
      </c>
      <c r="N74" s="204" t="str">
        <f>HYPERLINK("https://leetcode.com/problems/product-of-array-except-self/","https://leetcode.com/problems/product-of-array-except-self/")</f>
        <v>https://leetcode.com/problems/product-of-array-except-self/</v>
      </c>
    </row>
    <row r="75" spans="1:14" ht="31.5" customHeight="1" x14ac:dyDescent="0.2">
      <c r="A75" s="7">
        <v>71</v>
      </c>
      <c r="B75" s="7">
        <v>242</v>
      </c>
      <c r="C75" s="13" t="s">
        <v>1022</v>
      </c>
      <c r="D75" s="21" t="s">
        <v>20</v>
      </c>
      <c r="E75" s="3" t="s">
        <v>4244</v>
      </c>
      <c r="F75" s="3"/>
      <c r="G75" s="7"/>
      <c r="H75" s="7">
        <f>IFERROR(VLOOKUP(B75,'📊 Problem Tracker'!$B$4:$F$1200,5,FALSE()),"")</f>
        <v>0</v>
      </c>
      <c r="I75" s="3"/>
      <c r="J75" s="3" t="s">
        <v>897</v>
      </c>
      <c r="K75" s="228" t="s">
        <v>1024</v>
      </c>
      <c r="L75" s="7" t="s">
        <v>24</v>
      </c>
      <c r="M75" s="176" t="s">
        <v>47</v>
      </c>
      <c r="N75" s="191" t="str">
        <f>HYPERLINK("https://leetcode.com/problems/valid-anagram/","https://leetcode.com/problems/valid-anagram/")</f>
        <v>https://leetcode.com/problems/valid-anagram/</v>
      </c>
    </row>
    <row r="76" spans="1:14" ht="31.5" customHeight="1" x14ac:dyDescent="0.2">
      <c r="A76" s="69">
        <v>72</v>
      </c>
      <c r="B76" s="69">
        <v>973</v>
      </c>
      <c r="C76" s="70" t="s">
        <v>2112</v>
      </c>
      <c r="D76" s="71" t="s">
        <v>28</v>
      </c>
      <c r="E76" s="72" t="s">
        <v>4280</v>
      </c>
      <c r="F76" s="72"/>
      <c r="G76" s="69"/>
      <c r="H76" s="69">
        <f>IFERROR(VLOOKUP(B76,'📊 Problem Tracker'!$B$4:$F$1200,5,FALSE()),"")</f>
        <v>0</v>
      </c>
      <c r="I76" s="72"/>
      <c r="J76" s="72" t="s">
        <v>2113</v>
      </c>
      <c r="K76" s="250" t="s">
        <v>2116</v>
      </c>
      <c r="L76" s="69" t="s">
        <v>960</v>
      </c>
      <c r="M76" s="178" t="s">
        <v>153</v>
      </c>
      <c r="N76" s="204" t="str">
        <f>HYPERLINK("https://leetcode.com/problems/k-closest-points-to-origin/","https://leetcode.com/problems/k-closest-points-to-origin/")</f>
        <v>https://leetcode.com/problems/k-closest-points-to-origin/</v>
      </c>
    </row>
    <row r="77" spans="1:14" ht="31.5" customHeight="1" x14ac:dyDescent="0.2">
      <c r="A77" s="7">
        <v>73</v>
      </c>
      <c r="B77" s="7">
        <v>121</v>
      </c>
      <c r="C77" s="13" t="s">
        <v>595</v>
      </c>
      <c r="D77" s="21" t="s">
        <v>20</v>
      </c>
      <c r="E77" s="3" t="s">
        <v>4273</v>
      </c>
      <c r="F77" s="3"/>
      <c r="G77" s="7"/>
      <c r="H77" s="7">
        <f>IFERROR(VLOOKUP(B77,'📊 Problem Tracker'!$B$4:$F$1200,5,FALSE()),"")</f>
        <v>0</v>
      </c>
      <c r="I77" s="3"/>
      <c r="J77" s="3" t="s">
        <v>318</v>
      </c>
      <c r="K77" s="228" t="s">
        <v>597</v>
      </c>
      <c r="L77" s="7" t="s">
        <v>24</v>
      </c>
      <c r="M77" s="176" t="s">
        <v>47</v>
      </c>
      <c r="N77" s="191" t="str">
        <f>HYPERLINK("https://leetcode.com/problems/best-time-to-buy-and-sell-stock/","https://leetcode.com/problems/best-time-to-buy-and-sell-stock/")</f>
        <v>https://leetcode.com/problems/best-time-to-buy-and-sell-stock/</v>
      </c>
    </row>
    <row r="78" spans="1:14" ht="31.5" customHeight="1" x14ac:dyDescent="0.2">
      <c r="A78" s="69">
        <v>74</v>
      </c>
      <c r="B78" s="69">
        <v>125</v>
      </c>
      <c r="C78" s="70" t="s">
        <v>610</v>
      </c>
      <c r="D78" s="73" t="s">
        <v>20</v>
      </c>
      <c r="E78" s="72" t="s">
        <v>689</v>
      </c>
      <c r="F78" s="72"/>
      <c r="G78" s="69"/>
      <c r="H78" s="69">
        <f>IFERROR(VLOOKUP(B78,'📊 Problem Tracker'!$B$4:$F$1200,5,FALSE()),"")</f>
        <v>0</v>
      </c>
      <c r="I78" s="72"/>
      <c r="J78" s="72" t="s">
        <v>611</v>
      </c>
      <c r="K78" s="250" t="s">
        <v>613</v>
      </c>
      <c r="L78" s="69" t="s">
        <v>24</v>
      </c>
      <c r="M78" s="178" t="s">
        <v>47</v>
      </c>
      <c r="N78" s="204" t="str">
        <f>HYPERLINK("https://leetcode.com/problems/valid-palindrome/","https://leetcode.com/problems/valid-palindrome/")</f>
        <v>https://leetcode.com/problems/valid-palindrome/</v>
      </c>
    </row>
    <row r="79" spans="1:14" ht="31.5" customHeight="1" x14ac:dyDescent="0.2">
      <c r="A79" s="7">
        <v>75</v>
      </c>
      <c r="B79" s="7">
        <v>127</v>
      </c>
      <c r="C79" s="13" t="s">
        <v>623</v>
      </c>
      <c r="D79" s="20" t="s">
        <v>42</v>
      </c>
      <c r="E79" s="3" t="s">
        <v>4258</v>
      </c>
      <c r="F79" s="3"/>
      <c r="G79" s="7"/>
      <c r="H79" s="7">
        <f>IFERROR(VLOOKUP(B79,'📊 Problem Tracker'!$B$4:$F$1200,5,FALSE()),"")</f>
        <v>0</v>
      </c>
      <c r="I79" s="3"/>
      <c r="J79" s="3" t="s">
        <v>624</v>
      </c>
      <c r="K79" s="228" t="s">
        <v>619</v>
      </c>
      <c r="L79" s="7" t="s">
        <v>625</v>
      </c>
      <c r="M79" s="176" t="s">
        <v>626</v>
      </c>
      <c r="N79" s="191" t="str">
        <f>HYPERLINK("https://leetcode.com/problems/word-ladder/","https://leetcode.com/problems/word-ladder/")</f>
        <v>https://leetcode.com/problems/word-ladder/</v>
      </c>
    </row>
  </sheetData>
  <autoFilter ref="A4:N4" xr:uid="{00000000-0001-0000-0B00-000000000000}"/>
  <mergeCells count="2">
    <mergeCell ref="A1:I2"/>
    <mergeCell ref="A3:I3"/>
  </mergeCells>
  <hyperlinks>
    <hyperlink ref="N5" r:id="rId1" display="https://leetcode.com/problems/two-sum/" xr:uid="{00000000-0004-0000-0B00-000000000000}"/>
    <hyperlink ref="N6" r:id="rId2" display="https://leetcode.com/problems/longest-substring-without-repeating-characters/" xr:uid="{00000000-0004-0000-0B00-000001000000}"/>
    <hyperlink ref="N7" r:id="rId3" display="https://leetcode.com/problems/longest-palindromic-substring/" xr:uid="{00000000-0004-0000-0B00-000002000000}"/>
    <hyperlink ref="N8" r:id="rId4" display="https://leetcode.com/problems/clone-graph/" xr:uid="{00000000-0004-0000-0B00-000003000000}"/>
    <hyperlink ref="N9" r:id="rId5" display="https://leetcode.com/problems/ransom-note/" xr:uid="{00000000-0004-0000-0B00-000004000000}"/>
    <hyperlink ref="N10" r:id="rId6" display="https://leetcode.com/problems/string-to-integer-atoi/" xr:uid="{00000000-0004-0000-0B00-000005000000}"/>
    <hyperlink ref="N11" r:id="rId7" display="https://leetcode.com/problems/container-with-most-water/" xr:uid="{00000000-0004-0000-0B00-000006000000}"/>
    <hyperlink ref="N12" r:id="rId8" display="https://leetcode.com/problems/word-break/" xr:uid="{00000000-0004-0000-0B00-000007000000}"/>
    <hyperlink ref="N13" r:id="rId9" display="https://leetcode.com/problems/linked-list-cycle/" xr:uid="{00000000-0004-0000-0B00-000008000000}"/>
    <hyperlink ref="N14" r:id="rId10" display="https://leetcode.com/problems/middle-of-the-linked-list/" xr:uid="{00000000-0004-0000-0B00-000009000000}"/>
    <hyperlink ref="N15" r:id="rId11" display="https://leetcode.com/problems/3sum/" xr:uid="{00000000-0004-0000-0B00-00000A000000}"/>
    <hyperlink ref="N16" r:id="rId12" display="https://leetcode.com/problems/rotting-oranges/" xr:uid="{00000000-0004-0000-0B00-00000B000000}"/>
    <hyperlink ref="N17" r:id="rId13" display="https://leetcode.com/problems/letter-combinations-of-a-phone-number/" xr:uid="{00000000-0004-0000-0B00-00000C000000}"/>
    <hyperlink ref="N18" r:id="rId14" display="https://leetcode.com/problems/lru-cache/" xr:uid="{00000000-0004-0000-0B00-00000D000000}"/>
    <hyperlink ref="N19" r:id="rId15" display="https://leetcode.com/problems/valid-parentheses/" xr:uid="{00000000-0004-0000-0B00-00000E000000}"/>
    <hyperlink ref="N20" r:id="rId16" display="https://leetcode.com/problems/merge-two-sorted-lists/" xr:uid="{00000000-0004-0000-0B00-00000F000000}"/>
    <hyperlink ref="N21" r:id="rId17" display="https://leetcode.com/problems/evaluate-reverse-polish-notation/" xr:uid="{00000000-0004-0000-0B00-000010000000}"/>
    <hyperlink ref="N22" r:id="rId18" display="https://leetcode.com/problems/merge-k-sorted-lists/" xr:uid="{00000000-0004-0000-0B00-000011000000}"/>
    <hyperlink ref="N23" r:id="rId19" display="https://leetcode.com/problems/first-bad-version/" xr:uid="{00000000-0004-0000-0B00-000012000000}"/>
    <hyperlink ref="N24" r:id="rId20" display="https://leetcode.com/problems/longest-palindrome/" xr:uid="{00000000-0004-0000-0B00-000013000000}"/>
    <hyperlink ref="N25" r:id="rId21" display="https://leetcode.com/problems/binary-search/" xr:uid="{00000000-0004-0000-0B00-000014000000}"/>
    <hyperlink ref="N26" r:id="rId22" display="https://leetcode.com/problems/min-stack/" xr:uid="{00000000-0004-0000-0B00-000015000000}"/>
    <hyperlink ref="N27" r:id="rId23" display="https://leetcode.com/problems/time-based-key-value-store/" xr:uid="{00000000-0004-0000-0B00-000016000000}"/>
    <hyperlink ref="N28" r:id="rId24" display="https://leetcode.com/problems/01-matrix/" xr:uid="{00000000-0004-0000-0B00-000017000000}"/>
    <hyperlink ref="N29" r:id="rId25" display="https://leetcode.com/problems/diameter-of-binary-tree/" xr:uid="{00000000-0004-0000-0B00-000018000000}"/>
    <hyperlink ref="N30" r:id="rId26" display="https://leetcode.com/problems/partition-equal-subset-sum/" xr:uid="{00000000-0004-0000-0B00-000019000000}"/>
    <hyperlink ref="N31" r:id="rId27" display="https://leetcode.com/problems/search-in-rotated-sorted-array/" xr:uid="{00000000-0004-0000-0B00-00001A000000}"/>
    <hyperlink ref="N32" r:id="rId28" display="https://leetcode.com/problems/combination-sum/" xr:uid="{00000000-0004-0000-0B00-00001B000000}"/>
    <hyperlink ref="N33" r:id="rId29" display="https://leetcode.com/problems/find-median-from-data-stream/" xr:uid="{00000000-0004-0000-0B00-00001C000000}"/>
    <hyperlink ref="N34" r:id="rId30" display="https://leetcode.com/problems/majority-element/" xr:uid="{00000000-0004-0000-0B00-00001D000000}"/>
    <hyperlink ref="N35" r:id="rId31" display="https://leetcode.com/problems/trapping-rain-water/" xr:uid="{00000000-0004-0000-0B00-00001E000000}"/>
    <hyperlink ref="N36" r:id="rId32" display="https://leetcode.com/problems/serialize-and-deserialize-binary-tree/" xr:uid="{00000000-0004-0000-0B00-00001F000000}"/>
    <hyperlink ref="N37" r:id="rId33" display="https://leetcode.com/problems/permutations/" xr:uid="{00000000-0004-0000-0B00-000020000000}"/>
    <hyperlink ref="N38" r:id="rId34" display="https://leetcode.com/problems/maximum-subarray/" xr:uid="{00000000-0004-0000-0B00-000021000000}"/>
    <hyperlink ref="N39" r:id="rId35" display="https://leetcode.com/problems/spiral-matrix/" xr:uid="{00000000-0004-0000-0B00-000022000000}"/>
    <hyperlink ref="N40" r:id="rId36" display="https://leetcode.com/problems/minimum-height-trees/" xr:uid="{00000000-0004-0000-0B00-000023000000}"/>
    <hyperlink ref="N41" r:id="rId37" display="https://leetcode.com/problems/merge-intervals/" xr:uid="{00000000-0004-0000-0B00-000024000000}"/>
    <hyperlink ref="N42" r:id="rId38" display="https://leetcode.com/problems/insert-interval/" xr:uid="{00000000-0004-0000-0B00-000025000000}"/>
    <hyperlink ref="N43" r:id="rId39" display="https://leetcode.com/problems/find-all-anagrams-in-a-string/" xr:uid="{00000000-0004-0000-0B00-000026000000}"/>
    <hyperlink ref="N44" r:id="rId40" display="https://leetcode.com/problems/unique-paths/" xr:uid="{00000000-0004-0000-0B00-000027000000}"/>
    <hyperlink ref="N45" r:id="rId41" display="https://leetcode.com/problems/coin-change/" xr:uid="{00000000-0004-0000-0B00-000028000000}"/>
    <hyperlink ref="N46" r:id="rId42" display="https://leetcode.com/problems/add-binary/" xr:uid="{00000000-0004-0000-0B00-000029000000}"/>
    <hyperlink ref="N47" r:id="rId43" display="https://leetcode.com/problems/climbing-stairs/" xr:uid="{00000000-0004-0000-0B00-00002A000000}"/>
    <hyperlink ref="N48" r:id="rId44" display="https://leetcode.com/problems/binary-tree-right-side-view/" xr:uid="{00000000-0004-0000-0B00-00002B000000}"/>
    <hyperlink ref="N49" r:id="rId45" display="https://leetcode.com/problems/number-of-islands/" xr:uid="{00000000-0004-0000-0B00-00002C000000}"/>
    <hyperlink ref="N50" r:id="rId46" display="https://leetcode.com/problems/maximum-profit-in-job-scheduling/" xr:uid="{00000000-0004-0000-0B00-00002D000000}"/>
    <hyperlink ref="N51" r:id="rId47" display="https://leetcode.com/problems/sort-colors/" xr:uid="{00000000-0004-0000-0B00-00002E000000}"/>
    <hyperlink ref="N52" r:id="rId48" display="https://leetcode.com/problems/minimum-window-substring/" xr:uid="{00000000-0004-0000-0B00-00002F000000}"/>
    <hyperlink ref="N53" r:id="rId49" display="https://leetcode.com/problems/subsets/" xr:uid="{00000000-0004-0000-0B00-000030000000}"/>
    <hyperlink ref="N54" r:id="rId50" display="https://leetcode.com/problems/word-search/" xr:uid="{00000000-0004-0000-0B00-000031000000}"/>
    <hyperlink ref="N55" r:id="rId51" display="https://leetcode.com/problems/reverse-linked-list/" xr:uid="{00000000-0004-0000-0B00-000032000000}"/>
    <hyperlink ref="N56" r:id="rId52" display="https://leetcode.com/problems/course-schedule/" xr:uid="{00000000-0004-0000-0B00-000033000000}"/>
    <hyperlink ref="N57" r:id="rId53" display="https://leetcode.com/problems/implement-trie-prefix-tree/" xr:uid="{00000000-0004-0000-0B00-000034000000}"/>
    <hyperlink ref="N58" r:id="rId54" display="https://leetcode.com/problems/accounts-merge/" xr:uid="{00000000-0004-0000-0B00-000035000000}"/>
    <hyperlink ref="N59" r:id="rId55" display="https://leetcode.com/problems/largest-rectangle-in-histogram/" xr:uid="{00000000-0004-0000-0B00-000036000000}"/>
    <hyperlink ref="N60" r:id="rId56" display="https://leetcode.com/problems/contains-duplicate/" xr:uid="{00000000-0004-0000-0B00-000037000000}"/>
    <hyperlink ref="N61" r:id="rId57" display="https://leetcode.com/problems/flood-fill/" xr:uid="{00000000-0004-0000-0B00-000038000000}"/>
    <hyperlink ref="N62" r:id="rId58" display="https://leetcode.com/problems/basic-calculator/" xr:uid="{00000000-0004-0000-0B00-000039000000}"/>
    <hyperlink ref="N63" r:id="rId59" display="https://leetcode.com/problems/validate-binary-search-tree/" xr:uid="{00000000-0004-0000-0B00-00003A000000}"/>
    <hyperlink ref="N64" r:id="rId60" display="https://leetcode.com/problems/invert-binary-tree/" xr:uid="{00000000-0004-0000-0B00-00003B000000}"/>
    <hyperlink ref="N65" r:id="rId61" display="https://leetcode.com/problems/binary-tree-level-order-traversal/" xr:uid="{00000000-0004-0000-0B00-00003C000000}"/>
    <hyperlink ref="N66" r:id="rId62" display="https://leetcode.com/problems/kth-smallest-element-in-a-bst/" xr:uid="{00000000-0004-0000-0B00-00003D000000}"/>
    <hyperlink ref="N67" r:id="rId63" display="https://leetcode.com/problems/maximum-depth-of-binary-tree/" xr:uid="{00000000-0004-0000-0B00-00003E000000}"/>
    <hyperlink ref="N68" r:id="rId64" display="https://leetcode.com/problems/construct-binary-tree-from-preorder-and-inorder-traversal/" xr:uid="{00000000-0004-0000-0B00-00003F000000}"/>
    <hyperlink ref="N69" r:id="rId65" display="https://leetcode.com/problems/implement-queue-using-stacks/" xr:uid="{00000000-0004-0000-0B00-000040000000}"/>
    <hyperlink ref="N70" r:id="rId66" display="https://leetcode.com/problems/lowest-common-ancestor-of-a-binary-search-tree/" xr:uid="{00000000-0004-0000-0B00-000041000000}"/>
    <hyperlink ref="N71" r:id="rId67" display="https://leetcode.com/problems/lowest-common-ancestor-of-a-binary-tree/" xr:uid="{00000000-0004-0000-0B00-000042000000}"/>
    <hyperlink ref="N72" r:id="rId68" display="https://leetcode.com/problems/task-scheduler/" xr:uid="{00000000-0004-0000-0B00-000043000000}"/>
    <hyperlink ref="N73" r:id="rId69" display="https://leetcode.com/problems/balanced-binary-tree/" xr:uid="{00000000-0004-0000-0B00-000044000000}"/>
    <hyperlink ref="N74" r:id="rId70" display="https://leetcode.com/problems/product-of-array-except-self/" xr:uid="{00000000-0004-0000-0B00-000045000000}"/>
    <hyperlink ref="N75" r:id="rId71" display="https://leetcode.com/problems/valid-anagram/" xr:uid="{00000000-0004-0000-0B00-000046000000}"/>
    <hyperlink ref="N76" r:id="rId72" display="https://leetcode.com/problems/k-closest-points-to-origin/" xr:uid="{00000000-0004-0000-0B00-000047000000}"/>
    <hyperlink ref="N77" r:id="rId73" display="https://leetcode.com/problems/best-time-to-buy-and-sell-stock/" xr:uid="{00000000-0004-0000-0B00-000048000000}"/>
    <hyperlink ref="N78" r:id="rId74" display="https://leetcode.com/problems/valid-palindrome/" xr:uid="{00000000-0004-0000-0B00-000049000000}"/>
    <hyperlink ref="N79" r:id="rId75" display="https://leetcode.com/problems/word-ladder/" xr:uid="{00000000-0004-0000-0B00-00004A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64"/>
  <sheetViews>
    <sheetView showGridLines="0" topLeftCell="G1" zoomScaleNormal="100" workbookViewId="0">
      <pane ySplit="4" topLeftCell="A5" activePane="bottomLeft" state="frozen"/>
      <selection pane="bottomLeft" activeCell="A5" sqref="A5:J5"/>
    </sheetView>
  </sheetViews>
  <sheetFormatPr baseColWidth="10" defaultColWidth="8.6640625" defaultRowHeight="15" x14ac:dyDescent="0.2"/>
  <cols>
    <col min="1" max="1" width="4" customWidth="1"/>
    <col min="2" max="2" width="7" customWidth="1"/>
    <col min="3" max="3" width="36" customWidth="1"/>
    <col min="4" max="4" width="20" customWidth="1"/>
    <col min="5" max="5" width="10" customWidth="1"/>
    <col min="6" max="7" width="26" customWidth="1"/>
    <col min="8" max="8" width="12" customWidth="1"/>
    <col min="9" max="9" width="14" customWidth="1"/>
    <col min="10" max="10" width="30" customWidth="1"/>
    <col min="11" max="11" width="40" customWidth="1"/>
    <col min="12" max="12" width="52" style="52" customWidth="1"/>
    <col min="13" max="14" width="33.33203125" customWidth="1"/>
    <col min="15" max="15" width="80" customWidth="1"/>
  </cols>
  <sheetData>
    <row r="1" spans="1:15" ht="27.75" customHeight="1" x14ac:dyDescent="0.2">
      <c r="A1" s="343" t="s">
        <v>4318</v>
      </c>
      <c r="B1" s="292"/>
      <c r="C1" s="292"/>
      <c r="D1" s="292"/>
      <c r="E1" s="292"/>
      <c r="F1" s="292"/>
      <c r="G1" s="292"/>
      <c r="H1" s="292"/>
      <c r="I1" s="292"/>
      <c r="J1" s="292"/>
    </row>
    <row r="2" spans="1:15" ht="4.5" customHeight="1" x14ac:dyDescent="0.2">
      <c r="A2" s="292"/>
      <c r="B2" s="292"/>
      <c r="C2" s="292"/>
      <c r="D2" s="292"/>
      <c r="E2" s="292"/>
      <c r="F2" s="292"/>
      <c r="G2" s="292"/>
      <c r="H2" s="292"/>
      <c r="I2" s="292"/>
      <c r="J2" s="292"/>
    </row>
    <row r="3" spans="1:15" ht="15.75" customHeight="1" x14ac:dyDescent="0.2">
      <c r="A3" s="331" t="s">
        <v>5123</v>
      </c>
      <c r="B3" s="292"/>
      <c r="C3" s="292"/>
      <c r="D3" s="292"/>
      <c r="E3" s="292"/>
      <c r="F3" s="292"/>
      <c r="G3" s="292"/>
      <c r="H3" s="292"/>
      <c r="I3" s="292"/>
      <c r="J3" s="292"/>
    </row>
    <row r="4" spans="1:15" ht="31.5" customHeight="1" x14ac:dyDescent="0.2">
      <c r="A4" s="75" t="s">
        <v>1</v>
      </c>
      <c r="B4" s="75" t="s">
        <v>2</v>
      </c>
      <c r="C4" s="75" t="s">
        <v>3</v>
      </c>
      <c r="D4" s="75" t="s">
        <v>4116</v>
      </c>
      <c r="E4" s="75" t="s">
        <v>5</v>
      </c>
      <c r="F4" s="75" t="s">
        <v>4242</v>
      </c>
      <c r="G4" s="75" t="s">
        <v>4243</v>
      </c>
      <c r="H4" s="75" t="s">
        <v>3842</v>
      </c>
      <c r="I4" s="75" t="s">
        <v>4120</v>
      </c>
      <c r="J4" s="75" t="s">
        <v>13</v>
      </c>
      <c r="K4" s="75" t="s">
        <v>4122</v>
      </c>
      <c r="L4" s="251" t="s">
        <v>14</v>
      </c>
      <c r="M4" s="75" t="s">
        <v>15</v>
      </c>
      <c r="N4" s="75" t="s">
        <v>16</v>
      </c>
      <c r="O4" s="218" t="s">
        <v>17</v>
      </c>
    </row>
    <row r="5" spans="1:15" ht="19.5" customHeight="1" x14ac:dyDescent="0.2">
      <c r="A5" s="342" t="s">
        <v>4319</v>
      </c>
      <c r="B5" s="292"/>
      <c r="C5" s="292"/>
      <c r="D5" s="292"/>
      <c r="E5" s="292"/>
      <c r="F5" s="292"/>
      <c r="G5" s="292"/>
      <c r="H5" s="292"/>
      <c r="I5" s="292"/>
      <c r="J5" s="292"/>
      <c r="M5" s="52"/>
      <c r="N5" s="52"/>
      <c r="O5" s="215"/>
    </row>
    <row r="6" spans="1:15" ht="31.5" customHeight="1" x14ac:dyDescent="0.2">
      <c r="A6" s="7">
        <v>1</v>
      </c>
      <c r="B6" s="7">
        <v>217</v>
      </c>
      <c r="C6" s="13" t="s">
        <v>951</v>
      </c>
      <c r="D6" s="3" t="s">
        <v>3455</v>
      </c>
      <c r="E6" s="21" t="s">
        <v>20</v>
      </c>
      <c r="F6" s="3" t="s">
        <v>4244</v>
      </c>
      <c r="G6" s="3"/>
      <c r="H6" s="7"/>
      <c r="I6" s="7">
        <f>IFERROR(VLOOKUP(B6,'📊 Problem Tracker'!$B$4:$F$1200,5,FALSE()),"")</f>
        <v>0</v>
      </c>
      <c r="J6" s="3"/>
      <c r="K6" s="3" t="s">
        <v>19</v>
      </c>
      <c r="L6" s="228" t="s">
        <v>954</v>
      </c>
      <c r="M6" s="7" t="s">
        <v>24</v>
      </c>
      <c r="N6" s="176" t="s">
        <v>24</v>
      </c>
      <c r="O6" s="205" t="str">
        <f>HYPERLINK("https://leetcode.com/problems/contains-duplicate/","https://leetcode.com/problems/contains-duplicate/")</f>
        <v>https://leetcode.com/problems/contains-duplicate/</v>
      </c>
    </row>
    <row r="7" spans="1:15" ht="31.5" customHeight="1" x14ac:dyDescent="0.2">
      <c r="A7" s="76">
        <v>2</v>
      </c>
      <c r="B7" s="76">
        <v>242</v>
      </c>
      <c r="C7" s="77" t="s">
        <v>1022</v>
      </c>
      <c r="D7" s="78" t="s">
        <v>3455</v>
      </c>
      <c r="E7" s="79" t="s">
        <v>20</v>
      </c>
      <c r="F7" s="78" t="s">
        <v>4244</v>
      </c>
      <c r="G7" s="78"/>
      <c r="H7" s="76"/>
      <c r="I7" s="76">
        <f>IFERROR(VLOOKUP(B7,'📊 Problem Tracker'!$B$4:$F$1200,5,FALSE()),"")</f>
        <v>0</v>
      </c>
      <c r="J7" s="78"/>
      <c r="K7" s="78" t="s">
        <v>897</v>
      </c>
      <c r="L7" s="252" t="s">
        <v>1024</v>
      </c>
      <c r="M7" s="76" t="s">
        <v>24</v>
      </c>
      <c r="N7" s="190" t="s">
        <v>47</v>
      </c>
      <c r="O7" s="206" t="str">
        <f>HYPERLINK("https://leetcode.com/problems/valid-anagram/","https://leetcode.com/problems/valid-anagram/")</f>
        <v>https://leetcode.com/problems/valid-anagram/</v>
      </c>
    </row>
    <row r="8" spans="1:15" ht="31.5" customHeight="1" x14ac:dyDescent="0.2">
      <c r="A8" s="7">
        <v>3</v>
      </c>
      <c r="B8" s="7">
        <v>1</v>
      </c>
      <c r="C8" s="13" t="s">
        <v>18</v>
      </c>
      <c r="D8" s="3" t="s">
        <v>3455</v>
      </c>
      <c r="E8" s="21" t="s">
        <v>20</v>
      </c>
      <c r="F8" s="3" t="s">
        <v>4244</v>
      </c>
      <c r="G8" s="3"/>
      <c r="H8" s="7"/>
      <c r="I8" s="7">
        <f>IFERROR(VLOOKUP(B8,'📊 Problem Tracker'!$B$4:$F$1200,5,FALSE()),"")</f>
        <v>0</v>
      </c>
      <c r="J8" s="3"/>
      <c r="K8" s="3" t="s">
        <v>19</v>
      </c>
      <c r="L8" s="228" t="s">
        <v>23</v>
      </c>
      <c r="M8" s="7" t="s">
        <v>24</v>
      </c>
      <c r="N8" s="176" t="s">
        <v>24</v>
      </c>
      <c r="O8" s="205" t="str">
        <f>HYPERLINK("https://leetcode.com/problems/two-sum/","https://leetcode.com/problems/two-sum/")</f>
        <v>https://leetcode.com/problems/two-sum/</v>
      </c>
    </row>
    <row r="9" spans="1:15" ht="31.5" customHeight="1" x14ac:dyDescent="0.2">
      <c r="A9" s="76">
        <v>4</v>
      </c>
      <c r="B9" s="76">
        <v>49</v>
      </c>
      <c r="C9" s="77" t="s">
        <v>288</v>
      </c>
      <c r="D9" s="78" t="s">
        <v>3455</v>
      </c>
      <c r="E9" s="80" t="s">
        <v>28</v>
      </c>
      <c r="F9" s="78" t="s">
        <v>4244</v>
      </c>
      <c r="G9" s="78"/>
      <c r="H9" s="76"/>
      <c r="I9" s="76">
        <f>IFERROR(VLOOKUP(B9,'📊 Problem Tracker'!$B$4:$F$1200,5,FALSE()),"")</f>
        <v>0</v>
      </c>
      <c r="J9" s="78"/>
      <c r="K9" s="78" t="s">
        <v>289</v>
      </c>
      <c r="L9" s="252" t="s">
        <v>291</v>
      </c>
      <c r="M9" s="76" t="s">
        <v>292</v>
      </c>
      <c r="N9" s="190" t="s">
        <v>292</v>
      </c>
      <c r="O9" s="206" t="str">
        <f>HYPERLINK("https://leetcode.com/problems/group-anagrams/","https://leetcode.com/problems/group-anagrams/")</f>
        <v>https://leetcode.com/problems/group-anagrams/</v>
      </c>
    </row>
    <row r="10" spans="1:15" ht="31.5" customHeight="1" x14ac:dyDescent="0.2">
      <c r="A10" s="7">
        <v>5</v>
      </c>
      <c r="B10" s="7">
        <v>347</v>
      </c>
      <c r="C10" s="13" t="s">
        <v>1269</v>
      </c>
      <c r="D10" s="3" t="s">
        <v>3455</v>
      </c>
      <c r="E10" s="18" t="s">
        <v>28</v>
      </c>
      <c r="F10" s="3" t="s">
        <v>4320</v>
      </c>
      <c r="G10" s="3"/>
      <c r="H10" s="7"/>
      <c r="I10" s="7">
        <f>IFERROR(VLOOKUP(B10,'📊 Problem Tracker'!$B$4:$F$1200,5,FALSE()),"")</f>
        <v>0</v>
      </c>
      <c r="J10" s="3"/>
      <c r="K10" s="3" t="s">
        <v>1270</v>
      </c>
      <c r="L10" s="228" t="s">
        <v>1273</v>
      </c>
      <c r="M10" s="7" t="s">
        <v>24</v>
      </c>
      <c r="N10" s="176" t="s">
        <v>24</v>
      </c>
      <c r="O10" s="205" t="str">
        <f>HYPERLINK("https://leetcode.com/problems/top-k-frequent-elements/","https://leetcode.com/problems/top-k-frequent-elements/")</f>
        <v>https://leetcode.com/problems/top-k-frequent-elements/</v>
      </c>
    </row>
    <row r="11" spans="1:15" ht="31.5" customHeight="1" x14ac:dyDescent="0.2">
      <c r="A11" s="76">
        <v>6</v>
      </c>
      <c r="B11" s="76">
        <v>238</v>
      </c>
      <c r="C11" s="77" t="s">
        <v>1008</v>
      </c>
      <c r="D11" s="78" t="s">
        <v>3455</v>
      </c>
      <c r="E11" s="80" t="s">
        <v>28</v>
      </c>
      <c r="F11" s="78" t="s">
        <v>4291</v>
      </c>
      <c r="G11" s="78"/>
      <c r="H11" s="76"/>
      <c r="I11" s="76">
        <f>IFERROR(VLOOKUP(B11,'📊 Problem Tracker'!$B$4:$F$1200,5,FALSE()),"")</f>
        <v>0</v>
      </c>
      <c r="J11" s="78"/>
      <c r="K11" s="78" t="s">
        <v>1009</v>
      </c>
      <c r="L11" s="252" t="s">
        <v>1011</v>
      </c>
      <c r="M11" s="76" t="s">
        <v>24</v>
      </c>
      <c r="N11" s="190" t="s">
        <v>1012</v>
      </c>
      <c r="O11" s="206" t="str">
        <f>HYPERLINK("https://leetcode.com/problems/product-of-array-except-self/","https://leetcode.com/problems/product-of-array-except-self/")</f>
        <v>https://leetcode.com/problems/product-of-array-except-self/</v>
      </c>
    </row>
    <row r="12" spans="1:15" ht="31.5" customHeight="1" x14ac:dyDescent="0.2">
      <c r="A12" s="7">
        <v>7</v>
      </c>
      <c r="B12" s="7">
        <v>36</v>
      </c>
      <c r="C12" s="13" t="s">
        <v>214</v>
      </c>
      <c r="D12" s="3" t="s">
        <v>3455</v>
      </c>
      <c r="E12" s="18" t="s">
        <v>28</v>
      </c>
      <c r="F12" s="3" t="s">
        <v>4257</v>
      </c>
      <c r="G12" s="3"/>
      <c r="H12" s="7"/>
      <c r="I12" s="7">
        <f>IFERROR(VLOOKUP(B12,'📊 Problem Tracker'!$B$4:$F$1200,5,FALSE()),"")</f>
        <v>0</v>
      </c>
      <c r="J12" s="3"/>
      <c r="K12" s="3" t="s">
        <v>215</v>
      </c>
      <c r="L12" s="228" t="s">
        <v>218</v>
      </c>
      <c r="M12" s="7" t="s">
        <v>47</v>
      </c>
      <c r="N12" s="176" t="s">
        <v>47</v>
      </c>
      <c r="O12" s="205" t="str">
        <f>HYPERLINK("https://leetcode.com/problems/valid-sudoku/","https://leetcode.com/problems/valid-sudoku/")</f>
        <v>https://leetcode.com/problems/valid-sudoku/</v>
      </c>
    </row>
    <row r="13" spans="1:15" ht="31.5" customHeight="1" x14ac:dyDescent="0.2">
      <c r="A13" s="76">
        <v>8</v>
      </c>
      <c r="B13" s="76">
        <v>271</v>
      </c>
      <c r="C13" s="77" t="s">
        <v>1069</v>
      </c>
      <c r="D13" s="78" t="s">
        <v>3455</v>
      </c>
      <c r="E13" s="80" t="s">
        <v>28</v>
      </c>
      <c r="F13" s="78" t="s">
        <v>4295</v>
      </c>
      <c r="G13" s="78"/>
      <c r="H13" s="76"/>
      <c r="I13" s="76">
        <f>IFERROR(VLOOKUP(B13,'📊 Problem Tracker'!$B$4:$F$1200,5,FALSE()),"")</f>
        <v>0</v>
      </c>
      <c r="J13" s="78"/>
      <c r="K13" s="78" t="s">
        <v>735</v>
      </c>
      <c r="L13" s="252" t="s">
        <v>705</v>
      </c>
      <c r="M13" s="76" t="s">
        <v>24</v>
      </c>
      <c r="N13" s="190" t="s">
        <v>24</v>
      </c>
      <c r="O13" s="206" t="str">
        <f>HYPERLINK("https://leetcode.com/problems/encode-and-decode-strings/","https://leetcode.com/problems/encode-and-decode-strings/")</f>
        <v>https://leetcode.com/problems/encode-and-decode-strings/</v>
      </c>
    </row>
    <row r="14" spans="1:15" ht="31.5" customHeight="1" x14ac:dyDescent="0.2">
      <c r="A14" s="7">
        <v>9</v>
      </c>
      <c r="B14" s="7">
        <v>128</v>
      </c>
      <c r="C14" s="13" t="s">
        <v>628</v>
      </c>
      <c r="D14" s="3" t="s">
        <v>3455</v>
      </c>
      <c r="E14" s="18" t="s">
        <v>28</v>
      </c>
      <c r="F14" s="3" t="s">
        <v>4244</v>
      </c>
      <c r="G14" s="3" t="s">
        <v>1736</v>
      </c>
      <c r="H14" s="7"/>
      <c r="I14" s="7">
        <f>IFERROR(VLOOKUP(B14,'📊 Problem Tracker'!$B$4:$F$1200,5,FALSE()),"")</f>
        <v>0</v>
      </c>
      <c r="J14" s="3"/>
      <c r="K14" s="3" t="s">
        <v>629</v>
      </c>
      <c r="L14" s="228" t="s">
        <v>631</v>
      </c>
      <c r="M14" s="7" t="s">
        <v>24</v>
      </c>
      <c r="N14" s="176" t="s">
        <v>24</v>
      </c>
      <c r="O14" s="191" t="str">
        <f>HYPERLINK("https://leetcode.com/problems/longest-consecutive-sequence/","https://leetcode.com/problems/longest-consecutive-sequence/")</f>
        <v>https://leetcode.com/problems/longest-consecutive-sequence/</v>
      </c>
    </row>
    <row r="15" spans="1:15" ht="19.5" customHeight="1" x14ac:dyDescent="0.2">
      <c r="A15" s="348" t="s">
        <v>4321</v>
      </c>
      <c r="B15" s="292"/>
      <c r="C15" s="292"/>
      <c r="D15" s="292"/>
      <c r="E15" s="292"/>
      <c r="F15" s="292"/>
      <c r="G15" s="292"/>
      <c r="H15" s="292"/>
      <c r="I15" s="292"/>
      <c r="J15" s="292"/>
      <c r="M15" s="52"/>
      <c r="N15" s="52"/>
      <c r="O15" s="215"/>
    </row>
    <row r="16" spans="1:15" ht="31.5" customHeight="1" x14ac:dyDescent="0.2">
      <c r="A16" s="76">
        <v>10</v>
      </c>
      <c r="B16" s="76">
        <v>125</v>
      </c>
      <c r="C16" s="77" t="s">
        <v>610</v>
      </c>
      <c r="D16" s="78" t="s">
        <v>689</v>
      </c>
      <c r="E16" s="79" t="s">
        <v>20</v>
      </c>
      <c r="F16" s="78" t="s">
        <v>689</v>
      </c>
      <c r="G16" s="78"/>
      <c r="H16" s="76"/>
      <c r="I16" s="76">
        <f>IFERROR(VLOOKUP(B16,'📊 Problem Tracker'!$B$4:$F$1200,5,FALSE()),"")</f>
        <v>0</v>
      </c>
      <c r="J16" s="78"/>
      <c r="K16" s="78" t="s">
        <v>611</v>
      </c>
      <c r="L16" s="252" t="s">
        <v>613</v>
      </c>
      <c r="M16" s="76" t="s">
        <v>24</v>
      </c>
      <c r="N16" s="190" t="s">
        <v>47</v>
      </c>
      <c r="O16" s="206" t="str">
        <f>HYPERLINK("https://leetcode.com/problems/valid-palindrome/","https://leetcode.com/problems/valid-palindrome/")</f>
        <v>https://leetcode.com/problems/valid-palindrome/</v>
      </c>
    </row>
    <row r="17" spans="1:15" ht="31.5" customHeight="1" x14ac:dyDescent="0.2">
      <c r="A17" s="7">
        <v>11</v>
      </c>
      <c r="B17" s="7">
        <v>167</v>
      </c>
      <c r="C17" s="13" t="s">
        <v>765</v>
      </c>
      <c r="D17" s="3" t="s">
        <v>689</v>
      </c>
      <c r="E17" s="18" t="s">
        <v>28</v>
      </c>
      <c r="F17" s="3" t="s">
        <v>689</v>
      </c>
      <c r="G17" s="3"/>
      <c r="H17" s="7"/>
      <c r="I17" s="7">
        <f>IFERROR(VLOOKUP(B17,'📊 Problem Tracker'!$B$4:$F$1200,5,FALSE()),"")</f>
        <v>0</v>
      </c>
      <c r="J17" s="3"/>
      <c r="K17" s="3" t="s">
        <v>1110</v>
      </c>
      <c r="L17" s="228" t="s">
        <v>690</v>
      </c>
      <c r="M17" s="7" t="s">
        <v>24</v>
      </c>
      <c r="N17" s="176" t="s">
        <v>47</v>
      </c>
      <c r="O17" s="205" t="str">
        <f>HYPERLINK("https://leetcode.com/problems/two-sum-ii-input-array-is-sorted/","https://leetcode.com/problems/two-sum-ii-input-array-is-sorted/")</f>
        <v>https://leetcode.com/problems/two-sum-ii-input-array-is-sorted/</v>
      </c>
    </row>
    <row r="18" spans="1:15" ht="31.5" customHeight="1" x14ac:dyDescent="0.2">
      <c r="A18" s="76">
        <v>12</v>
      </c>
      <c r="B18" s="76">
        <v>15</v>
      </c>
      <c r="C18" s="77" t="s">
        <v>103</v>
      </c>
      <c r="D18" s="78" t="s">
        <v>689</v>
      </c>
      <c r="E18" s="80" t="s">
        <v>28</v>
      </c>
      <c r="F18" s="78" t="s">
        <v>689</v>
      </c>
      <c r="G18" s="78" t="s">
        <v>4249</v>
      </c>
      <c r="H18" s="76"/>
      <c r="I18" s="76">
        <f>IFERROR(VLOOKUP(B18,'📊 Problem Tracker'!$B$4:$F$1200,5,FALSE()),"")</f>
        <v>0</v>
      </c>
      <c r="J18" s="78"/>
      <c r="K18" s="78" t="s">
        <v>84</v>
      </c>
      <c r="L18" s="252" t="s">
        <v>106</v>
      </c>
      <c r="M18" s="76" t="s">
        <v>53</v>
      </c>
      <c r="N18" s="190" t="s">
        <v>47</v>
      </c>
      <c r="O18" s="206" t="str">
        <f>HYPERLINK("https://leetcode.com/problems/3sum/","https://leetcode.com/problems/3sum/")</f>
        <v>https://leetcode.com/problems/3sum/</v>
      </c>
    </row>
    <row r="19" spans="1:15" ht="31.5" customHeight="1" x14ac:dyDescent="0.2">
      <c r="A19" s="7">
        <v>13</v>
      </c>
      <c r="B19" s="7">
        <v>11</v>
      </c>
      <c r="C19" s="13" t="s">
        <v>83</v>
      </c>
      <c r="D19" s="3" t="s">
        <v>689</v>
      </c>
      <c r="E19" s="18" t="s">
        <v>28</v>
      </c>
      <c r="F19" s="3" t="s">
        <v>689</v>
      </c>
      <c r="G19" s="3"/>
      <c r="H19" s="7"/>
      <c r="I19" s="7">
        <f>IFERROR(VLOOKUP(B19,'📊 Problem Tracker'!$B$4:$F$1200,5,FALSE()),"")</f>
        <v>0</v>
      </c>
      <c r="J19" s="3"/>
      <c r="K19" s="3" t="s">
        <v>84</v>
      </c>
      <c r="L19" s="228" t="s">
        <v>86</v>
      </c>
      <c r="M19" s="7" t="s">
        <v>24</v>
      </c>
      <c r="N19" s="176" t="s">
        <v>47</v>
      </c>
      <c r="O19" s="205" t="str">
        <f>HYPERLINK("https://leetcode.com/problems/container-with-most-water/","https://leetcode.com/problems/container-with-most-water/")</f>
        <v>https://leetcode.com/problems/container-with-most-water/</v>
      </c>
    </row>
    <row r="20" spans="1:15" ht="31.5" customHeight="1" x14ac:dyDescent="0.2">
      <c r="A20" s="76">
        <v>14</v>
      </c>
      <c r="B20" s="76">
        <v>42</v>
      </c>
      <c r="C20" s="77" t="s">
        <v>251</v>
      </c>
      <c r="D20" s="78" t="s">
        <v>689</v>
      </c>
      <c r="E20" s="81" t="s">
        <v>42</v>
      </c>
      <c r="F20" s="78" t="s">
        <v>689</v>
      </c>
      <c r="G20" s="78" t="s">
        <v>1473</v>
      </c>
      <c r="H20" s="76"/>
      <c r="I20" s="76">
        <f>IFERROR(VLOOKUP(B20,'📊 Problem Tracker'!$B$4:$F$1200,5,FALSE()),"")</f>
        <v>0</v>
      </c>
      <c r="J20" s="78"/>
      <c r="K20" s="78" t="s">
        <v>4259</v>
      </c>
      <c r="L20" s="252" t="s">
        <v>254</v>
      </c>
      <c r="M20" s="76" t="s">
        <v>24</v>
      </c>
      <c r="N20" s="190" t="s">
        <v>47</v>
      </c>
      <c r="O20" s="207" t="str">
        <f>HYPERLINK("https://leetcode.com/problems/trapping-rain-water/","https://leetcode.com/problems/trapping-rain-water/")</f>
        <v>https://leetcode.com/problems/trapping-rain-water/</v>
      </c>
    </row>
    <row r="21" spans="1:15" ht="19.5" customHeight="1" x14ac:dyDescent="0.2">
      <c r="A21" s="336" t="s">
        <v>4322</v>
      </c>
      <c r="B21" s="292"/>
      <c r="C21" s="292"/>
      <c r="D21" s="292"/>
      <c r="E21" s="292"/>
      <c r="F21" s="292"/>
      <c r="G21" s="292"/>
      <c r="H21" s="292"/>
      <c r="I21" s="292"/>
      <c r="J21" s="292"/>
      <c r="M21" s="52"/>
      <c r="N21" s="52"/>
      <c r="O21" s="215"/>
    </row>
    <row r="22" spans="1:15" ht="31.5" customHeight="1" x14ac:dyDescent="0.2">
      <c r="A22" s="7">
        <v>15</v>
      </c>
      <c r="B22" s="7">
        <v>121</v>
      </c>
      <c r="C22" s="13" t="s">
        <v>595</v>
      </c>
      <c r="D22" s="3" t="s">
        <v>917</v>
      </c>
      <c r="E22" s="21" t="s">
        <v>20</v>
      </c>
      <c r="F22" s="3" t="s">
        <v>4273</v>
      </c>
      <c r="G22" s="3"/>
      <c r="H22" s="7"/>
      <c r="I22" s="7">
        <f>IFERROR(VLOOKUP(B22,'📊 Problem Tracker'!$B$4:$F$1200,5,FALSE()),"")</f>
        <v>0</v>
      </c>
      <c r="J22" s="3"/>
      <c r="K22" s="3" t="s">
        <v>318</v>
      </c>
      <c r="L22" s="228" t="s">
        <v>597</v>
      </c>
      <c r="M22" s="7" t="s">
        <v>24</v>
      </c>
      <c r="N22" s="176" t="s">
        <v>47</v>
      </c>
      <c r="O22" s="205" t="str">
        <f>HYPERLINK("https://leetcode.com/problems/best-time-to-buy-and-sell-stock/","https://leetcode.com/problems/best-time-to-buy-and-sell-stock/")</f>
        <v>https://leetcode.com/problems/best-time-to-buy-and-sell-stock/</v>
      </c>
    </row>
    <row r="23" spans="1:15" ht="31.5" customHeight="1" x14ac:dyDescent="0.2">
      <c r="A23" s="76">
        <v>16</v>
      </c>
      <c r="B23" s="76">
        <v>3</v>
      </c>
      <c r="C23" s="77" t="s">
        <v>34</v>
      </c>
      <c r="D23" s="78" t="s">
        <v>917</v>
      </c>
      <c r="E23" s="80" t="s">
        <v>28</v>
      </c>
      <c r="F23" s="78" t="s">
        <v>917</v>
      </c>
      <c r="G23" s="78" t="s">
        <v>4244</v>
      </c>
      <c r="H23" s="76"/>
      <c r="I23" s="76">
        <f>IFERROR(VLOOKUP(B23,'📊 Problem Tracker'!$B$4:$F$1200,5,FALSE()),"")</f>
        <v>0</v>
      </c>
      <c r="J23" s="78"/>
      <c r="K23" s="78" t="s">
        <v>427</v>
      </c>
      <c r="L23" s="252" t="s">
        <v>37</v>
      </c>
      <c r="M23" s="76" t="s">
        <v>24</v>
      </c>
      <c r="N23" s="190" t="s">
        <v>38</v>
      </c>
      <c r="O23" s="206" t="str">
        <f>HYPERLINK("https://leetcode.com/problems/longest-substring-without-repeating-characters/","https://leetcode.com/problems/longest-substring-without-repeating-characters/")</f>
        <v>https://leetcode.com/problems/longest-substring-without-repeating-characters/</v>
      </c>
    </row>
    <row r="24" spans="1:15" ht="31.5" customHeight="1" x14ac:dyDescent="0.2">
      <c r="A24" s="7">
        <v>17</v>
      </c>
      <c r="B24" s="7">
        <v>424</v>
      </c>
      <c r="C24" s="13" t="s">
        <v>1416</v>
      </c>
      <c r="D24" s="3" t="s">
        <v>917</v>
      </c>
      <c r="E24" s="18" t="s">
        <v>28</v>
      </c>
      <c r="F24" s="3" t="s">
        <v>917</v>
      </c>
      <c r="G24" s="3"/>
      <c r="H24" s="7"/>
      <c r="I24" s="7">
        <f>IFERROR(VLOOKUP(B24,'📊 Problem Tracker'!$B$4:$F$1200,5,FALSE()),"")</f>
        <v>0</v>
      </c>
      <c r="J24" s="3"/>
      <c r="K24" s="3" t="s">
        <v>427</v>
      </c>
      <c r="L24" s="228" t="s">
        <v>1418</v>
      </c>
      <c r="M24" s="7" t="s">
        <v>24</v>
      </c>
      <c r="N24" s="176" t="s">
        <v>1096</v>
      </c>
      <c r="O24" s="205" t="str">
        <f>HYPERLINK("https://leetcode.com/problems/longest-repeating-character-replacement/","https://leetcode.com/problems/longest-repeating-character-replacement/")</f>
        <v>https://leetcode.com/problems/longest-repeating-character-replacement/</v>
      </c>
    </row>
    <row r="25" spans="1:15" ht="31.5" customHeight="1" x14ac:dyDescent="0.2">
      <c r="A25" s="76">
        <v>18</v>
      </c>
      <c r="B25" s="76">
        <v>567</v>
      </c>
      <c r="C25" s="77" t="s">
        <v>1622</v>
      </c>
      <c r="D25" s="78" t="s">
        <v>917</v>
      </c>
      <c r="E25" s="80" t="s">
        <v>28</v>
      </c>
      <c r="F25" s="78" t="s">
        <v>917</v>
      </c>
      <c r="G25" s="78"/>
      <c r="H25" s="76"/>
      <c r="I25" s="76">
        <f>IFERROR(VLOOKUP(B25,'📊 Problem Tracker'!$B$4:$F$1200,5,FALSE()),"")</f>
        <v>0</v>
      </c>
      <c r="J25" s="78"/>
      <c r="K25" s="78" t="s">
        <v>427</v>
      </c>
      <c r="L25" s="252" t="s">
        <v>1624</v>
      </c>
      <c r="M25" s="76" t="s">
        <v>24</v>
      </c>
      <c r="N25" s="190" t="s">
        <v>1096</v>
      </c>
      <c r="O25" s="206" t="str">
        <f>HYPERLINK("https://leetcode.com/problems/permutation-in-string/","https://leetcode.com/problems/permutation-in-string/")</f>
        <v>https://leetcode.com/problems/permutation-in-string/</v>
      </c>
    </row>
    <row r="26" spans="1:15" ht="31.5" customHeight="1" x14ac:dyDescent="0.2">
      <c r="A26" s="7">
        <v>19</v>
      </c>
      <c r="B26" s="7">
        <v>76</v>
      </c>
      <c r="C26" s="13" t="s">
        <v>426</v>
      </c>
      <c r="D26" s="3" t="s">
        <v>917</v>
      </c>
      <c r="E26" s="20" t="s">
        <v>42</v>
      </c>
      <c r="F26" s="3" t="s">
        <v>917</v>
      </c>
      <c r="G26" s="3"/>
      <c r="H26" s="7"/>
      <c r="I26" s="7">
        <f>IFERROR(VLOOKUP(B26,'📊 Problem Tracker'!$B$4:$F$1200,5,FALSE()),"")</f>
        <v>0</v>
      </c>
      <c r="J26" s="3"/>
      <c r="K26" s="3" t="s">
        <v>427</v>
      </c>
      <c r="L26" s="228" t="s">
        <v>430</v>
      </c>
      <c r="M26" s="7" t="s">
        <v>178</v>
      </c>
      <c r="N26" s="176" t="s">
        <v>153</v>
      </c>
      <c r="O26" s="205" t="str">
        <f>HYPERLINK("https://leetcode.com/problems/minimum-window-substring/","https://leetcode.com/problems/minimum-window-substring/")</f>
        <v>https://leetcode.com/problems/minimum-window-substring/</v>
      </c>
    </row>
    <row r="27" spans="1:15" ht="31.5" customHeight="1" x14ac:dyDescent="0.2">
      <c r="A27" s="76">
        <v>20</v>
      </c>
      <c r="B27" s="76">
        <v>239</v>
      </c>
      <c r="C27" s="77" t="s">
        <v>1014</v>
      </c>
      <c r="D27" s="78" t="s">
        <v>917</v>
      </c>
      <c r="E27" s="81" t="s">
        <v>42</v>
      </c>
      <c r="F27" s="78" t="s">
        <v>4292</v>
      </c>
      <c r="G27" s="78" t="s">
        <v>917</v>
      </c>
      <c r="H27" s="76"/>
      <c r="I27" s="76">
        <f>IFERROR(VLOOKUP(B27,'📊 Problem Tracker'!$B$4:$F$1200,5,FALSE()),"")</f>
        <v>0</v>
      </c>
      <c r="J27" s="78"/>
      <c r="K27" s="78" t="s">
        <v>1015</v>
      </c>
      <c r="L27" s="252" t="s">
        <v>1017</v>
      </c>
      <c r="M27" s="76" t="s">
        <v>24</v>
      </c>
      <c r="N27" s="190" t="s">
        <v>153</v>
      </c>
      <c r="O27" s="207" t="str">
        <f>HYPERLINK("https://leetcode.com/problems/sliding-window-maximum/","https://leetcode.com/problems/sliding-window-maximum/")</f>
        <v>https://leetcode.com/problems/sliding-window-maximum/</v>
      </c>
    </row>
    <row r="28" spans="1:15" ht="19.5" customHeight="1" x14ac:dyDescent="0.2">
      <c r="A28" s="344" t="s">
        <v>4323</v>
      </c>
      <c r="B28" s="292"/>
      <c r="C28" s="292"/>
      <c r="D28" s="292"/>
      <c r="E28" s="292"/>
      <c r="F28" s="292"/>
      <c r="G28" s="292"/>
      <c r="H28" s="292"/>
      <c r="I28" s="292"/>
      <c r="J28" s="292"/>
      <c r="M28" s="52"/>
      <c r="N28" s="52"/>
      <c r="O28" s="215"/>
    </row>
    <row r="29" spans="1:15" ht="31.5" customHeight="1" x14ac:dyDescent="0.2">
      <c r="A29" s="7">
        <v>21</v>
      </c>
      <c r="B29" s="7">
        <v>20</v>
      </c>
      <c r="C29" s="13" t="s">
        <v>132</v>
      </c>
      <c r="D29" s="3" t="s">
        <v>540</v>
      </c>
      <c r="E29" s="21" t="s">
        <v>20</v>
      </c>
      <c r="F29" s="3" t="s">
        <v>540</v>
      </c>
      <c r="G29" s="3"/>
      <c r="H29" s="7"/>
      <c r="I29" s="7">
        <f>IFERROR(VLOOKUP(B29,'📊 Problem Tracker'!$B$4:$F$1200,5,FALSE()),"")</f>
        <v>0</v>
      </c>
      <c r="J29" s="3"/>
      <c r="K29" s="3" t="s">
        <v>133</v>
      </c>
      <c r="L29" s="228" t="s">
        <v>135</v>
      </c>
      <c r="M29" s="7" t="s">
        <v>24</v>
      </c>
      <c r="N29" s="176" t="s">
        <v>24</v>
      </c>
      <c r="O29" s="205" t="str">
        <f>HYPERLINK("https://leetcode.com/problems/valid-parentheses/","https://leetcode.com/problems/valid-parentheses/")</f>
        <v>https://leetcode.com/problems/valid-parentheses/</v>
      </c>
    </row>
    <row r="30" spans="1:15" ht="31.5" customHeight="1" x14ac:dyDescent="0.2">
      <c r="A30" s="76">
        <v>22</v>
      </c>
      <c r="B30" s="76">
        <v>155</v>
      </c>
      <c r="C30" s="77" t="s">
        <v>728</v>
      </c>
      <c r="D30" s="78" t="s">
        <v>540</v>
      </c>
      <c r="E30" s="80" t="s">
        <v>28</v>
      </c>
      <c r="F30" s="78" t="s">
        <v>540</v>
      </c>
      <c r="G30" s="78"/>
      <c r="H30" s="76"/>
      <c r="I30" s="76">
        <f>IFERROR(VLOOKUP(B30,'📊 Problem Tracker'!$B$4:$F$1200,5,FALSE()),"")</f>
        <v>0</v>
      </c>
      <c r="J30" s="78"/>
      <c r="K30" s="78" t="s">
        <v>729</v>
      </c>
      <c r="L30" s="252" t="s">
        <v>731</v>
      </c>
      <c r="M30" s="76" t="s">
        <v>732</v>
      </c>
      <c r="N30" s="190" t="s">
        <v>24</v>
      </c>
      <c r="O30" s="206" t="str">
        <f>HYPERLINK("https://leetcode.com/problems/min-stack/","https://leetcode.com/problems/min-stack/")</f>
        <v>https://leetcode.com/problems/min-stack/</v>
      </c>
    </row>
    <row r="31" spans="1:15" ht="31.5" customHeight="1" x14ac:dyDescent="0.2">
      <c r="A31" s="7">
        <v>23</v>
      </c>
      <c r="B31" s="7">
        <v>150</v>
      </c>
      <c r="C31" s="13" t="s">
        <v>707</v>
      </c>
      <c r="D31" s="3" t="s">
        <v>540</v>
      </c>
      <c r="E31" s="18" t="s">
        <v>28</v>
      </c>
      <c r="F31" s="3" t="s">
        <v>540</v>
      </c>
      <c r="G31" s="3"/>
      <c r="H31" s="7"/>
      <c r="I31" s="7">
        <f>IFERROR(VLOOKUP(B31,'📊 Problem Tracker'!$B$4:$F$1200,5,FALSE()),"")</f>
        <v>0</v>
      </c>
      <c r="J31" s="3"/>
      <c r="K31" s="3" t="s">
        <v>708</v>
      </c>
      <c r="L31" s="228" t="s">
        <v>711</v>
      </c>
      <c r="M31" s="7" t="s">
        <v>24</v>
      </c>
      <c r="N31" s="176" t="s">
        <v>24</v>
      </c>
      <c r="O31" s="205" t="str">
        <f>HYPERLINK("https://leetcode.com/problems/evaluate-reverse-polish-notation/","https://leetcode.com/problems/evaluate-reverse-polish-notation/")</f>
        <v>https://leetcode.com/problems/evaluate-reverse-polish-notation/</v>
      </c>
    </row>
    <row r="32" spans="1:15" ht="31.5" customHeight="1" x14ac:dyDescent="0.2">
      <c r="A32" s="76">
        <v>24</v>
      </c>
      <c r="B32" s="76">
        <v>22</v>
      </c>
      <c r="C32" s="77" t="s">
        <v>143</v>
      </c>
      <c r="D32" s="78" t="s">
        <v>540</v>
      </c>
      <c r="E32" s="80" t="s">
        <v>28</v>
      </c>
      <c r="F32" s="78" t="s">
        <v>300</v>
      </c>
      <c r="G32" s="78"/>
      <c r="H32" s="76"/>
      <c r="I32" s="76">
        <f>IFERROR(VLOOKUP(B32,'📊 Problem Tracker'!$B$4:$F$1200,5,FALSE()),"")</f>
        <v>0</v>
      </c>
      <c r="J32" s="78"/>
      <c r="K32" s="78" t="s">
        <v>4251</v>
      </c>
      <c r="L32" s="252" t="s">
        <v>145</v>
      </c>
      <c r="M32" s="76" t="s">
        <v>146</v>
      </c>
      <c r="N32" s="190" t="s">
        <v>24</v>
      </c>
      <c r="O32" s="206" t="str">
        <f>HYPERLINK("https://leetcode.com/problems/generate-parentheses/","https://leetcode.com/problems/generate-parentheses/")</f>
        <v>https://leetcode.com/problems/generate-parentheses/</v>
      </c>
    </row>
    <row r="33" spans="1:15" ht="31.5" customHeight="1" x14ac:dyDescent="0.2">
      <c r="A33" s="7">
        <v>25</v>
      </c>
      <c r="B33" s="7">
        <v>739</v>
      </c>
      <c r="C33" s="13" t="s">
        <v>1836</v>
      </c>
      <c r="D33" s="3" t="s">
        <v>540</v>
      </c>
      <c r="E33" s="18" t="s">
        <v>28</v>
      </c>
      <c r="F33" s="3" t="s">
        <v>1473</v>
      </c>
      <c r="G33" s="3"/>
      <c r="H33" s="7"/>
      <c r="I33" s="7">
        <f>IFERROR(VLOOKUP(B33,'📊 Problem Tracker'!$B$4:$F$1200,5,FALSE()),"")</f>
        <v>0</v>
      </c>
      <c r="J33" s="3"/>
      <c r="K33" s="3" t="s">
        <v>1837</v>
      </c>
      <c r="L33" s="228" t="s">
        <v>1839</v>
      </c>
      <c r="M33" s="7" t="s">
        <v>24</v>
      </c>
      <c r="N33" s="176" t="s">
        <v>24</v>
      </c>
      <c r="O33" s="205" t="str">
        <f>HYPERLINK("https://leetcode.com/problems/daily-temperatures/","https://leetcode.com/problems/daily-temperatures/")</f>
        <v>https://leetcode.com/problems/daily-temperatures/</v>
      </c>
    </row>
    <row r="34" spans="1:15" ht="31.5" customHeight="1" x14ac:dyDescent="0.2">
      <c r="A34" s="76">
        <v>26</v>
      </c>
      <c r="B34" s="76">
        <v>853</v>
      </c>
      <c r="C34" s="77" t="s">
        <v>1983</v>
      </c>
      <c r="D34" s="78" t="s">
        <v>540</v>
      </c>
      <c r="E34" s="80" t="s">
        <v>28</v>
      </c>
      <c r="F34" s="78" t="s">
        <v>1473</v>
      </c>
      <c r="G34" s="78"/>
      <c r="H34" s="76"/>
      <c r="I34" s="76">
        <f>IFERROR(VLOOKUP(B34,'📊 Problem Tracker'!$B$4:$F$1200,5,FALSE()),"")</f>
        <v>0</v>
      </c>
      <c r="J34" s="78"/>
      <c r="K34" s="78" t="s">
        <v>466</v>
      </c>
      <c r="L34" s="252" t="s">
        <v>542</v>
      </c>
      <c r="M34" s="76" t="s">
        <v>24</v>
      </c>
      <c r="N34" s="190" t="s">
        <v>24</v>
      </c>
      <c r="O34" s="206" t="str">
        <f>HYPERLINK("https://leetcode.com/problems/car-fleet/","https://leetcode.com/problems/car-fleet/")</f>
        <v>https://leetcode.com/problems/car-fleet/</v>
      </c>
    </row>
    <row r="35" spans="1:15" ht="31.5" customHeight="1" x14ac:dyDescent="0.2">
      <c r="A35" s="7">
        <v>27</v>
      </c>
      <c r="B35" s="7">
        <v>84</v>
      </c>
      <c r="C35" s="13" t="s">
        <v>465</v>
      </c>
      <c r="D35" s="3" t="s">
        <v>540</v>
      </c>
      <c r="E35" s="20" t="s">
        <v>42</v>
      </c>
      <c r="F35" s="3" t="s">
        <v>1473</v>
      </c>
      <c r="G35" s="3"/>
      <c r="H35" s="7"/>
      <c r="I35" s="7">
        <f>IFERROR(VLOOKUP(B35,'📊 Problem Tracker'!$B$4:$F$1200,5,FALSE()),"")</f>
        <v>0</v>
      </c>
      <c r="J35" s="3"/>
      <c r="K35" s="3" t="s">
        <v>466</v>
      </c>
      <c r="L35" s="228" t="s">
        <v>468</v>
      </c>
      <c r="M35" s="7" t="s">
        <v>24</v>
      </c>
      <c r="N35" s="176" t="s">
        <v>24</v>
      </c>
      <c r="O35" s="191" t="str">
        <f>HYPERLINK("https://leetcode.com/problems/largest-rectangle-in-histogram/","https://leetcode.com/problems/largest-rectangle-in-histogram/")</f>
        <v>https://leetcode.com/problems/largest-rectangle-in-histogram/</v>
      </c>
    </row>
    <row r="36" spans="1:15" ht="19.5" customHeight="1" x14ac:dyDescent="0.2">
      <c r="A36" s="335" t="s">
        <v>4324</v>
      </c>
      <c r="B36" s="292"/>
      <c r="C36" s="292"/>
      <c r="D36" s="292"/>
      <c r="E36" s="292"/>
      <c r="F36" s="292"/>
      <c r="G36" s="292"/>
      <c r="H36" s="292"/>
      <c r="I36" s="292"/>
      <c r="J36" s="292"/>
      <c r="M36" s="52"/>
      <c r="N36" s="52"/>
      <c r="O36" s="215"/>
    </row>
    <row r="37" spans="1:15" ht="31.5" customHeight="1" x14ac:dyDescent="0.2">
      <c r="A37" s="76">
        <v>28</v>
      </c>
      <c r="B37" s="76">
        <v>704</v>
      </c>
      <c r="C37" s="77" t="s">
        <v>512</v>
      </c>
      <c r="D37" s="78" t="s">
        <v>512</v>
      </c>
      <c r="E37" s="79" t="s">
        <v>20</v>
      </c>
      <c r="F37" s="78" t="s">
        <v>512</v>
      </c>
      <c r="G37" s="78"/>
      <c r="H37" s="76"/>
      <c r="I37" s="76">
        <f>IFERROR(VLOOKUP(B37,'📊 Problem Tracker'!$B$4:$F$1200,5,FALSE()),"")</f>
        <v>0</v>
      </c>
      <c r="J37" s="78"/>
      <c r="K37" s="78" t="s">
        <v>41</v>
      </c>
      <c r="L37" s="252" t="s">
        <v>1776</v>
      </c>
      <c r="M37" s="76" t="s">
        <v>65</v>
      </c>
      <c r="N37" s="190" t="s">
        <v>47</v>
      </c>
      <c r="O37" s="206" t="str">
        <f>HYPERLINK("https://leetcode.com/problems/binary-search/","https://leetcode.com/problems/binary-search/")</f>
        <v>https://leetcode.com/problems/binary-search/</v>
      </c>
    </row>
    <row r="38" spans="1:15" ht="31.5" customHeight="1" x14ac:dyDescent="0.2">
      <c r="A38" s="7">
        <v>29</v>
      </c>
      <c r="B38" s="7">
        <v>74</v>
      </c>
      <c r="C38" s="13" t="s">
        <v>415</v>
      </c>
      <c r="D38" s="3" t="s">
        <v>512</v>
      </c>
      <c r="E38" s="18" t="s">
        <v>28</v>
      </c>
      <c r="F38" s="3" t="s">
        <v>4255</v>
      </c>
      <c r="G38" s="3"/>
      <c r="H38" s="7"/>
      <c r="I38" s="7">
        <f>IFERROR(VLOOKUP(B38,'📊 Problem Tracker'!$B$4:$F$1200,5,FALSE()),"")</f>
        <v>0</v>
      </c>
      <c r="J38" s="3"/>
      <c r="K38" s="3" t="s">
        <v>416</v>
      </c>
      <c r="L38" s="228" t="s">
        <v>419</v>
      </c>
      <c r="M38" s="7" t="s">
        <v>420</v>
      </c>
      <c r="N38" s="176" t="s">
        <v>47</v>
      </c>
      <c r="O38" s="205" t="str">
        <f>HYPERLINK("https://leetcode.com/problems/search-a-2d-matrix/","https://leetcode.com/problems/search-a-2d-matrix/")</f>
        <v>https://leetcode.com/problems/search-a-2d-matrix/</v>
      </c>
    </row>
    <row r="39" spans="1:15" ht="31.5" customHeight="1" x14ac:dyDescent="0.2">
      <c r="A39" s="76">
        <v>30</v>
      </c>
      <c r="B39" s="76">
        <v>875</v>
      </c>
      <c r="C39" s="77" t="s">
        <v>2014</v>
      </c>
      <c r="D39" s="78" t="s">
        <v>512</v>
      </c>
      <c r="E39" s="80" t="s">
        <v>28</v>
      </c>
      <c r="F39" s="78" t="s">
        <v>4255</v>
      </c>
      <c r="G39" s="78"/>
      <c r="H39" s="76"/>
      <c r="I39" s="76">
        <f>IFERROR(VLOOKUP(B39,'📊 Problem Tracker'!$B$4:$F$1200,5,FALSE()),"")</f>
        <v>0</v>
      </c>
      <c r="J39" s="78"/>
      <c r="K39" s="78" t="s">
        <v>41</v>
      </c>
      <c r="L39" s="252" t="s">
        <v>513</v>
      </c>
      <c r="M39" s="76" t="s">
        <v>65</v>
      </c>
      <c r="N39" s="190" t="s">
        <v>47</v>
      </c>
      <c r="O39" s="206" t="str">
        <f>HYPERLINK("https://leetcode.com/problems/koko-eating-bananas/","https://leetcode.com/problems/koko-eating-bananas/")</f>
        <v>https://leetcode.com/problems/koko-eating-bananas/</v>
      </c>
    </row>
    <row r="40" spans="1:15" ht="31.5" customHeight="1" x14ac:dyDescent="0.2">
      <c r="A40" s="7">
        <v>31</v>
      </c>
      <c r="B40" s="7">
        <v>153</v>
      </c>
      <c r="C40" s="13" t="s">
        <v>720</v>
      </c>
      <c r="D40" s="3" t="s">
        <v>512</v>
      </c>
      <c r="E40" s="18" t="s">
        <v>28</v>
      </c>
      <c r="F40" s="3" t="s">
        <v>4255</v>
      </c>
      <c r="G40" s="3"/>
      <c r="H40" s="7"/>
      <c r="I40" s="7">
        <f>IFERROR(VLOOKUP(B40,'📊 Problem Tracker'!$B$4:$F$1200,5,FALSE()),"")</f>
        <v>0</v>
      </c>
      <c r="J40" s="3"/>
      <c r="K40" s="3" t="s">
        <v>41</v>
      </c>
      <c r="L40" s="228" t="s">
        <v>722</v>
      </c>
      <c r="M40" s="7" t="s">
        <v>65</v>
      </c>
      <c r="N40" s="176" t="s">
        <v>47</v>
      </c>
      <c r="O40" s="205" t="str">
        <f>HYPERLINK("https://leetcode.com/problems/find-minimum-in-rotated-sorted-array/","https://leetcode.com/problems/find-minimum-in-rotated-sorted-array/")</f>
        <v>https://leetcode.com/problems/find-minimum-in-rotated-sorted-array/</v>
      </c>
    </row>
    <row r="41" spans="1:15" ht="31.5" customHeight="1" x14ac:dyDescent="0.2">
      <c r="A41" s="76">
        <v>32</v>
      </c>
      <c r="B41" s="76">
        <v>33</v>
      </c>
      <c r="C41" s="77" t="s">
        <v>202</v>
      </c>
      <c r="D41" s="78" t="s">
        <v>512</v>
      </c>
      <c r="E41" s="80" t="s">
        <v>28</v>
      </c>
      <c r="F41" s="78" t="s">
        <v>4255</v>
      </c>
      <c r="G41" s="78"/>
      <c r="H41" s="76"/>
      <c r="I41" s="76">
        <f>IFERROR(VLOOKUP(B41,'📊 Problem Tracker'!$B$4:$F$1200,5,FALSE()),"")</f>
        <v>0</v>
      </c>
      <c r="J41" s="78"/>
      <c r="K41" s="78" t="s">
        <v>41</v>
      </c>
      <c r="L41" s="252" t="s">
        <v>204</v>
      </c>
      <c r="M41" s="76" t="s">
        <v>65</v>
      </c>
      <c r="N41" s="190" t="s">
        <v>47</v>
      </c>
      <c r="O41" s="206" t="str">
        <f>HYPERLINK("https://leetcode.com/problems/search-in-rotated-sorted-array/","https://leetcode.com/problems/search-in-rotated-sorted-array/")</f>
        <v>https://leetcode.com/problems/search-in-rotated-sorted-array/</v>
      </c>
    </row>
    <row r="42" spans="1:15" ht="31.5" customHeight="1" x14ac:dyDescent="0.2">
      <c r="A42" s="7">
        <v>33</v>
      </c>
      <c r="B42" s="7">
        <v>981</v>
      </c>
      <c r="C42" s="13" t="s">
        <v>2132</v>
      </c>
      <c r="D42" s="3" t="s">
        <v>512</v>
      </c>
      <c r="E42" s="18" t="s">
        <v>28</v>
      </c>
      <c r="F42" s="3" t="s">
        <v>512</v>
      </c>
      <c r="G42" s="3" t="s">
        <v>4244</v>
      </c>
      <c r="H42" s="7"/>
      <c r="I42" s="7">
        <f>IFERROR(VLOOKUP(B42,'📊 Problem Tracker'!$B$4:$F$1200,5,FALSE()),"")</f>
        <v>0</v>
      </c>
      <c r="J42" s="3"/>
      <c r="K42" s="3" t="s">
        <v>2133</v>
      </c>
      <c r="L42" s="228" t="s">
        <v>513</v>
      </c>
      <c r="M42" s="7" t="s">
        <v>2134</v>
      </c>
      <c r="N42" s="176" t="s">
        <v>24</v>
      </c>
      <c r="O42" s="205" t="str">
        <f>HYPERLINK("https://leetcode.com/problems/time-based-key-value-store/","https://leetcode.com/problems/time-based-key-value-store/")</f>
        <v>https://leetcode.com/problems/time-based-key-value-store/</v>
      </c>
    </row>
    <row r="43" spans="1:15" ht="31.5" customHeight="1" x14ac:dyDescent="0.2">
      <c r="A43" s="76">
        <v>34</v>
      </c>
      <c r="B43" s="76">
        <v>4</v>
      </c>
      <c r="C43" s="77" t="s">
        <v>40</v>
      </c>
      <c r="D43" s="78" t="s">
        <v>512</v>
      </c>
      <c r="E43" s="81" t="s">
        <v>42</v>
      </c>
      <c r="F43" s="78" t="s">
        <v>512</v>
      </c>
      <c r="G43" s="78" t="s">
        <v>1368</v>
      </c>
      <c r="H43" s="76"/>
      <c r="I43" s="76">
        <f>IFERROR(VLOOKUP(B43,'📊 Problem Tracker'!$B$4:$F$1200,5,FALSE()),"")</f>
        <v>0</v>
      </c>
      <c r="J43" s="78"/>
      <c r="K43" s="78" t="s">
        <v>4237</v>
      </c>
      <c r="L43" s="252" t="s">
        <v>4238</v>
      </c>
      <c r="M43" s="76" t="s">
        <v>46</v>
      </c>
      <c r="N43" s="190" t="s">
        <v>47</v>
      </c>
      <c r="O43" s="207" t="str">
        <f>HYPERLINK("https://leetcode.com/problems/median-of-two-sorted-arrays/","https://leetcode.com/problems/median-of-two-sorted-arrays/")</f>
        <v>https://leetcode.com/problems/median-of-two-sorted-arrays/</v>
      </c>
    </row>
    <row r="44" spans="1:15" ht="19.5" customHeight="1" x14ac:dyDescent="0.2">
      <c r="A44" s="338" t="s">
        <v>4325</v>
      </c>
      <c r="B44" s="292"/>
      <c r="C44" s="292"/>
      <c r="D44" s="292"/>
      <c r="E44" s="292"/>
      <c r="F44" s="292"/>
      <c r="G44" s="292"/>
      <c r="H44" s="292"/>
      <c r="I44" s="292"/>
      <c r="J44" s="292"/>
      <c r="M44" s="52"/>
      <c r="N44" s="52"/>
      <c r="O44" s="215"/>
    </row>
    <row r="45" spans="1:15" ht="31.5" customHeight="1" x14ac:dyDescent="0.2">
      <c r="A45" s="7">
        <v>35</v>
      </c>
      <c r="B45" s="7">
        <v>206</v>
      </c>
      <c r="C45" s="13" t="s">
        <v>899</v>
      </c>
      <c r="D45" s="3" t="s">
        <v>127</v>
      </c>
      <c r="E45" s="21" t="s">
        <v>20</v>
      </c>
      <c r="F45" s="3" t="s">
        <v>4253</v>
      </c>
      <c r="G45" s="3"/>
      <c r="H45" s="7"/>
      <c r="I45" s="7">
        <f>IFERROR(VLOOKUP(B45,'📊 Problem Tracker'!$B$4:$F$1200,5,FALSE()),"")</f>
        <v>0</v>
      </c>
      <c r="J45" s="3"/>
      <c r="K45" s="3" t="s">
        <v>127</v>
      </c>
      <c r="L45" s="228" t="s">
        <v>901</v>
      </c>
      <c r="M45" s="7" t="s">
        <v>24</v>
      </c>
      <c r="N45" s="176" t="s">
        <v>47</v>
      </c>
      <c r="O45" s="205" t="str">
        <f>HYPERLINK("https://leetcode.com/problems/reverse-linked-list/","https://leetcode.com/problems/reverse-linked-list/")</f>
        <v>https://leetcode.com/problems/reverse-linked-list/</v>
      </c>
    </row>
    <row r="46" spans="1:15" ht="31.5" customHeight="1" x14ac:dyDescent="0.2">
      <c r="A46" s="76">
        <v>36</v>
      </c>
      <c r="B46" s="76">
        <v>21</v>
      </c>
      <c r="C46" s="77" t="s">
        <v>137</v>
      </c>
      <c r="D46" s="78" t="s">
        <v>127</v>
      </c>
      <c r="E46" s="79" t="s">
        <v>20</v>
      </c>
      <c r="F46" s="78" t="s">
        <v>127</v>
      </c>
      <c r="G46" s="78"/>
      <c r="H46" s="76"/>
      <c r="I46" s="76">
        <f>IFERROR(VLOOKUP(B46,'📊 Problem Tracker'!$B$4:$F$1200,5,FALSE()),"")</f>
        <v>0</v>
      </c>
      <c r="J46" s="78"/>
      <c r="K46" s="78" t="s">
        <v>127</v>
      </c>
      <c r="L46" s="252" t="s">
        <v>139</v>
      </c>
      <c r="M46" s="76" t="s">
        <v>140</v>
      </c>
      <c r="N46" s="190" t="s">
        <v>141</v>
      </c>
      <c r="O46" s="206" t="str">
        <f>HYPERLINK("https://leetcode.com/problems/merge-two-sorted-lists/","https://leetcode.com/problems/merge-two-sorted-lists/")</f>
        <v>https://leetcode.com/problems/merge-two-sorted-lists/</v>
      </c>
    </row>
    <row r="47" spans="1:15" ht="31.5" customHeight="1" x14ac:dyDescent="0.2">
      <c r="A47" s="7">
        <v>37</v>
      </c>
      <c r="B47" s="7">
        <v>141</v>
      </c>
      <c r="C47" s="13" t="s">
        <v>678</v>
      </c>
      <c r="D47" s="3" t="s">
        <v>127</v>
      </c>
      <c r="E47" s="21" t="s">
        <v>20</v>
      </c>
      <c r="F47" s="3" t="s">
        <v>4034</v>
      </c>
      <c r="G47" s="3"/>
      <c r="H47" s="7"/>
      <c r="I47" s="7">
        <f>IFERROR(VLOOKUP(B47,'📊 Problem Tracker'!$B$4:$F$1200,5,FALSE()),"")</f>
        <v>0</v>
      </c>
      <c r="J47" s="3"/>
      <c r="K47" s="3" t="s">
        <v>679</v>
      </c>
      <c r="L47" s="228" t="s">
        <v>682</v>
      </c>
      <c r="M47" s="7" t="s">
        <v>24</v>
      </c>
      <c r="N47" s="176" t="s">
        <v>47</v>
      </c>
      <c r="O47" s="205" t="str">
        <f>HYPERLINK("https://leetcode.com/problems/linked-list-cycle/","https://leetcode.com/problems/linked-list-cycle/")</f>
        <v>https://leetcode.com/problems/linked-list-cycle/</v>
      </c>
    </row>
    <row r="48" spans="1:15" ht="31.5" customHeight="1" x14ac:dyDescent="0.2">
      <c r="A48" s="76">
        <v>38</v>
      </c>
      <c r="B48" s="76">
        <v>143</v>
      </c>
      <c r="C48" s="77" t="s">
        <v>688</v>
      </c>
      <c r="D48" s="78" t="s">
        <v>127</v>
      </c>
      <c r="E48" s="80" t="s">
        <v>28</v>
      </c>
      <c r="F48" s="78" t="s">
        <v>4253</v>
      </c>
      <c r="G48" s="78"/>
      <c r="H48" s="76"/>
      <c r="I48" s="76">
        <f>IFERROR(VLOOKUP(B48,'📊 Problem Tracker'!$B$4:$F$1200,5,FALSE()),"")</f>
        <v>0</v>
      </c>
      <c r="J48" s="78"/>
      <c r="K48" s="78" t="s">
        <v>679</v>
      </c>
      <c r="L48" s="252" t="s">
        <v>461</v>
      </c>
      <c r="M48" s="76" t="s">
        <v>24</v>
      </c>
      <c r="N48" s="190" t="s">
        <v>47</v>
      </c>
      <c r="O48" s="206" t="str">
        <f>HYPERLINK("https://leetcode.com/problems/reorder-list/","https://leetcode.com/problems/reorder-list/")</f>
        <v>https://leetcode.com/problems/reorder-list/</v>
      </c>
    </row>
    <row r="49" spans="1:15" ht="31.5" customHeight="1" x14ac:dyDescent="0.2">
      <c r="A49" s="7">
        <v>39</v>
      </c>
      <c r="B49" s="7">
        <v>19</v>
      </c>
      <c r="C49" s="13" t="s">
        <v>126</v>
      </c>
      <c r="D49" s="3" t="s">
        <v>127</v>
      </c>
      <c r="E49" s="18" t="s">
        <v>28</v>
      </c>
      <c r="F49" s="3" t="s">
        <v>127</v>
      </c>
      <c r="G49" s="3" t="s">
        <v>689</v>
      </c>
      <c r="H49" s="7"/>
      <c r="I49" s="7">
        <f>IFERROR(VLOOKUP(B49,'📊 Problem Tracker'!$B$4:$F$1200,5,FALSE()),"")</f>
        <v>0</v>
      </c>
      <c r="J49" s="3"/>
      <c r="K49" s="3" t="s">
        <v>679</v>
      </c>
      <c r="L49" s="228" t="s">
        <v>130</v>
      </c>
      <c r="M49" s="7" t="s">
        <v>24</v>
      </c>
      <c r="N49" s="176" t="s">
        <v>47</v>
      </c>
      <c r="O49" s="205" t="str">
        <f>HYPERLINK("https://leetcode.com/problems/remove-nth-node-from-end-of-list/","https://leetcode.com/problems/remove-nth-node-from-end-of-list/")</f>
        <v>https://leetcode.com/problems/remove-nth-node-from-end-of-list/</v>
      </c>
    </row>
    <row r="50" spans="1:15" ht="31.5" customHeight="1" x14ac:dyDescent="0.2">
      <c r="A50" s="76">
        <v>40</v>
      </c>
      <c r="B50" s="76">
        <v>138</v>
      </c>
      <c r="C50" s="77" t="s">
        <v>668</v>
      </c>
      <c r="D50" s="78" t="s">
        <v>127</v>
      </c>
      <c r="E50" s="80" t="s">
        <v>28</v>
      </c>
      <c r="F50" s="78" t="s">
        <v>127</v>
      </c>
      <c r="G50" s="78" t="s">
        <v>4244</v>
      </c>
      <c r="H50" s="76"/>
      <c r="I50" s="76">
        <f>IFERROR(VLOOKUP(B50,'📊 Problem Tracker'!$B$4:$F$1200,5,FALSE()),"")</f>
        <v>0</v>
      </c>
      <c r="J50" s="78"/>
      <c r="K50" s="78" t="s">
        <v>669</v>
      </c>
      <c r="L50" s="252" t="s">
        <v>461</v>
      </c>
      <c r="M50" s="76" t="s">
        <v>24</v>
      </c>
      <c r="N50" s="190" t="s">
        <v>24</v>
      </c>
      <c r="O50" s="206" t="str">
        <f>HYPERLINK("https://leetcode.com/problems/copy-list-with-random-pointer/","https://leetcode.com/problems/copy-list-with-random-pointer/")</f>
        <v>https://leetcode.com/problems/copy-list-with-random-pointer/</v>
      </c>
    </row>
    <row r="51" spans="1:15" ht="31.5" customHeight="1" x14ac:dyDescent="0.2">
      <c r="A51" s="7">
        <v>41</v>
      </c>
      <c r="B51" s="7">
        <v>287</v>
      </c>
      <c r="C51" s="13" t="s">
        <v>1109</v>
      </c>
      <c r="D51" s="3" t="s">
        <v>127</v>
      </c>
      <c r="E51" s="18" t="s">
        <v>28</v>
      </c>
      <c r="F51" s="3" t="s">
        <v>4034</v>
      </c>
      <c r="G51" s="3" t="s">
        <v>512</v>
      </c>
      <c r="H51" s="7"/>
      <c r="I51" s="7">
        <f>IFERROR(VLOOKUP(B51,'📊 Problem Tracker'!$B$4:$F$1200,5,FALSE()),"")</f>
        <v>0</v>
      </c>
      <c r="J51" s="3"/>
      <c r="K51" s="3" t="s">
        <v>1110</v>
      </c>
      <c r="L51" s="228" t="s">
        <v>1112</v>
      </c>
      <c r="M51" s="7" t="s">
        <v>24</v>
      </c>
      <c r="N51" s="176" t="s">
        <v>47</v>
      </c>
      <c r="O51" s="205" t="str">
        <f>HYPERLINK("https://leetcode.com/problems/find-the-duplicate-number/","https://leetcode.com/problems/find-the-duplicate-number/")</f>
        <v>https://leetcode.com/problems/find-the-duplicate-number/</v>
      </c>
    </row>
    <row r="52" spans="1:15" ht="31.5" customHeight="1" x14ac:dyDescent="0.2">
      <c r="A52" s="76">
        <v>42</v>
      </c>
      <c r="B52" s="76">
        <v>146</v>
      </c>
      <c r="C52" s="77" t="s">
        <v>692</v>
      </c>
      <c r="D52" s="78" t="s">
        <v>127</v>
      </c>
      <c r="E52" s="80" t="s">
        <v>28</v>
      </c>
      <c r="F52" s="78" t="s">
        <v>4244</v>
      </c>
      <c r="G52" s="78" t="s">
        <v>127</v>
      </c>
      <c r="H52" s="76"/>
      <c r="I52" s="76">
        <f>IFERROR(VLOOKUP(B52,'📊 Problem Tracker'!$B$4:$F$1200,5,FALSE()),"")</f>
        <v>0</v>
      </c>
      <c r="J52" s="78"/>
      <c r="K52" s="78" t="s">
        <v>693</v>
      </c>
      <c r="L52" s="252" t="s">
        <v>695</v>
      </c>
      <c r="M52" s="76" t="s">
        <v>696</v>
      </c>
      <c r="N52" s="190" t="s">
        <v>697</v>
      </c>
      <c r="O52" s="206" t="str">
        <f>HYPERLINK("https://leetcode.com/problems/lru-cache/","https://leetcode.com/problems/lru-cache/")</f>
        <v>https://leetcode.com/problems/lru-cache/</v>
      </c>
    </row>
    <row r="53" spans="1:15" ht="31.5" customHeight="1" x14ac:dyDescent="0.2">
      <c r="A53" s="7">
        <v>43</v>
      </c>
      <c r="B53" s="7">
        <v>23</v>
      </c>
      <c r="C53" s="13" t="s">
        <v>148</v>
      </c>
      <c r="D53" s="3" t="s">
        <v>127</v>
      </c>
      <c r="E53" s="20" t="s">
        <v>42</v>
      </c>
      <c r="F53" s="3" t="s">
        <v>4252</v>
      </c>
      <c r="G53" s="3"/>
      <c r="H53" s="7"/>
      <c r="I53" s="7">
        <f>IFERROR(VLOOKUP(B53,'📊 Problem Tracker'!$B$4:$F$1200,5,FALSE()),"")</f>
        <v>0</v>
      </c>
      <c r="J53" s="3"/>
      <c r="K53" s="3" t="s">
        <v>149</v>
      </c>
      <c r="L53" s="228" t="s">
        <v>151</v>
      </c>
      <c r="M53" s="7" t="s">
        <v>152</v>
      </c>
      <c r="N53" s="176" t="s">
        <v>153</v>
      </c>
      <c r="O53" s="205" t="str">
        <f>HYPERLINK("https://leetcode.com/problems/merge-k-sorted-lists/","https://leetcode.com/problems/merge-k-sorted-lists/")</f>
        <v>https://leetcode.com/problems/merge-k-sorted-lists/</v>
      </c>
    </row>
    <row r="54" spans="1:15" ht="31.5" customHeight="1" x14ac:dyDescent="0.2">
      <c r="A54" s="76">
        <v>44</v>
      </c>
      <c r="B54" s="76">
        <v>25</v>
      </c>
      <c r="C54" s="77" t="s">
        <v>160</v>
      </c>
      <c r="D54" s="78" t="s">
        <v>127</v>
      </c>
      <c r="E54" s="81" t="s">
        <v>42</v>
      </c>
      <c r="F54" s="78" t="s">
        <v>4253</v>
      </c>
      <c r="G54" s="78"/>
      <c r="H54" s="76"/>
      <c r="I54" s="76">
        <f>IFERROR(VLOOKUP(B54,'📊 Problem Tracker'!$B$4:$F$1200,5,FALSE()),"")</f>
        <v>0</v>
      </c>
      <c r="J54" s="78"/>
      <c r="K54" s="78" t="s">
        <v>127</v>
      </c>
      <c r="L54" s="252" t="s">
        <v>163</v>
      </c>
      <c r="M54" s="76" t="s">
        <v>24</v>
      </c>
      <c r="N54" s="190" t="s">
        <v>47</v>
      </c>
      <c r="O54" s="207" t="str">
        <f>HYPERLINK("https://leetcode.com/problems/reverse-nodes-in-k-group/","https://leetcode.com/problems/reverse-nodes-in-k-group/")</f>
        <v>https://leetcode.com/problems/reverse-nodes-in-k-group/</v>
      </c>
    </row>
    <row r="55" spans="1:15" ht="19.5" customHeight="1" x14ac:dyDescent="0.2">
      <c r="A55" s="339" t="s">
        <v>4326</v>
      </c>
      <c r="B55" s="292"/>
      <c r="C55" s="292"/>
      <c r="D55" s="292"/>
      <c r="E55" s="292"/>
      <c r="F55" s="292"/>
      <c r="G55" s="292"/>
      <c r="H55" s="292"/>
      <c r="I55" s="292"/>
      <c r="J55" s="292"/>
      <c r="M55" s="52"/>
      <c r="N55" s="52"/>
      <c r="O55" s="215"/>
    </row>
    <row r="56" spans="1:15" ht="31.5" customHeight="1" x14ac:dyDescent="0.2">
      <c r="A56" s="7">
        <v>45</v>
      </c>
      <c r="B56" s="7">
        <v>226</v>
      </c>
      <c r="C56" s="13" t="s">
        <v>976</v>
      </c>
      <c r="D56" s="3" t="s">
        <v>4327</v>
      </c>
      <c r="E56" s="21" t="s">
        <v>20</v>
      </c>
      <c r="F56" s="3" t="s">
        <v>4256</v>
      </c>
      <c r="G56" s="3"/>
      <c r="H56" s="7"/>
      <c r="I56" s="7">
        <f>IFERROR(VLOOKUP(B56,'📊 Problem Tracker'!$B$4:$F$1200,5,FALSE()),"")</f>
        <v>0</v>
      </c>
      <c r="J56" s="3"/>
      <c r="K56" s="3" t="s">
        <v>500</v>
      </c>
      <c r="L56" s="228" t="s">
        <v>978</v>
      </c>
      <c r="M56" s="7" t="s">
        <v>24</v>
      </c>
      <c r="N56" s="176" t="s">
        <v>503</v>
      </c>
      <c r="O56" s="205" t="str">
        <f>HYPERLINK("https://leetcode.com/problems/invert-binary-tree/","https://leetcode.com/problems/invert-binary-tree/")</f>
        <v>https://leetcode.com/problems/invert-binary-tree/</v>
      </c>
    </row>
    <row r="57" spans="1:15" ht="31.5" customHeight="1" x14ac:dyDescent="0.2">
      <c r="A57" s="76">
        <v>46</v>
      </c>
      <c r="B57" s="76">
        <v>104</v>
      </c>
      <c r="C57" s="77" t="s">
        <v>544</v>
      </c>
      <c r="D57" s="78" t="s">
        <v>4327</v>
      </c>
      <c r="E57" s="79" t="s">
        <v>20</v>
      </c>
      <c r="F57" s="78" t="s">
        <v>4256</v>
      </c>
      <c r="G57" s="78"/>
      <c r="H57" s="76"/>
      <c r="I57" s="76">
        <f>IFERROR(VLOOKUP(B57,'📊 Problem Tracker'!$B$4:$F$1200,5,FALSE()),"")</f>
        <v>0</v>
      </c>
      <c r="J57" s="78"/>
      <c r="K57" s="78" t="s">
        <v>500</v>
      </c>
      <c r="L57" s="252" t="s">
        <v>546</v>
      </c>
      <c r="M57" s="76" t="s">
        <v>24</v>
      </c>
      <c r="N57" s="190" t="s">
        <v>503</v>
      </c>
      <c r="O57" s="206" t="str">
        <f>HYPERLINK("https://leetcode.com/problems/maximum-depth-of-binary-tree/","https://leetcode.com/problems/maximum-depth-of-binary-tree/")</f>
        <v>https://leetcode.com/problems/maximum-depth-of-binary-tree/</v>
      </c>
    </row>
    <row r="58" spans="1:15" ht="31.5" customHeight="1" x14ac:dyDescent="0.2">
      <c r="A58" s="7">
        <v>47</v>
      </c>
      <c r="B58" s="7">
        <v>543</v>
      </c>
      <c r="C58" s="13" t="s">
        <v>1584</v>
      </c>
      <c r="D58" s="3" t="s">
        <v>4327</v>
      </c>
      <c r="E58" s="21" t="s">
        <v>20</v>
      </c>
      <c r="F58" s="3" t="s">
        <v>4256</v>
      </c>
      <c r="G58" s="3"/>
      <c r="H58" s="7"/>
      <c r="I58" s="7">
        <f>IFERROR(VLOOKUP(B58,'📊 Problem Tracker'!$B$4:$F$1200,5,FALSE()),"")</f>
        <v>0</v>
      </c>
      <c r="J58" s="3"/>
      <c r="K58" s="3" t="s">
        <v>500</v>
      </c>
      <c r="L58" s="228" t="s">
        <v>571</v>
      </c>
      <c r="M58" s="7" t="s">
        <v>24</v>
      </c>
      <c r="N58" s="176" t="s">
        <v>503</v>
      </c>
      <c r="O58" s="205" t="str">
        <f>HYPERLINK("https://leetcode.com/problems/diameter-of-binary-tree/","https://leetcode.com/problems/diameter-of-binary-tree/")</f>
        <v>https://leetcode.com/problems/diameter-of-binary-tree/</v>
      </c>
    </row>
    <row r="59" spans="1:15" ht="31.5" customHeight="1" x14ac:dyDescent="0.2">
      <c r="A59" s="76">
        <v>48</v>
      </c>
      <c r="B59" s="76">
        <v>110</v>
      </c>
      <c r="C59" s="77" t="s">
        <v>568</v>
      </c>
      <c r="D59" s="78" t="s">
        <v>4327</v>
      </c>
      <c r="E59" s="79" t="s">
        <v>20</v>
      </c>
      <c r="F59" s="78" t="s">
        <v>4256</v>
      </c>
      <c r="G59" s="78"/>
      <c r="H59" s="76"/>
      <c r="I59" s="76">
        <f>IFERROR(VLOOKUP(B59,'📊 Problem Tracker'!$B$4:$F$1200,5,FALSE()),"")</f>
        <v>0</v>
      </c>
      <c r="J59" s="78"/>
      <c r="K59" s="78" t="s">
        <v>500</v>
      </c>
      <c r="L59" s="252" t="s">
        <v>571</v>
      </c>
      <c r="M59" s="76" t="s">
        <v>24</v>
      </c>
      <c r="N59" s="190" t="s">
        <v>503</v>
      </c>
      <c r="O59" s="206" t="str">
        <f>HYPERLINK("https://leetcode.com/problems/balanced-binary-tree/","https://leetcode.com/problems/balanced-binary-tree/")</f>
        <v>https://leetcode.com/problems/balanced-binary-tree/</v>
      </c>
    </row>
    <row r="60" spans="1:15" ht="31.5" customHeight="1" x14ac:dyDescent="0.2">
      <c r="A60" s="7">
        <v>49</v>
      </c>
      <c r="B60" s="7">
        <v>100</v>
      </c>
      <c r="C60" s="13" t="s">
        <v>524</v>
      </c>
      <c r="D60" s="3" t="s">
        <v>4327</v>
      </c>
      <c r="E60" s="21" t="s">
        <v>20</v>
      </c>
      <c r="F60" s="3" t="s">
        <v>4256</v>
      </c>
      <c r="G60" s="3"/>
      <c r="H60" s="7"/>
      <c r="I60" s="7">
        <f>IFERROR(VLOOKUP(B60,'📊 Problem Tracker'!$B$4:$F$1200,5,FALSE()),"")</f>
        <v>0</v>
      </c>
      <c r="J60" s="3"/>
      <c r="K60" s="3" t="s">
        <v>500</v>
      </c>
      <c r="L60" s="228" t="s">
        <v>526</v>
      </c>
      <c r="M60" s="7" t="s">
        <v>24</v>
      </c>
      <c r="N60" s="176" t="s">
        <v>503</v>
      </c>
      <c r="O60" s="205" t="str">
        <f>HYPERLINK("https://leetcode.com/problems/same-tree/","https://leetcode.com/problems/same-tree/")</f>
        <v>https://leetcode.com/problems/same-tree/</v>
      </c>
    </row>
    <row r="61" spans="1:15" ht="31.5" customHeight="1" x14ac:dyDescent="0.2">
      <c r="A61" s="76">
        <v>50</v>
      </c>
      <c r="B61" s="76">
        <v>572</v>
      </c>
      <c r="C61" s="77" t="s">
        <v>1634</v>
      </c>
      <c r="D61" s="78" t="s">
        <v>4327</v>
      </c>
      <c r="E61" s="79" t="s">
        <v>20</v>
      </c>
      <c r="F61" s="78" t="s">
        <v>4256</v>
      </c>
      <c r="G61" s="78"/>
      <c r="H61" s="76"/>
      <c r="I61" s="76">
        <f>IFERROR(VLOOKUP(B61,'📊 Problem Tracker'!$B$4:$F$1200,5,FALSE()),"")</f>
        <v>0</v>
      </c>
      <c r="J61" s="78"/>
      <c r="K61" s="78" t="s">
        <v>500</v>
      </c>
      <c r="L61" s="252" t="s">
        <v>571</v>
      </c>
      <c r="M61" s="76" t="s">
        <v>1636</v>
      </c>
      <c r="N61" s="190" t="s">
        <v>503</v>
      </c>
      <c r="O61" s="206" t="str">
        <f>HYPERLINK("https://leetcode.com/problems/subtree-of-another-tree/","https://leetcode.com/problems/subtree-of-another-tree/")</f>
        <v>https://leetcode.com/problems/subtree-of-another-tree/</v>
      </c>
    </row>
    <row r="62" spans="1:15" ht="31.5" customHeight="1" x14ac:dyDescent="0.2">
      <c r="A62" s="7">
        <v>51</v>
      </c>
      <c r="B62" s="7">
        <v>235</v>
      </c>
      <c r="C62" s="13" t="s">
        <v>1002</v>
      </c>
      <c r="D62" s="3" t="s">
        <v>4327</v>
      </c>
      <c r="E62" s="18" t="s">
        <v>28</v>
      </c>
      <c r="F62" s="3" t="s">
        <v>4256</v>
      </c>
      <c r="G62" s="3" t="s">
        <v>4269</v>
      </c>
      <c r="H62" s="7"/>
      <c r="I62" s="7">
        <f>IFERROR(VLOOKUP(B62,'📊 Problem Tracker'!$B$4:$F$1200,5,FALSE()),"")</f>
        <v>0</v>
      </c>
      <c r="J62" s="3"/>
      <c r="K62" s="3" t="s">
        <v>518</v>
      </c>
      <c r="L62" s="228" t="s">
        <v>513</v>
      </c>
      <c r="M62" s="7" t="s">
        <v>503</v>
      </c>
      <c r="N62" s="176" t="s">
        <v>47</v>
      </c>
      <c r="O62" s="205" t="str">
        <f>HYPERLINK("https://leetcode.com/problems/lowest-common-ancestor-of-a-binary-search-tree/","https://leetcode.com/problems/lowest-common-ancestor-of-a-binary-search-tree/")</f>
        <v>https://leetcode.com/problems/lowest-common-ancestor-of-a-binary-search-tree/</v>
      </c>
    </row>
    <row r="63" spans="1:15" ht="31.5" customHeight="1" x14ac:dyDescent="0.2">
      <c r="A63" s="76">
        <v>52</v>
      </c>
      <c r="B63" s="76">
        <v>102</v>
      </c>
      <c r="C63" s="77" t="s">
        <v>533</v>
      </c>
      <c r="D63" s="78" t="s">
        <v>4327</v>
      </c>
      <c r="E63" s="80" t="s">
        <v>28</v>
      </c>
      <c r="F63" s="78" t="s">
        <v>4270</v>
      </c>
      <c r="G63" s="78"/>
      <c r="H63" s="76"/>
      <c r="I63" s="76">
        <f>IFERROR(VLOOKUP(B63,'📊 Problem Tracker'!$B$4:$F$1200,5,FALSE()),"")</f>
        <v>0</v>
      </c>
      <c r="J63" s="78"/>
      <c r="K63" s="78" t="s">
        <v>534</v>
      </c>
      <c r="L63" s="252" t="s">
        <v>536</v>
      </c>
      <c r="M63" s="76" t="s">
        <v>24</v>
      </c>
      <c r="N63" s="190" t="s">
        <v>24</v>
      </c>
      <c r="O63" s="206" t="str">
        <f>HYPERLINK("https://leetcode.com/problems/binary-tree-level-order-traversal/","https://leetcode.com/problems/binary-tree-level-order-traversal/")</f>
        <v>https://leetcode.com/problems/binary-tree-level-order-traversal/</v>
      </c>
    </row>
    <row r="64" spans="1:15" ht="31.5" customHeight="1" x14ac:dyDescent="0.2">
      <c r="A64" s="7">
        <v>53</v>
      </c>
      <c r="B64" s="7">
        <v>199</v>
      </c>
      <c r="C64" s="13" t="s">
        <v>878</v>
      </c>
      <c r="D64" s="3" t="s">
        <v>4327</v>
      </c>
      <c r="E64" s="18" t="s">
        <v>28</v>
      </c>
      <c r="F64" s="3" t="s">
        <v>4270</v>
      </c>
      <c r="G64" s="3"/>
      <c r="H64" s="7"/>
      <c r="I64" s="7">
        <f>IFERROR(VLOOKUP(B64,'📊 Problem Tracker'!$B$4:$F$1200,5,FALSE()),"")</f>
        <v>0</v>
      </c>
      <c r="J64" s="3"/>
      <c r="K64" s="3" t="s">
        <v>879</v>
      </c>
      <c r="L64" s="228" t="s">
        <v>571</v>
      </c>
      <c r="M64" s="7" t="s">
        <v>24</v>
      </c>
      <c r="N64" s="176" t="s">
        <v>24</v>
      </c>
      <c r="O64" s="205" t="str">
        <f>HYPERLINK("https://leetcode.com/problems/binary-tree-right-side-view/","https://leetcode.com/problems/binary-tree-right-side-view/")</f>
        <v>https://leetcode.com/problems/binary-tree-right-side-view/</v>
      </c>
    </row>
    <row r="65" spans="1:15" ht="31.5" customHeight="1" x14ac:dyDescent="0.2">
      <c r="A65" s="76">
        <v>54</v>
      </c>
      <c r="B65" s="76">
        <v>1448</v>
      </c>
      <c r="C65" s="77" t="s">
        <v>2477</v>
      </c>
      <c r="D65" s="78" t="s">
        <v>4327</v>
      </c>
      <c r="E65" s="80" t="s">
        <v>28</v>
      </c>
      <c r="F65" s="78" t="s">
        <v>4256</v>
      </c>
      <c r="G65" s="78"/>
      <c r="H65" s="76"/>
      <c r="I65" s="76">
        <f>IFERROR(VLOOKUP(B65,'📊 Problem Tracker'!$B$4:$F$1200,5,FALSE()),"")</f>
        <v>0</v>
      </c>
      <c r="J65" s="78"/>
      <c r="K65" s="78" t="s">
        <v>500</v>
      </c>
      <c r="L65" s="252" t="s">
        <v>571</v>
      </c>
      <c r="M65" s="76" t="s">
        <v>24</v>
      </c>
      <c r="N65" s="190" t="s">
        <v>503</v>
      </c>
      <c r="O65" s="206" t="str">
        <f>HYPERLINK("https://leetcode.com/problems/count-good-nodes-in-binary-tree/","https://leetcode.com/problems/count-good-nodes-in-binary-tree/")</f>
        <v>https://leetcode.com/problems/count-good-nodes-in-binary-tree/</v>
      </c>
    </row>
    <row r="66" spans="1:15" ht="31.5" customHeight="1" x14ac:dyDescent="0.2">
      <c r="A66" s="7">
        <v>55</v>
      </c>
      <c r="B66" s="7">
        <v>98</v>
      </c>
      <c r="C66" s="13" t="s">
        <v>517</v>
      </c>
      <c r="D66" s="3" t="s">
        <v>4327</v>
      </c>
      <c r="E66" s="18" t="s">
        <v>28</v>
      </c>
      <c r="F66" s="3" t="s">
        <v>4256</v>
      </c>
      <c r="G66" s="3" t="s">
        <v>4269</v>
      </c>
      <c r="H66" s="7"/>
      <c r="I66" s="7">
        <f>IFERROR(VLOOKUP(B66,'📊 Problem Tracker'!$B$4:$F$1200,5,FALSE()),"")</f>
        <v>0</v>
      </c>
      <c r="J66" s="3"/>
      <c r="K66" s="3" t="s">
        <v>518</v>
      </c>
      <c r="L66" s="228" t="s">
        <v>520</v>
      </c>
      <c r="M66" s="7" t="s">
        <v>24</v>
      </c>
      <c r="N66" s="176" t="s">
        <v>503</v>
      </c>
      <c r="O66" s="205" t="str">
        <f>HYPERLINK("https://leetcode.com/problems/validate-binary-search-tree/","https://leetcode.com/problems/validate-binary-search-tree/")</f>
        <v>https://leetcode.com/problems/validate-binary-search-tree/</v>
      </c>
    </row>
    <row r="67" spans="1:15" ht="31.5" customHeight="1" x14ac:dyDescent="0.2">
      <c r="A67" s="76">
        <v>56</v>
      </c>
      <c r="B67" s="76">
        <v>230</v>
      </c>
      <c r="C67" s="77" t="s">
        <v>989</v>
      </c>
      <c r="D67" s="78" t="s">
        <v>4327</v>
      </c>
      <c r="E67" s="80" t="s">
        <v>28</v>
      </c>
      <c r="F67" s="78" t="s">
        <v>4287</v>
      </c>
      <c r="G67" s="78" t="s">
        <v>4269</v>
      </c>
      <c r="H67" s="76"/>
      <c r="I67" s="76">
        <f>IFERROR(VLOOKUP(B67,'📊 Problem Tracker'!$B$4:$F$1200,5,FALSE()),"")</f>
        <v>0</v>
      </c>
      <c r="J67" s="78"/>
      <c r="K67" s="78" t="s">
        <v>518</v>
      </c>
      <c r="L67" s="252" t="s">
        <v>571</v>
      </c>
      <c r="M67" s="76" t="s">
        <v>991</v>
      </c>
      <c r="N67" s="190" t="s">
        <v>503</v>
      </c>
      <c r="O67" s="206" t="str">
        <f>HYPERLINK("https://leetcode.com/problems/kth-smallest-element-in-a-bst/","https://leetcode.com/problems/kth-smallest-element-in-a-bst/")</f>
        <v>https://leetcode.com/problems/kth-smallest-element-in-a-bst/</v>
      </c>
    </row>
    <row r="68" spans="1:15" ht="31.5" customHeight="1" x14ac:dyDescent="0.2">
      <c r="A68" s="7">
        <v>57</v>
      </c>
      <c r="B68" s="7">
        <v>105</v>
      </c>
      <c r="C68" s="13" t="s">
        <v>548</v>
      </c>
      <c r="D68" s="3" t="s">
        <v>4327</v>
      </c>
      <c r="E68" s="18" t="s">
        <v>28</v>
      </c>
      <c r="F68" s="3" t="s">
        <v>4256</v>
      </c>
      <c r="G68" s="3" t="s">
        <v>1368</v>
      </c>
      <c r="H68" s="7"/>
      <c r="I68" s="7">
        <f>IFERROR(VLOOKUP(B68,'📊 Problem Tracker'!$B$4:$F$1200,5,FALSE()),"")</f>
        <v>0</v>
      </c>
      <c r="J68" s="3"/>
      <c r="K68" s="3" t="s">
        <v>549</v>
      </c>
      <c r="L68" s="228" t="s">
        <v>551</v>
      </c>
      <c r="M68" s="7" t="s">
        <v>24</v>
      </c>
      <c r="N68" s="176" t="s">
        <v>24</v>
      </c>
      <c r="O68" s="205" t="str">
        <f>HYPERLINK("https://leetcode.com/problems/construct-binary-tree-from-preorder-and-inorder-traversal/","https://leetcode.com/problems/construct-binary-tree-from-preorder-and-inorder-traversal/")</f>
        <v>https://leetcode.com/problems/construct-binary-tree-from-preorder-and-inorder-traversal/</v>
      </c>
    </row>
    <row r="69" spans="1:15" ht="31.5" customHeight="1" x14ac:dyDescent="0.2">
      <c r="A69" s="76">
        <v>58</v>
      </c>
      <c r="B69" s="76">
        <v>124</v>
      </c>
      <c r="C69" s="77" t="s">
        <v>605</v>
      </c>
      <c r="D69" s="78" t="s">
        <v>4327</v>
      </c>
      <c r="E69" s="81" t="s">
        <v>42</v>
      </c>
      <c r="F69" s="78" t="s">
        <v>4256</v>
      </c>
      <c r="G69" s="78"/>
      <c r="H69" s="76"/>
      <c r="I69" s="76">
        <f>IFERROR(VLOOKUP(B69,'📊 Problem Tracker'!$B$4:$F$1200,5,FALSE()),"")</f>
        <v>0</v>
      </c>
      <c r="J69" s="78"/>
      <c r="K69" s="78" t="s">
        <v>606</v>
      </c>
      <c r="L69" s="252" t="s">
        <v>608</v>
      </c>
      <c r="M69" s="76" t="s">
        <v>24</v>
      </c>
      <c r="N69" s="190" t="s">
        <v>503</v>
      </c>
      <c r="O69" s="206" t="str">
        <f>HYPERLINK("https://leetcode.com/problems/binary-tree-maximum-path-sum/","https://leetcode.com/problems/binary-tree-maximum-path-sum/")</f>
        <v>https://leetcode.com/problems/binary-tree-maximum-path-sum/</v>
      </c>
    </row>
    <row r="70" spans="1:15" ht="31.5" customHeight="1" x14ac:dyDescent="0.2">
      <c r="A70" s="7">
        <v>59</v>
      </c>
      <c r="B70" s="7">
        <v>297</v>
      </c>
      <c r="C70" s="13" t="s">
        <v>1126</v>
      </c>
      <c r="D70" s="3" t="s">
        <v>4327</v>
      </c>
      <c r="E70" s="20" t="s">
        <v>42</v>
      </c>
      <c r="F70" s="3" t="s">
        <v>4298</v>
      </c>
      <c r="G70" s="3" t="s">
        <v>4299</v>
      </c>
      <c r="H70" s="7"/>
      <c r="I70" s="7">
        <f>IFERROR(VLOOKUP(B70,'📊 Problem Tracker'!$B$4:$F$1200,5,FALSE()),"")</f>
        <v>0</v>
      </c>
      <c r="J70" s="3"/>
      <c r="K70" s="3" t="s">
        <v>4215</v>
      </c>
      <c r="L70" s="228" t="s">
        <v>571</v>
      </c>
      <c r="M70" s="7" t="s">
        <v>24</v>
      </c>
      <c r="N70" s="176" t="s">
        <v>24</v>
      </c>
      <c r="O70" s="191" t="str">
        <f>HYPERLINK("https://leetcode.com/problems/serialize-and-deserialize-binary-tree/","https://leetcode.com/problems/serialize-and-deserialize-binary-tree/")</f>
        <v>https://leetcode.com/problems/serialize-and-deserialize-binary-tree/</v>
      </c>
    </row>
    <row r="71" spans="1:15" ht="19.5" customHeight="1" x14ac:dyDescent="0.2">
      <c r="A71" s="341" t="s">
        <v>4328</v>
      </c>
      <c r="B71" s="292"/>
      <c r="C71" s="292"/>
      <c r="D71" s="292"/>
      <c r="E71" s="292"/>
      <c r="F71" s="292"/>
      <c r="G71" s="292"/>
      <c r="H71" s="292"/>
      <c r="I71" s="292"/>
      <c r="J71" s="292"/>
      <c r="M71" s="52"/>
      <c r="N71" s="52"/>
      <c r="O71" s="215"/>
    </row>
    <row r="72" spans="1:15" ht="31.5" customHeight="1" x14ac:dyDescent="0.2">
      <c r="A72" s="76">
        <v>60</v>
      </c>
      <c r="B72" s="76">
        <v>208</v>
      </c>
      <c r="C72" s="77" t="s">
        <v>908</v>
      </c>
      <c r="D72" s="78" t="s">
        <v>3501</v>
      </c>
      <c r="E72" s="80" t="s">
        <v>28</v>
      </c>
      <c r="F72" s="78" t="s">
        <v>925</v>
      </c>
      <c r="G72" s="78"/>
      <c r="H72" s="76"/>
      <c r="I72" s="76">
        <f>IFERROR(VLOOKUP(B72,'📊 Problem Tracker'!$B$4:$F$1200,5,FALSE()),"")</f>
        <v>0</v>
      </c>
      <c r="J72" s="78"/>
      <c r="K72" s="78" t="s">
        <v>909</v>
      </c>
      <c r="L72" s="252" t="s">
        <v>911</v>
      </c>
      <c r="M72" s="76" t="s">
        <v>912</v>
      </c>
      <c r="N72" s="190" t="s">
        <v>913</v>
      </c>
      <c r="O72" s="206" t="str">
        <f>HYPERLINK("https://leetcode.com/problems/implement-trie-prefix-tree/","https://leetcode.com/problems/implement-trie-prefix-tree/")</f>
        <v>https://leetcode.com/problems/implement-trie-prefix-tree/</v>
      </c>
    </row>
    <row r="73" spans="1:15" ht="31.5" customHeight="1" x14ac:dyDescent="0.2">
      <c r="A73" s="7">
        <v>61</v>
      </c>
      <c r="B73" s="7">
        <v>211</v>
      </c>
      <c r="C73" s="13" t="s">
        <v>923</v>
      </c>
      <c r="D73" s="3" t="s">
        <v>3501</v>
      </c>
      <c r="E73" s="18" t="s">
        <v>28</v>
      </c>
      <c r="F73" s="3" t="s">
        <v>925</v>
      </c>
      <c r="G73" s="3" t="s">
        <v>4284</v>
      </c>
      <c r="H73" s="7"/>
      <c r="I73" s="7">
        <f>IFERROR(VLOOKUP(B73,'📊 Problem Tracker'!$B$4:$F$1200,5,FALSE()),"")</f>
        <v>0</v>
      </c>
      <c r="J73" s="3"/>
      <c r="K73" s="3" t="s">
        <v>924</v>
      </c>
      <c r="L73" s="228" t="s">
        <v>927</v>
      </c>
      <c r="M73" s="7" t="s">
        <v>928</v>
      </c>
      <c r="N73" s="176" t="s">
        <v>913</v>
      </c>
      <c r="O73" s="205" t="str">
        <f>HYPERLINK("https://leetcode.com/problems/add-and-search-word-data-structure-design/","https://leetcode.com/problems/add-and-search-word-data-structure-design/")</f>
        <v>https://leetcode.com/problems/add-and-search-word-data-structure-design/</v>
      </c>
    </row>
    <row r="74" spans="1:15" ht="31.5" customHeight="1" x14ac:dyDescent="0.2">
      <c r="A74" s="76">
        <v>62</v>
      </c>
      <c r="B74" s="76">
        <v>212</v>
      </c>
      <c r="C74" s="77" t="s">
        <v>930</v>
      </c>
      <c r="D74" s="78" t="s">
        <v>3501</v>
      </c>
      <c r="E74" s="81" t="s">
        <v>42</v>
      </c>
      <c r="F74" s="78" t="s">
        <v>925</v>
      </c>
      <c r="G74" s="78" t="s">
        <v>300</v>
      </c>
      <c r="H74" s="76"/>
      <c r="I74" s="76">
        <f>IFERROR(VLOOKUP(B74,'📊 Problem Tracker'!$B$4:$F$1200,5,FALSE()),"")</f>
        <v>0</v>
      </c>
      <c r="J74" s="78"/>
      <c r="K74" s="78" t="s">
        <v>4227</v>
      </c>
      <c r="L74" s="252" t="s">
        <v>302</v>
      </c>
      <c r="M74" s="76" t="s">
        <v>446</v>
      </c>
      <c r="N74" s="190" t="s">
        <v>913</v>
      </c>
      <c r="O74" s="207" t="str">
        <f>HYPERLINK("https://leetcode.com/problems/word-search-ii/","https://leetcode.com/problems/word-search-ii/")</f>
        <v>https://leetcode.com/problems/word-search-ii/</v>
      </c>
    </row>
    <row r="75" spans="1:15" ht="19.5" customHeight="1" x14ac:dyDescent="0.2">
      <c r="A75" s="337" t="s">
        <v>4329</v>
      </c>
      <c r="B75" s="292"/>
      <c r="C75" s="292"/>
      <c r="D75" s="292"/>
      <c r="E75" s="292"/>
      <c r="F75" s="292"/>
      <c r="G75" s="292"/>
      <c r="H75" s="292"/>
      <c r="I75" s="292"/>
      <c r="J75" s="292"/>
      <c r="M75" s="52"/>
      <c r="N75" s="52"/>
      <c r="O75" s="215"/>
    </row>
    <row r="76" spans="1:15" ht="31.5" customHeight="1" x14ac:dyDescent="0.2">
      <c r="A76" s="7">
        <v>63</v>
      </c>
      <c r="B76" s="7">
        <v>703</v>
      </c>
      <c r="C76" s="13" t="s">
        <v>1770</v>
      </c>
      <c r="D76" s="3" t="s">
        <v>957</v>
      </c>
      <c r="E76" s="21" t="s">
        <v>20</v>
      </c>
      <c r="F76" s="3" t="s">
        <v>4280</v>
      </c>
      <c r="G76" s="3"/>
      <c r="H76" s="7"/>
      <c r="I76" s="7">
        <f>IFERROR(VLOOKUP(B76,'📊 Problem Tracker'!$B$4:$F$1200,5,FALSE()),"")</f>
        <v>0</v>
      </c>
      <c r="J76" s="3"/>
      <c r="K76" s="3" t="s">
        <v>1121</v>
      </c>
      <c r="L76" s="228" t="s">
        <v>959</v>
      </c>
      <c r="M76" s="7" t="s">
        <v>960</v>
      </c>
      <c r="N76" s="176" t="s">
        <v>153</v>
      </c>
      <c r="O76" s="205" t="str">
        <f>HYPERLINK("https://leetcode.com/problems/kth-largest-element-in-a-stream/","https://leetcode.com/problems/kth-largest-element-in-a-stream/")</f>
        <v>https://leetcode.com/problems/kth-largest-element-in-a-stream/</v>
      </c>
    </row>
    <row r="77" spans="1:15" ht="31.5" customHeight="1" x14ac:dyDescent="0.2">
      <c r="A77" s="76">
        <v>64</v>
      </c>
      <c r="B77" s="76">
        <v>1046</v>
      </c>
      <c r="C77" s="77" t="s">
        <v>2207</v>
      </c>
      <c r="D77" s="78" t="s">
        <v>957</v>
      </c>
      <c r="E77" s="79" t="s">
        <v>20</v>
      </c>
      <c r="F77" s="78" t="s">
        <v>4229</v>
      </c>
      <c r="G77" s="78"/>
      <c r="H77" s="76"/>
      <c r="I77" s="76">
        <f>IFERROR(VLOOKUP(B77,'📊 Problem Tracker'!$B$4:$F$1200,5,FALSE()),"")</f>
        <v>0</v>
      </c>
      <c r="J77" s="78"/>
      <c r="K77" s="78" t="s">
        <v>941</v>
      </c>
      <c r="L77" s="252" t="s">
        <v>959</v>
      </c>
      <c r="M77" s="76" t="s">
        <v>326</v>
      </c>
      <c r="N77" s="190" t="s">
        <v>24</v>
      </c>
      <c r="O77" s="206" t="str">
        <f>HYPERLINK("https://leetcode.com/problems/last-stone-weight/","https://leetcode.com/problems/last-stone-weight/")</f>
        <v>https://leetcode.com/problems/last-stone-weight/</v>
      </c>
    </row>
    <row r="78" spans="1:15" ht="31.5" customHeight="1" x14ac:dyDescent="0.2">
      <c r="A78" s="7">
        <v>65</v>
      </c>
      <c r="B78" s="7">
        <v>973</v>
      </c>
      <c r="C78" s="13" t="s">
        <v>2112</v>
      </c>
      <c r="D78" s="3" t="s">
        <v>957</v>
      </c>
      <c r="E78" s="18" t="s">
        <v>28</v>
      </c>
      <c r="F78" s="3" t="s">
        <v>4280</v>
      </c>
      <c r="G78" s="3"/>
      <c r="H78" s="7"/>
      <c r="I78" s="7">
        <f>IFERROR(VLOOKUP(B78,'📊 Problem Tracker'!$B$4:$F$1200,5,FALSE()),"")</f>
        <v>0</v>
      </c>
      <c r="J78" s="3"/>
      <c r="K78" s="3" t="s">
        <v>2113</v>
      </c>
      <c r="L78" s="228" t="s">
        <v>2116</v>
      </c>
      <c r="M78" s="7" t="s">
        <v>960</v>
      </c>
      <c r="N78" s="176" t="s">
        <v>153</v>
      </c>
      <c r="O78" s="205" t="str">
        <f>HYPERLINK("https://leetcode.com/problems/k-closest-points-to-origin/","https://leetcode.com/problems/k-closest-points-to-origin/")</f>
        <v>https://leetcode.com/problems/k-closest-points-to-origin/</v>
      </c>
    </row>
    <row r="79" spans="1:15" ht="31.5" customHeight="1" x14ac:dyDescent="0.2">
      <c r="A79" s="76">
        <v>66</v>
      </c>
      <c r="B79" s="76">
        <v>215</v>
      </c>
      <c r="C79" s="77" t="s">
        <v>940</v>
      </c>
      <c r="D79" s="78" t="s">
        <v>957</v>
      </c>
      <c r="E79" s="80" t="s">
        <v>28</v>
      </c>
      <c r="F79" s="78" t="s">
        <v>4280</v>
      </c>
      <c r="G79" s="78" t="s">
        <v>4285</v>
      </c>
      <c r="H79" s="76"/>
      <c r="I79" s="76">
        <f>IFERROR(VLOOKUP(B79,'📊 Problem Tracker'!$B$4:$F$1200,5,FALSE()),"")</f>
        <v>0</v>
      </c>
      <c r="J79" s="78"/>
      <c r="K79" s="78" t="s">
        <v>4286</v>
      </c>
      <c r="L79" s="252" t="s">
        <v>943</v>
      </c>
      <c r="M79" s="76" t="s">
        <v>944</v>
      </c>
      <c r="N79" s="190" t="s">
        <v>945</v>
      </c>
      <c r="O79" s="206" t="str">
        <f>HYPERLINK("https://leetcode.com/problems/kth-largest-element-in-an-array/","https://leetcode.com/problems/kth-largest-element-in-an-array/")</f>
        <v>https://leetcode.com/problems/kth-largest-element-in-an-array/</v>
      </c>
    </row>
    <row r="80" spans="1:15" ht="31.5" customHeight="1" x14ac:dyDescent="0.2">
      <c r="A80" s="7">
        <v>67</v>
      </c>
      <c r="B80" s="7">
        <v>621</v>
      </c>
      <c r="C80" s="13" t="s">
        <v>1665</v>
      </c>
      <c r="D80" s="3" t="s">
        <v>957</v>
      </c>
      <c r="E80" s="18" t="s">
        <v>28</v>
      </c>
      <c r="F80" s="3" t="s">
        <v>4272</v>
      </c>
      <c r="G80" s="3"/>
      <c r="H80" s="7"/>
      <c r="I80" s="7">
        <f>IFERROR(VLOOKUP(B80,'📊 Problem Tracker'!$B$4:$F$1200,5,FALSE()),"")</f>
        <v>0</v>
      </c>
      <c r="J80" s="3"/>
      <c r="K80" s="3" t="s">
        <v>1531</v>
      </c>
      <c r="L80" s="228" t="s">
        <v>959</v>
      </c>
      <c r="M80" s="7" t="s">
        <v>24</v>
      </c>
      <c r="N80" s="176" t="s">
        <v>47</v>
      </c>
      <c r="O80" s="205" t="str">
        <f>HYPERLINK("https://leetcode.com/problems/task-scheduler/","https://leetcode.com/problems/task-scheduler/")</f>
        <v>https://leetcode.com/problems/task-scheduler/</v>
      </c>
    </row>
    <row r="81" spans="1:15" ht="31.5" customHeight="1" x14ac:dyDescent="0.2">
      <c r="A81" s="76">
        <v>68</v>
      </c>
      <c r="B81" s="76">
        <v>355</v>
      </c>
      <c r="C81" s="77" t="s">
        <v>1290</v>
      </c>
      <c r="D81" s="78" t="s">
        <v>957</v>
      </c>
      <c r="E81" s="80" t="s">
        <v>28</v>
      </c>
      <c r="F81" s="78" t="s">
        <v>4229</v>
      </c>
      <c r="G81" s="78" t="s">
        <v>4244</v>
      </c>
      <c r="H81" s="76"/>
      <c r="I81" s="76">
        <f>IFERROR(VLOOKUP(B81,'📊 Problem Tracker'!$B$4:$F$1200,5,FALSE()),"")</f>
        <v>0</v>
      </c>
      <c r="J81" s="78"/>
      <c r="K81" s="78" t="s">
        <v>1291</v>
      </c>
      <c r="L81" s="252" t="s">
        <v>959</v>
      </c>
      <c r="M81" s="76" t="s">
        <v>960</v>
      </c>
      <c r="N81" s="190" t="s">
        <v>153</v>
      </c>
      <c r="O81" s="206" t="str">
        <f>HYPERLINK("https://leetcode.com/problems/design-twitter/","https://leetcode.com/problems/design-twitter/")</f>
        <v>https://leetcode.com/problems/design-twitter/</v>
      </c>
    </row>
    <row r="82" spans="1:15" ht="31.5" customHeight="1" x14ac:dyDescent="0.2">
      <c r="A82" s="7">
        <v>69</v>
      </c>
      <c r="B82" s="7">
        <v>295</v>
      </c>
      <c r="C82" s="13" t="s">
        <v>1120</v>
      </c>
      <c r="D82" s="3" t="s">
        <v>957</v>
      </c>
      <c r="E82" s="20" t="s">
        <v>42</v>
      </c>
      <c r="F82" s="3" t="s">
        <v>4297</v>
      </c>
      <c r="G82" s="3"/>
      <c r="H82" s="7"/>
      <c r="I82" s="7">
        <f>IFERROR(VLOOKUP(B82,'📊 Problem Tracker'!$B$4:$F$1200,5,FALSE()),"")</f>
        <v>0</v>
      </c>
      <c r="J82" s="3"/>
      <c r="K82" s="3" t="s">
        <v>4233</v>
      </c>
      <c r="L82" s="228" t="s">
        <v>1123</v>
      </c>
      <c r="M82" s="7" t="s">
        <v>1124</v>
      </c>
      <c r="N82" s="176" t="s">
        <v>24</v>
      </c>
      <c r="O82" s="191" t="str">
        <f>HYPERLINK("https://leetcode.com/problems/find-median-from-data-stream/","https://leetcode.com/problems/find-median-from-data-stream/")</f>
        <v>https://leetcode.com/problems/find-median-from-data-stream/</v>
      </c>
    </row>
    <row r="83" spans="1:15" ht="19.5" customHeight="1" x14ac:dyDescent="0.2">
      <c r="A83" s="347" t="s">
        <v>4330</v>
      </c>
      <c r="B83" s="292"/>
      <c r="C83" s="292"/>
      <c r="D83" s="292"/>
      <c r="E83" s="292"/>
      <c r="F83" s="292"/>
      <c r="G83" s="292"/>
      <c r="H83" s="292"/>
      <c r="I83" s="292"/>
      <c r="J83" s="292"/>
      <c r="M83" s="52"/>
      <c r="N83" s="52"/>
      <c r="O83" s="215"/>
    </row>
    <row r="84" spans="1:15" ht="31.5" customHeight="1" x14ac:dyDescent="0.2">
      <c r="A84" s="76">
        <v>70</v>
      </c>
      <c r="B84" s="76">
        <v>78</v>
      </c>
      <c r="C84" s="77" t="s">
        <v>436</v>
      </c>
      <c r="D84" s="78" t="s">
        <v>300</v>
      </c>
      <c r="E84" s="80" t="s">
        <v>28</v>
      </c>
      <c r="F84" s="78" t="s">
        <v>4267</v>
      </c>
      <c r="G84" s="78"/>
      <c r="H84" s="76"/>
      <c r="I84" s="76">
        <f>IFERROR(VLOOKUP(B84,'📊 Problem Tracker'!$B$4:$F$1200,5,FALSE()),"")</f>
        <v>0</v>
      </c>
      <c r="J84" s="78"/>
      <c r="K84" s="78" t="s">
        <v>234</v>
      </c>
      <c r="L84" s="252" t="s">
        <v>439</v>
      </c>
      <c r="M84" s="76" t="s">
        <v>440</v>
      </c>
      <c r="N84" s="190" t="s">
        <v>24</v>
      </c>
      <c r="O84" s="206" t="str">
        <f>HYPERLINK("https://leetcode.com/problems/subsets/","https://leetcode.com/problems/subsets/")</f>
        <v>https://leetcode.com/problems/subsets/</v>
      </c>
    </row>
    <row r="85" spans="1:15" ht="31.5" customHeight="1" x14ac:dyDescent="0.2">
      <c r="A85" s="7">
        <v>71</v>
      </c>
      <c r="B85" s="7">
        <v>39</v>
      </c>
      <c r="C85" s="13" t="s">
        <v>233</v>
      </c>
      <c r="D85" s="3" t="s">
        <v>300</v>
      </c>
      <c r="E85" s="18" t="s">
        <v>28</v>
      </c>
      <c r="F85" s="3" t="s">
        <v>300</v>
      </c>
      <c r="G85" s="3"/>
      <c r="H85" s="7"/>
      <c r="I85" s="7">
        <f>IFERROR(VLOOKUP(B85,'📊 Problem Tracker'!$B$4:$F$1200,5,FALSE()),"")</f>
        <v>0</v>
      </c>
      <c r="J85" s="3"/>
      <c r="K85" s="3" t="s">
        <v>234</v>
      </c>
      <c r="L85" s="228" t="s">
        <v>237</v>
      </c>
      <c r="M85" s="7" t="s">
        <v>238</v>
      </c>
      <c r="N85" s="176" t="s">
        <v>239</v>
      </c>
      <c r="O85" s="205" t="str">
        <f>HYPERLINK("https://leetcode.com/problems/combination-sum/","https://leetcode.com/problems/combination-sum/")</f>
        <v>https://leetcode.com/problems/combination-sum/</v>
      </c>
    </row>
    <row r="86" spans="1:15" ht="31.5" customHeight="1" x14ac:dyDescent="0.2">
      <c r="A86" s="76">
        <v>72</v>
      </c>
      <c r="B86" s="76">
        <v>40</v>
      </c>
      <c r="C86" s="77" t="s">
        <v>241</v>
      </c>
      <c r="D86" s="78" t="s">
        <v>300</v>
      </c>
      <c r="E86" s="80" t="s">
        <v>28</v>
      </c>
      <c r="F86" s="78" t="s">
        <v>300</v>
      </c>
      <c r="G86" s="78"/>
      <c r="H86" s="76"/>
      <c r="I86" s="76">
        <f>IFERROR(VLOOKUP(B86,'📊 Problem Tracker'!$B$4:$F$1200,5,FALSE()),"")</f>
        <v>0</v>
      </c>
      <c r="J86" s="78"/>
      <c r="K86" s="78" t="s">
        <v>234</v>
      </c>
      <c r="L86" s="252" t="s">
        <v>244</v>
      </c>
      <c r="M86" s="76" t="s">
        <v>231</v>
      </c>
      <c r="N86" s="190" t="s">
        <v>24</v>
      </c>
      <c r="O86" s="206" t="str">
        <f>HYPERLINK("https://leetcode.com/problems/combination-sum-ii/","https://leetcode.com/problems/combination-sum-ii/")</f>
        <v>https://leetcode.com/problems/combination-sum-ii/</v>
      </c>
    </row>
    <row r="87" spans="1:15" ht="31.5" customHeight="1" x14ac:dyDescent="0.2">
      <c r="A87" s="7">
        <v>73</v>
      </c>
      <c r="B87" s="7">
        <v>46</v>
      </c>
      <c r="C87" s="13" t="s">
        <v>272</v>
      </c>
      <c r="D87" s="3" t="s">
        <v>300</v>
      </c>
      <c r="E87" s="18" t="s">
        <v>28</v>
      </c>
      <c r="F87" s="3" t="s">
        <v>300</v>
      </c>
      <c r="G87" s="3"/>
      <c r="H87" s="7"/>
      <c r="I87" s="7">
        <f>IFERROR(VLOOKUP(B87,'📊 Problem Tracker'!$B$4:$F$1200,5,FALSE()),"")</f>
        <v>0</v>
      </c>
      <c r="J87" s="3"/>
      <c r="K87" s="3" t="s">
        <v>234</v>
      </c>
      <c r="L87" s="228" t="s">
        <v>274</v>
      </c>
      <c r="M87" s="7" t="s">
        <v>275</v>
      </c>
      <c r="N87" s="176" t="s">
        <v>24</v>
      </c>
      <c r="O87" s="205" t="str">
        <f>HYPERLINK("https://leetcode.com/problems/permutations/","https://leetcode.com/problems/permutations/")</f>
        <v>https://leetcode.com/problems/permutations/</v>
      </c>
    </row>
    <row r="88" spans="1:15" ht="31.5" customHeight="1" x14ac:dyDescent="0.2">
      <c r="A88" s="76">
        <v>74</v>
      </c>
      <c r="B88" s="76">
        <v>90</v>
      </c>
      <c r="C88" s="77" t="s">
        <v>487</v>
      </c>
      <c r="D88" s="78" t="s">
        <v>300</v>
      </c>
      <c r="E88" s="80" t="s">
        <v>28</v>
      </c>
      <c r="F88" s="78" t="s">
        <v>4267</v>
      </c>
      <c r="G88" s="78"/>
      <c r="H88" s="76"/>
      <c r="I88" s="76">
        <f>IFERROR(VLOOKUP(B88,'📊 Problem Tracker'!$B$4:$F$1200,5,FALSE()),"")</f>
        <v>0</v>
      </c>
      <c r="J88" s="78"/>
      <c r="K88" s="78" t="s">
        <v>234</v>
      </c>
      <c r="L88" s="252" t="s">
        <v>302</v>
      </c>
      <c r="M88" s="76" t="s">
        <v>440</v>
      </c>
      <c r="N88" s="190" t="s">
        <v>24</v>
      </c>
      <c r="O88" s="206" t="str">
        <f>HYPERLINK("https://leetcode.com/problems/subsets-ii/","https://leetcode.com/problems/subsets-ii/")</f>
        <v>https://leetcode.com/problems/subsets-ii/</v>
      </c>
    </row>
    <row r="89" spans="1:15" ht="31.5" customHeight="1" x14ac:dyDescent="0.2">
      <c r="A89" s="7">
        <v>75</v>
      </c>
      <c r="B89" s="7">
        <v>79</v>
      </c>
      <c r="C89" s="13" t="s">
        <v>442</v>
      </c>
      <c r="D89" s="3" t="s">
        <v>300</v>
      </c>
      <c r="E89" s="18" t="s">
        <v>28</v>
      </c>
      <c r="F89" s="3" t="s">
        <v>4268</v>
      </c>
      <c r="G89" s="3"/>
      <c r="H89" s="7"/>
      <c r="I89" s="7">
        <f>IFERROR(VLOOKUP(B89,'📊 Problem Tracker'!$B$4:$F$1200,5,FALSE()),"")</f>
        <v>0</v>
      </c>
      <c r="J89" s="3"/>
      <c r="K89" s="3" t="s">
        <v>4192</v>
      </c>
      <c r="L89" s="228" t="s">
        <v>445</v>
      </c>
      <c r="M89" s="7" t="s">
        <v>446</v>
      </c>
      <c r="N89" s="176" t="s">
        <v>392</v>
      </c>
      <c r="O89" s="205" t="str">
        <f>HYPERLINK("https://leetcode.com/problems/word-search/","https://leetcode.com/problems/word-search/")</f>
        <v>https://leetcode.com/problems/word-search/</v>
      </c>
    </row>
    <row r="90" spans="1:15" ht="31.5" customHeight="1" x14ac:dyDescent="0.2">
      <c r="A90" s="76">
        <v>76</v>
      </c>
      <c r="B90" s="76">
        <v>131</v>
      </c>
      <c r="C90" s="77" t="s">
        <v>640</v>
      </c>
      <c r="D90" s="78" t="s">
        <v>300</v>
      </c>
      <c r="E90" s="80" t="s">
        <v>28</v>
      </c>
      <c r="F90" s="78" t="s">
        <v>300</v>
      </c>
      <c r="G90" s="78"/>
      <c r="H90" s="76"/>
      <c r="I90" s="76">
        <f>IFERROR(VLOOKUP(B90,'📊 Problem Tracker'!$B$4:$F$1200,5,FALSE()),"")</f>
        <v>0</v>
      </c>
      <c r="J90" s="78"/>
      <c r="K90" s="78" t="s">
        <v>641</v>
      </c>
      <c r="L90" s="252" t="s">
        <v>302</v>
      </c>
      <c r="M90" s="76" t="s">
        <v>643</v>
      </c>
      <c r="N90" s="190" t="s">
        <v>53</v>
      </c>
      <c r="O90" s="206" t="str">
        <f>HYPERLINK("https://leetcode.com/problems/palindrome-partitioning/","https://leetcode.com/problems/palindrome-partitioning/")</f>
        <v>https://leetcode.com/problems/palindrome-partitioning/</v>
      </c>
    </row>
    <row r="91" spans="1:15" ht="31.5" customHeight="1" x14ac:dyDescent="0.2">
      <c r="A91" s="7">
        <v>77</v>
      </c>
      <c r="B91" s="7">
        <v>17</v>
      </c>
      <c r="C91" s="13" t="s">
        <v>113</v>
      </c>
      <c r="D91" s="3" t="s">
        <v>300</v>
      </c>
      <c r="E91" s="18" t="s">
        <v>28</v>
      </c>
      <c r="F91" s="3" t="s">
        <v>300</v>
      </c>
      <c r="G91" s="3"/>
      <c r="H91" s="7"/>
      <c r="I91" s="7">
        <f>IFERROR(VLOOKUP(B91,'📊 Problem Tracker'!$B$4:$F$1200,5,FALSE()),"")</f>
        <v>0</v>
      </c>
      <c r="J91" s="3"/>
      <c r="K91" s="3" t="s">
        <v>114</v>
      </c>
      <c r="L91" s="228" t="s">
        <v>117</v>
      </c>
      <c r="M91" s="7" t="s">
        <v>118</v>
      </c>
      <c r="N91" s="176" t="s">
        <v>24</v>
      </c>
      <c r="O91" s="205" t="str">
        <f>HYPERLINK("https://leetcode.com/problems/letter-combinations-of-a-phone-number/","https://leetcode.com/problems/letter-combinations-of-a-phone-number/")</f>
        <v>https://leetcode.com/problems/letter-combinations-of-a-phone-number/</v>
      </c>
    </row>
    <row r="92" spans="1:15" ht="31.5" customHeight="1" x14ac:dyDescent="0.2">
      <c r="A92" s="76">
        <v>78</v>
      </c>
      <c r="B92" s="76">
        <v>51</v>
      </c>
      <c r="C92" s="77" t="s">
        <v>299</v>
      </c>
      <c r="D92" s="78" t="s">
        <v>300</v>
      </c>
      <c r="E92" s="81" t="s">
        <v>42</v>
      </c>
      <c r="F92" s="78" t="s">
        <v>300</v>
      </c>
      <c r="G92" s="78"/>
      <c r="H92" s="76"/>
      <c r="I92" s="76">
        <f>IFERROR(VLOOKUP(B92,'📊 Problem Tracker'!$B$4:$F$1200,5,FALSE()),"")</f>
        <v>0</v>
      </c>
      <c r="J92" s="78"/>
      <c r="K92" s="78" t="s">
        <v>234</v>
      </c>
      <c r="L92" s="252" t="s">
        <v>302</v>
      </c>
      <c r="M92" s="76" t="s">
        <v>303</v>
      </c>
      <c r="N92" s="190" t="s">
        <v>304</v>
      </c>
      <c r="O92" s="207" t="str">
        <f>HYPERLINK("https://leetcode.com/problems/n-queens/","https://leetcode.com/problems/n-queens/")</f>
        <v>https://leetcode.com/problems/n-queens/</v>
      </c>
    </row>
    <row r="93" spans="1:15" ht="19.5" customHeight="1" x14ac:dyDescent="0.2">
      <c r="A93" s="346" t="s">
        <v>4331</v>
      </c>
      <c r="B93" s="292"/>
      <c r="C93" s="292"/>
      <c r="D93" s="292"/>
      <c r="E93" s="292"/>
      <c r="F93" s="292"/>
      <c r="G93" s="292"/>
      <c r="H93" s="292"/>
      <c r="I93" s="292"/>
      <c r="J93" s="292"/>
      <c r="M93" s="52"/>
      <c r="N93" s="52"/>
      <c r="O93" s="215"/>
    </row>
    <row r="94" spans="1:15" ht="31.5" customHeight="1" x14ac:dyDescent="0.2">
      <c r="A94" s="7">
        <v>79</v>
      </c>
      <c r="B94" s="7">
        <v>200</v>
      </c>
      <c r="C94" s="13" t="s">
        <v>882</v>
      </c>
      <c r="D94" s="3" t="s">
        <v>4332</v>
      </c>
      <c r="E94" s="18" t="s">
        <v>28</v>
      </c>
      <c r="F94" s="3" t="s">
        <v>4274</v>
      </c>
      <c r="G94" s="3" t="s">
        <v>1736</v>
      </c>
      <c r="H94" s="7"/>
      <c r="I94" s="7">
        <f>IFERROR(VLOOKUP(B94,'📊 Problem Tracker'!$B$4:$F$1200,5,FALSE()),"")</f>
        <v>0</v>
      </c>
      <c r="J94" s="3"/>
      <c r="K94" s="3" t="s">
        <v>4159</v>
      </c>
      <c r="L94" s="228" t="s">
        <v>884</v>
      </c>
      <c r="M94" s="7" t="s">
        <v>81</v>
      </c>
      <c r="N94" s="176" t="s">
        <v>81</v>
      </c>
      <c r="O94" s="205" t="str">
        <f>HYPERLINK("https://leetcode.com/problems/number-of-islands/","https://leetcode.com/problems/number-of-islands/")</f>
        <v>https://leetcode.com/problems/number-of-islands/</v>
      </c>
    </row>
    <row r="95" spans="1:15" ht="31.5" customHeight="1" x14ac:dyDescent="0.2">
      <c r="A95" s="76">
        <v>80</v>
      </c>
      <c r="B95" s="76">
        <v>695</v>
      </c>
      <c r="C95" s="77" t="s">
        <v>1751</v>
      </c>
      <c r="D95" s="78" t="s">
        <v>4332</v>
      </c>
      <c r="E95" s="80" t="s">
        <v>28</v>
      </c>
      <c r="F95" s="78" t="s">
        <v>4274</v>
      </c>
      <c r="G95" s="78"/>
      <c r="H95" s="76"/>
      <c r="I95" s="76">
        <f>IFERROR(VLOOKUP(B95,'📊 Problem Tracker'!$B$4:$F$1200,5,FALSE()),"")</f>
        <v>0</v>
      </c>
      <c r="J95" s="78"/>
      <c r="K95" s="78" t="s">
        <v>637</v>
      </c>
      <c r="L95" s="252" t="s">
        <v>619</v>
      </c>
      <c r="M95" s="76" t="s">
        <v>81</v>
      </c>
      <c r="N95" s="190" t="s">
        <v>81</v>
      </c>
      <c r="O95" s="206" t="str">
        <f>HYPERLINK("https://leetcode.com/problems/max-area-of-island/","https://leetcode.com/problems/max-area-of-island/")</f>
        <v>https://leetcode.com/problems/max-area-of-island/</v>
      </c>
    </row>
    <row r="96" spans="1:15" ht="31.5" customHeight="1" x14ac:dyDescent="0.2">
      <c r="A96" s="7">
        <v>81</v>
      </c>
      <c r="B96" s="7">
        <v>133</v>
      </c>
      <c r="C96" s="13" t="s">
        <v>645</v>
      </c>
      <c r="D96" s="3" t="s">
        <v>4332</v>
      </c>
      <c r="E96" s="18" t="s">
        <v>28</v>
      </c>
      <c r="F96" s="3" t="s">
        <v>4274</v>
      </c>
      <c r="G96" s="3" t="s">
        <v>4244</v>
      </c>
      <c r="H96" s="7"/>
      <c r="I96" s="7">
        <f>IFERROR(VLOOKUP(B96,'📊 Problem Tracker'!$B$4:$F$1200,5,FALSE()),"")</f>
        <v>0</v>
      </c>
      <c r="J96" s="3"/>
      <c r="K96" s="3" t="s">
        <v>646</v>
      </c>
      <c r="L96" s="228" t="s">
        <v>619</v>
      </c>
      <c r="M96" s="7" t="s">
        <v>648</v>
      </c>
      <c r="N96" s="176" t="s">
        <v>649</v>
      </c>
      <c r="O96" s="205" t="str">
        <f>HYPERLINK("https://leetcode.com/problems/clone-graph/","https://leetcode.com/problems/clone-graph/")</f>
        <v>https://leetcode.com/problems/clone-graph/</v>
      </c>
    </row>
    <row r="97" spans="1:15" ht="31.5" customHeight="1" x14ac:dyDescent="0.2">
      <c r="A97" s="76">
        <v>82</v>
      </c>
      <c r="B97" s="76">
        <v>286</v>
      </c>
      <c r="C97" s="77" t="s">
        <v>1105</v>
      </c>
      <c r="D97" s="78" t="s">
        <v>4332</v>
      </c>
      <c r="E97" s="80" t="s">
        <v>28</v>
      </c>
      <c r="F97" s="78" t="s">
        <v>4247</v>
      </c>
      <c r="G97" s="78"/>
      <c r="H97" s="76"/>
      <c r="I97" s="76">
        <f>IFERROR(VLOOKUP(B97,'📊 Problem Tracker'!$B$4:$F$1200,5,FALSE()),"")</f>
        <v>0</v>
      </c>
      <c r="J97" s="78"/>
      <c r="K97" s="78" t="s">
        <v>1106</v>
      </c>
      <c r="L97" s="252" t="s">
        <v>619</v>
      </c>
      <c r="M97" s="76" t="s">
        <v>81</v>
      </c>
      <c r="N97" s="190" t="s">
        <v>81</v>
      </c>
      <c r="O97" s="206" t="str">
        <f>HYPERLINK("https://leetcode.com/problems/walls-and-gates/","https://leetcode.com/problems/walls-and-gates/")</f>
        <v>https://leetcode.com/problems/walls-and-gates/</v>
      </c>
    </row>
    <row r="98" spans="1:15" ht="31.5" customHeight="1" x14ac:dyDescent="0.2">
      <c r="A98" s="7">
        <v>83</v>
      </c>
      <c r="B98" s="7">
        <v>994</v>
      </c>
      <c r="C98" s="13" t="s">
        <v>2153</v>
      </c>
      <c r="D98" s="3" t="s">
        <v>4332</v>
      </c>
      <c r="E98" s="18" t="s">
        <v>28</v>
      </c>
      <c r="F98" s="3" t="s">
        <v>4247</v>
      </c>
      <c r="G98" s="3"/>
      <c r="H98" s="7"/>
      <c r="I98" s="7">
        <f>IFERROR(VLOOKUP(B98,'📊 Problem Tracker'!$B$4:$F$1200,5,FALSE()),"")</f>
        <v>0</v>
      </c>
      <c r="J98" s="3"/>
      <c r="K98" s="3" t="s">
        <v>1106</v>
      </c>
      <c r="L98" s="228" t="s">
        <v>2155</v>
      </c>
      <c r="M98" s="7" t="s">
        <v>81</v>
      </c>
      <c r="N98" s="176" t="s">
        <v>81</v>
      </c>
      <c r="O98" s="205" t="str">
        <f>HYPERLINK("https://leetcode.com/problems/rotting-oranges/","https://leetcode.com/problems/rotting-oranges/")</f>
        <v>https://leetcode.com/problems/rotting-oranges/</v>
      </c>
    </row>
    <row r="99" spans="1:15" ht="31.5" customHeight="1" x14ac:dyDescent="0.2">
      <c r="A99" s="76">
        <v>84</v>
      </c>
      <c r="B99" s="76">
        <v>417</v>
      </c>
      <c r="C99" s="77" t="s">
        <v>1411</v>
      </c>
      <c r="D99" s="78" t="s">
        <v>4332</v>
      </c>
      <c r="E99" s="80" t="s">
        <v>28</v>
      </c>
      <c r="F99" s="78" t="s">
        <v>4274</v>
      </c>
      <c r="G99" s="78"/>
      <c r="H99" s="76"/>
      <c r="I99" s="76">
        <f>IFERROR(VLOOKUP(B99,'📊 Problem Tracker'!$B$4:$F$1200,5,FALSE()),"")</f>
        <v>0</v>
      </c>
      <c r="J99" s="78"/>
      <c r="K99" s="78" t="s">
        <v>637</v>
      </c>
      <c r="L99" s="252" t="s">
        <v>619</v>
      </c>
      <c r="M99" s="76" t="s">
        <v>81</v>
      </c>
      <c r="N99" s="190" t="s">
        <v>81</v>
      </c>
      <c r="O99" s="206" t="str">
        <f>HYPERLINK("https://leetcode.com/problems/pacific-atlantic-water-flow/","https://leetcode.com/problems/pacific-atlantic-water-flow/")</f>
        <v>https://leetcode.com/problems/pacific-atlantic-water-flow/</v>
      </c>
    </row>
    <row r="100" spans="1:15" ht="31.5" customHeight="1" x14ac:dyDescent="0.2">
      <c r="A100" s="7">
        <v>85</v>
      </c>
      <c r="B100" s="7">
        <v>130</v>
      </c>
      <c r="C100" s="13" t="s">
        <v>636</v>
      </c>
      <c r="D100" s="3" t="s">
        <v>4332</v>
      </c>
      <c r="E100" s="18" t="s">
        <v>28</v>
      </c>
      <c r="F100" s="3" t="s">
        <v>4274</v>
      </c>
      <c r="G100" s="3"/>
      <c r="H100" s="7"/>
      <c r="I100" s="7">
        <f>IFERROR(VLOOKUP(B100,'📊 Problem Tracker'!$B$4:$F$1200,5,FALSE()),"")</f>
        <v>0</v>
      </c>
      <c r="J100" s="3"/>
      <c r="K100" s="3" t="s">
        <v>637</v>
      </c>
      <c r="L100" s="228" t="s">
        <v>619</v>
      </c>
      <c r="M100" s="7" t="s">
        <v>81</v>
      </c>
      <c r="N100" s="176" t="s">
        <v>81</v>
      </c>
      <c r="O100" s="205" t="str">
        <f>HYPERLINK("https://leetcode.com/problems/surrounded-regions/","https://leetcode.com/problems/surrounded-regions/")</f>
        <v>https://leetcode.com/problems/surrounded-regions/</v>
      </c>
    </row>
    <row r="101" spans="1:15" ht="31.5" customHeight="1" x14ac:dyDescent="0.2">
      <c r="A101" s="76">
        <v>86</v>
      </c>
      <c r="B101" s="76">
        <v>207</v>
      </c>
      <c r="C101" s="77" t="s">
        <v>903</v>
      </c>
      <c r="D101" s="78" t="s">
        <v>4332</v>
      </c>
      <c r="E101" s="80" t="s">
        <v>28</v>
      </c>
      <c r="F101" s="78" t="s">
        <v>4282</v>
      </c>
      <c r="G101" s="78" t="s">
        <v>4283</v>
      </c>
      <c r="H101" s="76"/>
      <c r="I101" s="76">
        <f>IFERROR(VLOOKUP(B101,'📊 Problem Tracker'!$B$4:$F$1200,5,FALSE()),"")</f>
        <v>0</v>
      </c>
      <c r="J101" s="78"/>
      <c r="K101" s="78" t="s">
        <v>4156</v>
      </c>
      <c r="L101" s="252" t="s">
        <v>906</v>
      </c>
      <c r="M101" s="76" t="s">
        <v>648</v>
      </c>
      <c r="N101" s="190" t="s">
        <v>648</v>
      </c>
      <c r="O101" s="206" t="str">
        <f>HYPERLINK("https://leetcode.com/problems/course-schedule/","https://leetcode.com/problems/course-schedule/")</f>
        <v>https://leetcode.com/problems/course-schedule/</v>
      </c>
    </row>
    <row r="102" spans="1:15" ht="31.5" customHeight="1" x14ac:dyDescent="0.2">
      <c r="A102" s="7">
        <v>87</v>
      </c>
      <c r="B102" s="7">
        <v>210</v>
      </c>
      <c r="C102" s="13" t="s">
        <v>921</v>
      </c>
      <c r="D102" s="3" t="s">
        <v>4332</v>
      </c>
      <c r="E102" s="18" t="s">
        <v>28</v>
      </c>
      <c r="F102" s="3" t="s">
        <v>4282</v>
      </c>
      <c r="G102" s="3"/>
      <c r="H102" s="7"/>
      <c r="I102" s="7">
        <f>IFERROR(VLOOKUP(B102,'📊 Problem Tracker'!$B$4:$F$1200,5,FALSE()),"")</f>
        <v>0</v>
      </c>
      <c r="J102" s="3"/>
      <c r="K102" s="3" t="s">
        <v>1167</v>
      </c>
      <c r="L102" s="228" t="s">
        <v>619</v>
      </c>
      <c r="M102" s="7" t="s">
        <v>648</v>
      </c>
      <c r="N102" s="176" t="s">
        <v>648</v>
      </c>
      <c r="O102" s="205" t="str">
        <f>HYPERLINK("https://leetcode.com/problems/course-schedule-ii/","https://leetcode.com/problems/course-schedule-ii/")</f>
        <v>https://leetcode.com/problems/course-schedule-ii/</v>
      </c>
    </row>
    <row r="103" spans="1:15" ht="31.5" customHeight="1" x14ac:dyDescent="0.2">
      <c r="A103" s="76">
        <v>88</v>
      </c>
      <c r="B103" s="76">
        <v>269</v>
      </c>
      <c r="C103" s="77" t="s">
        <v>1063</v>
      </c>
      <c r="D103" s="78" t="s">
        <v>4332</v>
      </c>
      <c r="E103" s="81" t="s">
        <v>42</v>
      </c>
      <c r="F103" s="78" t="s">
        <v>4282</v>
      </c>
      <c r="G103" s="78"/>
      <c r="H103" s="76"/>
      <c r="I103" s="76">
        <f>IFERROR(VLOOKUP(B103,'📊 Problem Tracker'!$B$4:$F$1200,5,FALSE()),"")</f>
        <v>0</v>
      </c>
      <c r="J103" s="78"/>
      <c r="K103" s="78" t="s">
        <v>1167</v>
      </c>
      <c r="L103" s="252" t="s">
        <v>619</v>
      </c>
      <c r="M103" s="76" t="s">
        <v>1065</v>
      </c>
      <c r="N103" s="190" t="s">
        <v>47</v>
      </c>
      <c r="O103" s="206" t="str">
        <f>HYPERLINK("https://leetcode.com/problems/alien-dictionary/","https://leetcode.com/problems/alien-dictionary/")</f>
        <v>https://leetcode.com/problems/alien-dictionary/</v>
      </c>
    </row>
    <row r="104" spans="1:15" ht="31.5" customHeight="1" x14ac:dyDescent="0.2">
      <c r="A104" s="7">
        <v>89</v>
      </c>
      <c r="B104" s="7">
        <v>127</v>
      </c>
      <c r="C104" s="13" t="s">
        <v>623</v>
      </c>
      <c r="D104" s="3" t="s">
        <v>4332</v>
      </c>
      <c r="E104" s="20" t="s">
        <v>42</v>
      </c>
      <c r="F104" s="3" t="s">
        <v>4258</v>
      </c>
      <c r="G104" s="3"/>
      <c r="H104" s="7"/>
      <c r="I104" s="7">
        <f>IFERROR(VLOOKUP(B104,'📊 Problem Tracker'!$B$4:$F$1200,5,FALSE()),"")</f>
        <v>0</v>
      </c>
      <c r="J104" s="3"/>
      <c r="K104" s="3" t="s">
        <v>624</v>
      </c>
      <c r="L104" s="228" t="s">
        <v>619</v>
      </c>
      <c r="M104" s="7" t="s">
        <v>625</v>
      </c>
      <c r="N104" s="176" t="s">
        <v>626</v>
      </c>
      <c r="O104" s="191" t="str">
        <f>HYPERLINK("https://leetcode.com/problems/word-ladder/","https://leetcode.com/problems/word-ladder/")</f>
        <v>https://leetcode.com/problems/word-ladder/</v>
      </c>
    </row>
    <row r="105" spans="1:15" ht="19.5" customHeight="1" x14ac:dyDescent="0.2">
      <c r="A105" s="334" t="s">
        <v>4333</v>
      </c>
      <c r="B105" s="292"/>
      <c r="C105" s="292"/>
      <c r="D105" s="292"/>
      <c r="E105" s="292"/>
      <c r="F105" s="292"/>
      <c r="G105" s="292"/>
      <c r="H105" s="292"/>
      <c r="I105" s="292"/>
      <c r="J105" s="292"/>
      <c r="M105" s="52"/>
      <c r="N105" s="52"/>
      <c r="O105" s="215"/>
    </row>
    <row r="106" spans="1:15" ht="31.5" customHeight="1" x14ac:dyDescent="0.2">
      <c r="A106" s="76">
        <v>90</v>
      </c>
      <c r="B106" s="76">
        <v>743</v>
      </c>
      <c r="C106" s="77" t="s">
        <v>1843</v>
      </c>
      <c r="D106" s="78" t="s">
        <v>3518</v>
      </c>
      <c r="E106" s="80" t="s">
        <v>28</v>
      </c>
      <c r="F106" s="78" t="s">
        <v>4334</v>
      </c>
      <c r="G106" s="78"/>
      <c r="H106" s="76"/>
      <c r="I106" s="76">
        <f>IFERROR(VLOOKUP(B106,'📊 Problem Tracker'!$B$4:$F$1200,5,FALSE()),"")</f>
        <v>0</v>
      </c>
      <c r="J106" s="78"/>
      <c r="K106" s="78" t="s">
        <v>1844</v>
      </c>
      <c r="L106" s="252" t="s">
        <v>619</v>
      </c>
      <c r="M106" s="76" t="s">
        <v>1845</v>
      </c>
      <c r="N106" s="190" t="s">
        <v>648</v>
      </c>
      <c r="O106" s="206" t="str">
        <f>HYPERLINK("https://leetcode.com/problems/network-delay-time/","https://leetcode.com/problems/network-delay-time/")</f>
        <v>https://leetcode.com/problems/network-delay-time/</v>
      </c>
    </row>
    <row r="107" spans="1:15" ht="31.5" customHeight="1" x14ac:dyDescent="0.2">
      <c r="A107" s="7">
        <v>91</v>
      </c>
      <c r="B107" s="7">
        <v>1584</v>
      </c>
      <c r="C107" s="13" t="s">
        <v>2561</v>
      </c>
      <c r="D107" s="3" t="s">
        <v>3518</v>
      </c>
      <c r="E107" s="18" t="s">
        <v>28</v>
      </c>
      <c r="F107" s="3" t="s">
        <v>4335</v>
      </c>
      <c r="G107" s="3"/>
      <c r="H107" s="7"/>
      <c r="I107" s="7">
        <f>IFERROR(VLOOKUP(B107,'📊 Problem Tracker'!$B$4:$F$1200,5,FALSE()),"")</f>
        <v>0</v>
      </c>
      <c r="J107" s="3"/>
      <c r="K107" s="3" t="s">
        <v>4336</v>
      </c>
      <c r="L107" s="228" t="s">
        <v>619</v>
      </c>
      <c r="M107" s="7" t="s">
        <v>648</v>
      </c>
      <c r="N107" s="176" t="s">
        <v>648</v>
      </c>
      <c r="O107" s="205" t="str">
        <f>HYPERLINK("https://leetcode.com/problems/min-cost-to-connect-all-points/","https://leetcode.com/problems/min-cost-to-connect-all-points/")</f>
        <v>https://leetcode.com/problems/min-cost-to-connect-all-points/</v>
      </c>
    </row>
    <row r="108" spans="1:15" ht="31.5" customHeight="1" x14ac:dyDescent="0.2">
      <c r="A108" s="76">
        <v>92</v>
      </c>
      <c r="B108" s="76">
        <v>778</v>
      </c>
      <c r="C108" s="77" t="s">
        <v>1892</v>
      </c>
      <c r="D108" s="78" t="s">
        <v>3518</v>
      </c>
      <c r="E108" s="81" t="s">
        <v>42</v>
      </c>
      <c r="F108" s="78" t="s">
        <v>512</v>
      </c>
      <c r="G108" s="78" t="s">
        <v>4337</v>
      </c>
      <c r="H108" s="76"/>
      <c r="I108" s="76">
        <f>IFERROR(VLOOKUP(B108,'📊 Problem Tracker'!$B$4:$F$1200,5,FALSE()),"")</f>
        <v>0</v>
      </c>
      <c r="J108" s="78"/>
      <c r="K108" s="78" t="s">
        <v>4338</v>
      </c>
      <c r="L108" s="252" t="s">
        <v>513</v>
      </c>
      <c r="M108" s="76" t="s">
        <v>1894</v>
      </c>
      <c r="N108" s="190" t="s">
        <v>341</v>
      </c>
      <c r="O108" s="206" t="str">
        <f>HYPERLINK("https://leetcode.com/problems/swim-in-rising-water/","https://leetcode.com/problems/swim-in-rising-water/")</f>
        <v>https://leetcode.com/problems/swim-in-rising-water/</v>
      </c>
    </row>
    <row r="109" spans="1:15" ht="31.5" customHeight="1" x14ac:dyDescent="0.2">
      <c r="A109" s="7">
        <v>93</v>
      </c>
      <c r="B109" s="7">
        <v>269</v>
      </c>
      <c r="C109" s="13" t="s">
        <v>1063</v>
      </c>
      <c r="D109" s="3" t="s">
        <v>3518</v>
      </c>
      <c r="E109" s="20" t="s">
        <v>42</v>
      </c>
      <c r="F109" s="3" t="s">
        <v>4282</v>
      </c>
      <c r="G109" s="3"/>
      <c r="H109" s="7"/>
      <c r="I109" s="7">
        <f>IFERROR(VLOOKUP(B109,'📊 Problem Tracker'!$B$4:$F$1200,5,FALSE()),"")</f>
        <v>0</v>
      </c>
      <c r="J109" s="3"/>
      <c r="K109" s="3" t="s">
        <v>1167</v>
      </c>
      <c r="L109" s="228" t="s">
        <v>619</v>
      </c>
      <c r="M109" s="7" t="s">
        <v>1065</v>
      </c>
      <c r="N109" s="176" t="s">
        <v>47</v>
      </c>
      <c r="O109" s="205" t="str">
        <f>HYPERLINK("https://leetcode.com/problems/alien-dictionary/","https://leetcode.com/problems/alien-dictionary/")</f>
        <v>https://leetcode.com/problems/alien-dictionary/</v>
      </c>
    </row>
    <row r="110" spans="1:15" ht="31.5" customHeight="1" x14ac:dyDescent="0.2">
      <c r="A110" s="76">
        <v>94</v>
      </c>
      <c r="B110" s="76">
        <v>787</v>
      </c>
      <c r="C110" s="77" t="s">
        <v>1898</v>
      </c>
      <c r="D110" s="78" t="s">
        <v>3518</v>
      </c>
      <c r="E110" s="80" t="s">
        <v>28</v>
      </c>
      <c r="F110" s="78" t="s">
        <v>4296</v>
      </c>
      <c r="G110" s="78" t="s">
        <v>4258</v>
      </c>
      <c r="H110" s="76"/>
      <c r="I110" s="76">
        <f>IFERROR(VLOOKUP(B110,'📊 Problem Tracker'!$B$4:$F$1200,5,FALSE()),"")</f>
        <v>0</v>
      </c>
      <c r="J110" s="78"/>
      <c r="K110" s="78" t="s">
        <v>1899</v>
      </c>
      <c r="L110" s="252" t="s">
        <v>508</v>
      </c>
      <c r="M110" s="76" t="s">
        <v>648</v>
      </c>
      <c r="N110" s="190" t="s">
        <v>648</v>
      </c>
      <c r="O110" s="206" t="str">
        <f>HYPERLINK("https://leetcode.com/problems/cheapest-flights-within-k-stops/","https://leetcode.com/problems/cheapest-flights-within-k-stops/")</f>
        <v>https://leetcode.com/problems/cheapest-flights-within-k-stops/</v>
      </c>
    </row>
    <row r="111" spans="1:15" ht="31.5" customHeight="1" x14ac:dyDescent="0.2">
      <c r="A111" s="7">
        <v>95</v>
      </c>
      <c r="B111" s="7">
        <v>332</v>
      </c>
      <c r="C111" s="13" t="s">
        <v>1231</v>
      </c>
      <c r="D111" s="3" t="s">
        <v>3518</v>
      </c>
      <c r="E111" s="20" t="s">
        <v>42</v>
      </c>
      <c r="F111" s="3" t="s">
        <v>4339</v>
      </c>
      <c r="G111" s="3"/>
      <c r="H111" s="7"/>
      <c r="I111" s="7">
        <f>IFERROR(VLOOKUP(B111,'📊 Problem Tracker'!$B$4:$F$1200,5,FALSE()),"")</f>
        <v>0</v>
      </c>
      <c r="J111" s="3"/>
      <c r="K111" s="3" t="s">
        <v>1232</v>
      </c>
      <c r="L111" s="228" t="s">
        <v>619</v>
      </c>
      <c r="M111" s="7" t="s">
        <v>648</v>
      </c>
      <c r="N111" s="176" t="s">
        <v>648</v>
      </c>
      <c r="O111" s="191" t="str">
        <f>HYPERLINK("https://leetcode.com/problems/reconstruct-itinerary/","https://leetcode.com/problems/reconstruct-itinerary/")</f>
        <v>https://leetcode.com/problems/reconstruct-itinerary/</v>
      </c>
    </row>
    <row r="112" spans="1:15" ht="19.5" customHeight="1" x14ac:dyDescent="0.2">
      <c r="A112" s="345" t="s">
        <v>4340</v>
      </c>
      <c r="B112" s="292"/>
      <c r="C112" s="292"/>
      <c r="D112" s="292"/>
      <c r="E112" s="292"/>
      <c r="F112" s="292"/>
      <c r="G112" s="292"/>
      <c r="H112" s="292"/>
      <c r="I112" s="292"/>
      <c r="J112" s="292"/>
      <c r="M112" s="52"/>
      <c r="N112" s="52"/>
      <c r="O112" s="215"/>
    </row>
    <row r="113" spans="1:15" ht="31.5" customHeight="1" x14ac:dyDescent="0.2">
      <c r="A113" s="76">
        <v>96</v>
      </c>
      <c r="B113" s="76">
        <v>70</v>
      </c>
      <c r="C113" s="77" t="s">
        <v>398</v>
      </c>
      <c r="D113" s="78" t="s">
        <v>3968</v>
      </c>
      <c r="E113" s="79" t="s">
        <v>20</v>
      </c>
      <c r="F113" s="78" t="s">
        <v>4264</v>
      </c>
      <c r="G113" s="78"/>
      <c r="H113" s="76"/>
      <c r="I113" s="76">
        <f>IFERROR(VLOOKUP(B113,'📊 Problem Tracker'!$B$4:$F$1200,5,FALSE()),"")</f>
        <v>0</v>
      </c>
      <c r="J113" s="78"/>
      <c r="K113" s="78" t="s">
        <v>1314</v>
      </c>
      <c r="L113" s="252" t="s">
        <v>400</v>
      </c>
      <c r="M113" s="76" t="s">
        <v>24</v>
      </c>
      <c r="N113" s="190" t="s">
        <v>47</v>
      </c>
      <c r="O113" s="206" t="str">
        <f>HYPERLINK("https://leetcode.com/problems/climbing-stairs/","https://leetcode.com/problems/climbing-stairs/")</f>
        <v>https://leetcode.com/problems/climbing-stairs/</v>
      </c>
    </row>
    <row r="114" spans="1:15" ht="31.5" customHeight="1" x14ac:dyDescent="0.2">
      <c r="A114" s="7">
        <v>97</v>
      </c>
      <c r="B114" s="7">
        <v>746</v>
      </c>
      <c r="C114" s="13" t="s">
        <v>1851</v>
      </c>
      <c r="D114" s="3" t="s">
        <v>3968</v>
      </c>
      <c r="E114" s="21" t="s">
        <v>20</v>
      </c>
      <c r="F114" s="3" t="s">
        <v>4281</v>
      </c>
      <c r="G114" s="3"/>
      <c r="H114" s="7"/>
      <c r="I114" s="7">
        <f>IFERROR(VLOOKUP(B114,'📊 Problem Tracker'!$B$4:$F$1200,5,FALSE()),"")</f>
        <v>0</v>
      </c>
      <c r="J114" s="3"/>
      <c r="K114" s="3" t="s">
        <v>309</v>
      </c>
      <c r="L114" s="228" t="s">
        <v>1854</v>
      </c>
      <c r="M114" s="7" t="s">
        <v>24</v>
      </c>
      <c r="N114" s="176" t="s">
        <v>47</v>
      </c>
      <c r="O114" s="205" t="str">
        <f>HYPERLINK("https://leetcode.com/problems/min-cost-climbing-stairs/","https://leetcode.com/problems/min-cost-climbing-stairs/")</f>
        <v>https://leetcode.com/problems/min-cost-climbing-stairs/</v>
      </c>
    </row>
    <row r="115" spans="1:15" ht="31.5" customHeight="1" x14ac:dyDescent="0.2">
      <c r="A115" s="76">
        <v>98</v>
      </c>
      <c r="B115" s="76">
        <v>198</v>
      </c>
      <c r="C115" s="77" t="s">
        <v>874</v>
      </c>
      <c r="D115" s="78" t="s">
        <v>3968</v>
      </c>
      <c r="E115" s="80" t="s">
        <v>28</v>
      </c>
      <c r="F115" s="78" t="s">
        <v>4281</v>
      </c>
      <c r="G115" s="78"/>
      <c r="H115" s="76"/>
      <c r="I115" s="76">
        <f>IFERROR(VLOOKUP(B115,'📊 Problem Tracker'!$B$4:$F$1200,5,FALSE()),"")</f>
        <v>0</v>
      </c>
      <c r="J115" s="78"/>
      <c r="K115" s="78" t="s">
        <v>309</v>
      </c>
      <c r="L115" s="252" t="s">
        <v>876</v>
      </c>
      <c r="M115" s="76" t="s">
        <v>24</v>
      </c>
      <c r="N115" s="190" t="s">
        <v>47</v>
      </c>
      <c r="O115" s="206" t="str">
        <f>HYPERLINK("https://leetcode.com/problems/house-robber/","https://leetcode.com/problems/house-robber/")</f>
        <v>https://leetcode.com/problems/house-robber/</v>
      </c>
    </row>
    <row r="116" spans="1:15" ht="31.5" customHeight="1" x14ac:dyDescent="0.2">
      <c r="A116" s="7">
        <v>99</v>
      </c>
      <c r="B116" s="7">
        <v>213</v>
      </c>
      <c r="C116" s="13" t="s">
        <v>934</v>
      </c>
      <c r="D116" s="3" t="s">
        <v>3968</v>
      </c>
      <c r="E116" s="18" t="s">
        <v>28</v>
      </c>
      <c r="F116" s="3" t="s">
        <v>4281</v>
      </c>
      <c r="G116" s="3"/>
      <c r="H116" s="7"/>
      <c r="I116" s="7">
        <f>IFERROR(VLOOKUP(B116,'📊 Problem Tracker'!$B$4:$F$1200,5,FALSE()),"")</f>
        <v>0</v>
      </c>
      <c r="J116" s="3"/>
      <c r="K116" s="3" t="s">
        <v>309</v>
      </c>
      <c r="L116" s="228" t="s">
        <v>508</v>
      </c>
      <c r="M116" s="7" t="s">
        <v>24</v>
      </c>
      <c r="N116" s="176" t="s">
        <v>24</v>
      </c>
      <c r="O116" s="205" t="str">
        <f>HYPERLINK("https://leetcode.com/problems/house-robber-ii/","https://leetcode.com/problems/house-robber-ii/")</f>
        <v>https://leetcode.com/problems/house-robber-ii/</v>
      </c>
    </row>
    <row r="117" spans="1:15" ht="31.5" customHeight="1" x14ac:dyDescent="0.2">
      <c r="A117" s="76">
        <v>100</v>
      </c>
      <c r="B117" s="76">
        <v>5</v>
      </c>
      <c r="C117" s="77" t="s">
        <v>49</v>
      </c>
      <c r="D117" s="78" t="s">
        <v>3968</v>
      </c>
      <c r="E117" s="80" t="s">
        <v>28</v>
      </c>
      <c r="F117" s="78" t="s">
        <v>4245</v>
      </c>
      <c r="G117" s="78"/>
      <c r="H117" s="76"/>
      <c r="I117" s="76">
        <f>IFERROR(VLOOKUP(B117,'📊 Problem Tracker'!$B$4:$F$1200,5,FALSE()),"")</f>
        <v>0</v>
      </c>
      <c r="J117" s="78"/>
      <c r="K117" s="78" t="s">
        <v>50</v>
      </c>
      <c r="L117" s="252" t="s">
        <v>52</v>
      </c>
      <c r="M117" s="76" t="s">
        <v>53</v>
      </c>
      <c r="N117" s="190" t="s">
        <v>47</v>
      </c>
      <c r="O117" s="206" t="str">
        <f>HYPERLINK("https://leetcode.com/problems/longest-palindromic-substring/","https://leetcode.com/problems/longest-palindromic-substring/")</f>
        <v>https://leetcode.com/problems/longest-palindromic-substring/</v>
      </c>
    </row>
    <row r="118" spans="1:15" ht="31.5" customHeight="1" x14ac:dyDescent="0.2">
      <c r="A118" s="7">
        <v>101</v>
      </c>
      <c r="B118" s="7">
        <v>647</v>
      </c>
      <c r="C118" s="13" t="s">
        <v>1702</v>
      </c>
      <c r="D118" s="3" t="s">
        <v>3968</v>
      </c>
      <c r="E118" s="18" t="s">
        <v>28</v>
      </c>
      <c r="F118" s="3" t="s">
        <v>4245</v>
      </c>
      <c r="G118" s="3"/>
      <c r="H118" s="7"/>
      <c r="I118" s="7">
        <f>IFERROR(VLOOKUP(B118,'📊 Problem Tracker'!$B$4:$F$1200,5,FALSE()),"")</f>
        <v>0</v>
      </c>
      <c r="J118" s="3"/>
      <c r="K118" s="3" t="s">
        <v>4204</v>
      </c>
      <c r="L118" s="228" t="s">
        <v>508</v>
      </c>
      <c r="M118" s="7" t="s">
        <v>53</v>
      </c>
      <c r="N118" s="176" t="s">
        <v>47</v>
      </c>
      <c r="O118" s="205" t="str">
        <f>HYPERLINK("https://leetcode.com/problems/palindromic-substrings/","https://leetcode.com/problems/palindromic-substrings/")</f>
        <v>https://leetcode.com/problems/palindromic-substrings/</v>
      </c>
    </row>
    <row r="119" spans="1:15" ht="31.5" customHeight="1" x14ac:dyDescent="0.2">
      <c r="A119" s="76">
        <v>102</v>
      </c>
      <c r="B119" s="76">
        <v>91</v>
      </c>
      <c r="C119" s="77" t="s">
        <v>490</v>
      </c>
      <c r="D119" s="78" t="s">
        <v>3968</v>
      </c>
      <c r="E119" s="80" t="s">
        <v>28</v>
      </c>
      <c r="F119" s="78" t="s">
        <v>1042</v>
      </c>
      <c r="G119" s="78"/>
      <c r="H119" s="76"/>
      <c r="I119" s="76">
        <f>IFERROR(VLOOKUP(B119,'📊 Problem Tracker'!$B$4:$F$1200,5,FALSE()),"")</f>
        <v>0</v>
      </c>
      <c r="J119" s="78"/>
      <c r="K119" s="78" t="s">
        <v>50</v>
      </c>
      <c r="L119" s="252" t="s">
        <v>492</v>
      </c>
      <c r="M119" s="76" t="s">
        <v>24</v>
      </c>
      <c r="N119" s="190" t="s">
        <v>47</v>
      </c>
      <c r="O119" s="206" t="str">
        <f>HYPERLINK("https://leetcode.com/problems/decode-ways/","https://leetcode.com/problems/decode-ways/")</f>
        <v>https://leetcode.com/problems/decode-ways/</v>
      </c>
    </row>
    <row r="120" spans="1:15" ht="31.5" customHeight="1" x14ac:dyDescent="0.2">
      <c r="A120" s="7">
        <v>103</v>
      </c>
      <c r="B120" s="7">
        <v>322</v>
      </c>
      <c r="C120" s="13" t="s">
        <v>1205</v>
      </c>
      <c r="D120" s="3" t="s">
        <v>3968</v>
      </c>
      <c r="E120" s="18" t="s">
        <v>28</v>
      </c>
      <c r="F120" s="3" t="s">
        <v>4302</v>
      </c>
      <c r="G120" s="3"/>
      <c r="H120" s="7"/>
      <c r="I120" s="7">
        <f>IFERROR(VLOOKUP(B120,'📊 Problem Tracker'!$B$4:$F$1200,5,FALSE()),"")</f>
        <v>0</v>
      </c>
      <c r="J120" s="3"/>
      <c r="K120" s="3" t="s">
        <v>1206</v>
      </c>
      <c r="L120" s="228" t="s">
        <v>1208</v>
      </c>
      <c r="M120" s="7" t="s">
        <v>1209</v>
      </c>
      <c r="N120" s="176" t="s">
        <v>1210</v>
      </c>
      <c r="O120" s="205" t="str">
        <f>HYPERLINK("https://leetcode.com/problems/coin-change/","https://leetcode.com/problems/coin-change/")</f>
        <v>https://leetcode.com/problems/coin-change/</v>
      </c>
    </row>
    <row r="121" spans="1:15" ht="31.5" customHeight="1" x14ac:dyDescent="0.2">
      <c r="A121" s="76">
        <v>104</v>
      </c>
      <c r="B121" s="76">
        <v>152</v>
      </c>
      <c r="C121" s="77" t="s">
        <v>715</v>
      </c>
      <c r="D121" s="78" t="s">
        <v>3968</v>
      </c>
      <c r="E121" s="80" t="s">
        <v>28</v>
      </c>
      <c r="F121" s="78" t="s">
        <v>1042</v>
      </c>
      <c r="G121" s="78"/>
      <c r="H121" s="76"/>
      <c r="I121" s="76">
        <f>IFERROR(VLOOKUP(B121,'📊 Problem Tracker'!$B$4:$F$1200,5,FALSE()),"")</f>
        <v>0</v>
      </c>
      <c r="J121" s="78"/>
      <c r="K121" s="78" t="s">
        <v>309</v>
      </c>
      <c r="L121" s="252" t="s">
        <v>718</v>
      </c>
      <c r="M121" s="76" t="s">
        <v>24</v>
      </c>
      <c r="N121" s="190" t="s">
        <v>47</v>
      </c>
      <c r="O121" s="206" t="str">
        <f>HYPERLINK("https://leetcode.com/problems/maximum-product-subarray/","https://leetcode.com/problems/maximum-product-subarray/")</f>
        <v>https://leetcode.com/problems/maximum-product-subarray/</v>
      </c>
    </row>
    <row r="122" spans="1:15" ht="31.5" customHeight="1" x14ac:dyDescent="0.2">
      <c r="A122" s="7">
        <v>105</v>
      </c>
      <c r="B122" s="7">
        <v>139</v>
      </c>
      <c r="C122" s="13" t="s">
        <v>671</v>
      </c>
      <c r="D122" s="3" t="s">
        <v>3968</v>
      </c>
      <c r="E122" s="18" t="s">
        <v>28</v>
      </c>
      <c r="F122" s="3" t="s">
        <v>1042</v>
      </c>
      <c r="G122" s="3"/>
      <c r="H122" s="7"/>
      <c r="I122" s="7">
        <f>IFERROR(VLOOKUP(B122,'📊 Problem Tracker'!$B$4:$F$1200,5,FALSE()),"")</f>
        <v>0</v>
      </c>
      <c r="J122" s="3"/>
      <c r="K122" s="3" t="s">
        <v>672</v>
      </c>
      <c r="L122" s="228" t="s">
        <v>508</v>
      </c>
      <c r="M122" s="7" t="s">
        <v>53</v>
      </c>
      <c r="N122" s="176" t="s">
        <v>24</v>
      </c>
      <c r="O122" s="205" t="str">
        <f>HYPERLINK("https://leetcode.com/problems/word-break/","https://leetcode.com/problems/word-break/")</f>
        <v>https://leetcode.com/problems/word-break/</v>
      </c>
    </row>
    <row r="123" spans="1:15" ht="31.5" customHeight="1" x14ac:dyDescent="0.2">
      <c r="A123" s="76">
        <v>106</v>
      </c>
      <c r="B123" s="76">
        <v>300</v>
      </c>
      <c r="C123" s="77" t="s">
        <v>1135</v>
      </c>
      <c r="D123" s="78" t="s">
        <v>3968</v>
      </c>
      <c r="E123" s="80" t="s">
        <v>28</v>
      </c>
      <c r="F123" s="78" t="s">
        <v>4300</v>
      </c>
      <c r="G123" s="78"/>
      <c r="H123" s="76"/>
      <c r="I123" s="76">
        <f>IFERROR(VLOOKUP(B123,'📊 Problem Tracker'!$B$4:$F$1200,5,FALSE()),"")</f>
        <v>0</v>
      </c>
      <c r="J123" s="78"/>
      <c r="K123" s="78" t="s">
        <v>1136</v>
      </c>
      <c r="L123" s="252" t="s">
        <v>1139</v>
      </c>
      <c r="M123" s="76" t="s">
        <v>326</v>
      </c>
      <c r="N123" s="190" t="s">
        <v>24</v>
      </c>
      <c r="O123" s="207" t="str">
        <f>HYPERLINK("https://leetcode.com/problems/longest-increasing-subsequence/","https://leetcode.com/problems/longest-increasing-subsequence/")</f>
        <v>https://leetcode.com/problems/longest-increasing-subsequence/</v>
      </c>
    </row>
    <row r="124" spans="1:15" ht="19.5" customHeight="1" x14ac:dyDescent="0.2">
      <c r="A124" s="336" t="s">
        <v>4341</v>
      </c>
      <c r="B124" s="292"/>
      <c r="C124" s="292"/>
      <c r="D124" s="292"/>
      <c r="E124" s="292"/>
      <c r="F124" s="292"/>
      <c r="G124" s="292"/>
      <c r="H124" s="292"/>
      <c r="I124" s="292"/>
      <c r="J124" s="292"/>
      <c r="M124" s="52"/>
      <c r="N124" s="52"/>
      <c r="O124" s="215"/>
    </row>
    <row r="125" spans="1:15" ht="31.5" customHeight="1" x14ac:dyDescent="0.2">
      <c r="A125" s="7">
        <v>107</v>
      </c>
      <c r="B125" s="7">
        <v>62</v>
      </c>
      <c r="C125" s="13" t="s">
        <v>353</v>
      </c>
      <c r="D125" s="3" t="s">
        <v>3980</v>
      </c>
      <c r="E125" s="18" t="s">
        <v>28</v>
      </c>
      <c r="F125" s="3" t="s">
        <v>4263</v>
      </c>
      <c r="G125" s="3"/>
      <c r="H125" s="7"/>
      <c r="I125" s="7">
        <f>IFERROR(VLOOKUP(B125,'📊 Problem Tracker'!$B$4:$F$1200,5,FALSE()),"")</f>
        <v>0</v>
      </c>
      <c r="J125" s="3"/>
      <c r="K125" s="3" t="s">
        <v>354</v>
      </c>
      <c r="L125" s="228" t="s">
        <v>357</v>
      </c>
      <c r="M125" s="7" t="s">
        <v>81</v>
      </c>
      <c r="N125" s="176" t="s">
        <v>24</v>
      </c>
      <c r="O125" s="205" t="str">
        <f>HYPERLINK("https://leetcode.com/problems/unique-paths/","https://leetcode.com/problems/unique-paths/")</f>
        <v>https://leetcode.com/problems/unique-paths/</v>
      </c>
    </row>
    <row r="126" spans="1:15" ht="31.5" customHeight="1" x14ac:dyDescent="0.2">
      <c r="A126" s="76">
        <v>108</v>
      </c>
      <c r="B126" s="76">
        <v>1143</v>
      </c>
      <c r="C126" s="77" t="s">
        <v>2237</v>
      </c>
      <c r="D126" s="78" t="s">
        <v>3980</v>
      </c>
      <c r="E126" s="80" t="s">
        <v>28</v>
      </c>
      <c r="F126" s="78" t="s">
        <v>4342</v>
      </c>
      <c r="G126" s="78"/>
      <c r="H126" s="76"/>
      <c r="I126" s="76">
        <f>IFERROR(VLOOKUP(B126,'📊 Problem Tracker'!$B$4:$F$1200,5,FALSE()),"")</f>
        <v>0</v>
      </c>
      <c r="J126" s="78"/>
      <c r="K126" s="78" t="s">
        <v>50</v>
      </c>
      <c r="L126" s="252" t="s">
        <v>2240</v>
      </c>
      <c r="M126" s="76" t="s">
        <v>24</v>
      </c>
      <c r="N126" s="190" t="s">
        <v>24</v>
      </c>
      <c r="O126" s="206" t="str">
        <f>HYPERLINK("https://leetcode.com/problems/longest-common-subsequence/","https://leetcode.com/problems/longest-common-subsequence/")</f>
        <v>https://leetcode.com/problems/longest-common-subsequence/</v>
      </c>
    </row>
    <row r="127" spans="1:15" ht="31.5" customHeight="1" x14ac:dyDescent="0.2">
      <c r="A127" s="7">
        <v>109</v>
      </c>
      <c r="B127" s="7">
        <v>309</v>
      </c>
      <c r="C127" s="13" t="s">
        <v>1163</v>
      </c>
      <c r="D127" s="3" t="s">
        <v>3980</v>
      </c>
      <c r="E127" s="18" t="s">
        <v>28</v>
      </c>
      <c r="F127" s="3" t="s">
        <v>4343</v>
      </c>
      <c r="G127" s="3"/>
      <c r="H127" s="7"/>
      <c r="I127" s="7">
        <f>IFERROR(VLOOKUP(B127,'📊 Problem Tracker'!$B$4:$F$1200,5,FALSE()),"")</f>
        <v>0</v>
      </c>
      <c r="J127" s="3"/>
      <c r="K127" s="3" t="s">
        <v>309</v>
      </c>
      <c r="L127" s="228" t="s">
        <v>508</v>
      </c>
      <c r="M127" s="7" t="s">
        <v>24</v>
      </c>
      <c r="N127" s="176" t="s">
        <v>47</v>
      </c>
      <c r="O127" s="205" t="str">
        <f>HYPERLINK("https://leetcode.com/problems/best-time-to-buy-and-sell-stock-with-cooldown/","https://leetcode.com/problems/best-time-to-buy-and-sell-stock-with-cooldown/")</f>
        <v>https://leetcode.com/problems/best-time-to-buy-and-sell-stock-with-cooldown/</v>
      </c>
    </row>
    <row r="128" spans="1:15" ht="31.5" customHeight="1" x14ac:dyDescent="0.2">
      <c r="A128" s="76">
        <v>110</v>
      </c>
      <c r="B128" s="76">
        <v>518</v>
      </c>
      <c r="C128" s="77" t="s">
        <v>1555</v>
      </c>
      <c r="D128" s="78" t="s">
        <v>3980</v>
      </c>
      <c r="E128" s="80" t="s">
        <v>28</v>
      </c>
      <c r="F128" s="78" t="s">
        <v>4344</v>
      </c>
      <c r="G128" s="78"/>
      <c r="H128" s="76"/>
      <c r="I128" s="76">
        <f>IFERROR(VLOOKUP(B128,'📊 Problem Tracker'!$B$4:$F$1200,5,FALSE()),"")</f>
        <v>0</v>
      </c>
      <c r="J128" s="78"/>
      <c r="K128" s="78" t="s">
        <v>309</v>
      </c>
      <c r="L128" s="252" t="s">
        <v>508</v>
      </c>
      <c r="M128" s="76" t="s">
        <v>1520</v>
      </c>
      <c r="N128" s="190" t="s">
        <v>1327</v>
      </c>
      <c r="O128" s="206" t="str">
        <f>HYPERLINK("https://leetcode.com/problems/coin-change-ii/","https://leetcode.com/problems/coin-change-ii/")</f>
        <v>https://leetcode.com/problems/coin-change-ii/</v>
      </c>
    </row>
    <row r="129" spans="1:15" ht="31.5" customHeight="1" x14ac:dyDescent="0.2">
      <c r="A129" s="7">
        <v>111</v>
      </c>
      <c r="B129" s="7">
        <v>494</v>
      </c>
      <c r="C129" s="13" t="s">
        <v>1517</v>
      </c>
      <c r="D129" s="3" t="s">
        <v>3980</v>
      </c>
      <c r="E129" s="18" t="s">
        <v>28</v>
      </c>
      <c r="F129" s="3" t="s">
        <v>4345</v>
      </c>
      <c r="G129" s="3"/>
      <c r="H129" s="7"/>
      <c r="I129" s="7">
        <f>IFERROR(VLOOKUP(B129,'📊 Problem Tracker'!$B$4:$F$1200,5,FALSE()),"")</f>
        <v>0</v>
      </c>
      <c r="J129" s="3"/>
      <c r="K129" s="3" t="s">
        <v>1518</v>
      </c>
      <c r="L129" s="228" t="s">
        <v>508</v>
      </c>
      <c r="M129" s="7" t="s">
        <v>1520</v>
      </c>
      <c r="N129" s="176" t="s">
        <v>1327</v>
      </c>
      <c r="O129" s="205" t="str">
        <f>HYPERLINK("https://leetcode.com/problems/target-sum/","https://leetcode.com/problems/target-sum/")</f>
        <v>https://leetcode.com/problems/target-sum/</v>
      </c>
    </row>
    <row r="130" spans="1:15" ht="31.5" customHeight="1" x14ac:dyDescent="0.2">
      <c r="A130" s="76">
        <v>112</v>
      </c>
      <c r="B130" s="76">
        <v>97</v>
      </c>
      <c r="C130" s="77" t="s">
        <v>515</v>
      </c>
      <c r="D130" s="78" t="s">
        <v>3980</v>
      </c>
      <c r="E130" s="80" t="s">
        <v>28</v>
      </c>
      <c r="F130" s="78" t="s">
        <v>4263</v>
      </c>
      <c r="G130" s="78"/>
      <c r="H130" s="76"/>
      <c r="I130" s="76">
        <f>IFERROR(VLOOKUP(B130,'📊 Problem Tracker'!$B$4:$F$1200,5,FALSE()),"")</f>
        <v>0</v>
      </c>
      <c r="J130" s="78"/>
      <c r="K130" s="78" t="s">
        <v>50</v>
      </c>
      <c r="L130" s="252" t="s">
        <v>508</v>
      </c>
      <c r="M130" s="76" t="s">
        <v>81</v>
      </c>
      <c r="N130" s="190" t="s">
        <v>81</v>
      </c>
      <c r="O130" s="206" t="str">
        <f>HYPERLINK("https://leetcode.com/problems/interleaving-string/","https://leetcode.com/problems/interleaving-string/")</f>
        <v>https://leetcode.com/problems/interleaving-string/</v>
      </c>
    </row>
    <row r="131" spans="1:15" ht="31.5" customHeight="1" x14ac:dyDescent="0.2">
      <c r="A131" s="7">
        <v>113</v>
      </c>
      <c r="B131" s="7">
        <v>329</v>
      </c>
      <c r="C131" s="13" t="s">
        <v>1226</v>
      </c>
      <c r="D131" s="3" t="s">
        <v>3980</v>
      </c>
      <c r="E131" s="20" t="s">
        <v>42</v>
      </c>
      <c r="F131" s="3" t="s">
        <v>4304</v>
      </c>
      <c r="G131" s="3"/>
      <c r="H131" s="7"/>
      <c r="I131" s="7">
        <f>IFERROR(VLOOKUP(B131,'📊 Problem Tracker'!$B$4:$F$1200,5,FALSE()),"")</f>
        <v>0</v>
      </c>
      <c r="J131" s="3"/>
      <c r="K131" s="3" t="s">
        <v>1227</v>
      </c>
      <c r="L131" s="228" t="s">
        <v>508</v>
      </c>
      <c r="M131" s="7" t="s">
        <v>81</v>
      </c>
      <c r="N131" s="176" t="s">
        <v>81</v>
      </c>
      <c r="O131" s="205" t="str">
        <f>HYPERLINK("https://leetcode.com/problems/longest-increasing-path-in-a-matrix/","https://leetcode.com/problems/longest-increasing-path-in-a-matrix/")</f>
        <v>https://leetcode.com/problems/longest-increasing-path-in-a-matrix/</v>
      </c>
    </row>
    <row r="132" spans="1:15" ht="31.5" customHeight="1" x14ac:dyDescent="0.2">
      <c r="A132" s="76">
        <v>114</v>
      </c>
      <c r="B132" s="76">
        <v>115</v>
      </c>
      <c r="C132" s="77" t="s">
        <v>584</v>
      </c>
      <c r="D132" s="78" t="s">
        <v>3980</v>
      </c>
      <c r="E132" s="81" t="s">
        <v>42</v>
      </c>
      <c r="F132" s="78" t="s">
        <v>4263</v>
      </c>
      <c r="G132" s="78"/>
      <c r="H132" s="76"/>
      <c r="I132" s="76">
        <f>IFERROR(VLOOKUP(B132,'📊 Problem Tracker'!$B$4:$F$1200,5,FALSE()),"")</f>
        <v>0</v>
      </c>
      <c r="J132" s="78"/>
      <c r="K132" s="78" t="s">
        <v>50</v>
      </c>
      <c r="L132" s="252" t="s">
        <v>508</v>
      </c>
      <c r="M132" s="76" t="s">
        <v>81</v>
      </c>
      <c r="N132" s="190" t="s">
        <v>24</v>
      </c>
      <c r="O132" s="206" t="str">
        <f>HYPERLINK("https://leetcode.com/problems/distinct-subsequences/","https://leetcode.com/problems/distinct-subsequences/")</f>
        <v>https://leetcode.com/problems/distinct-subsequences/</v>
      </c>
    </row>
    <row r="133" spans="1:15" ht="31.5" customHeight="1" x14ac:dyDescent="0.2">
      <c r="A133" s="7">
        <v>115</v>
      </c>
      <c r="B133" s="7">
        <v>72</v>
      </c>
      <c r="C133" s="13" t="s">
        <v>406</v>
      </c>
      <c r="D133" s="3" t="s">
        <v>3980</v>
      </c>
      <c r="E133" s="18" t="s">
        <v>28</v>
      </c>
      <c r="F133" s="3" t="s">
        <v>4263</v>
      </c>
      <c r="G133" s="3"/>
      <c r="H133" s="7"/>
      <c r="I133" s="7">
        <f>IFERROR(VLOOKUP(B133,'📊 Problem Tracker'!$B$4:$F$1200,5,FALSE()),"")</f>
        <v>0</v>
      </c>
      <c r="J133" s="3"/>
      <c r="K133" s="3" t="s">
        <v>50</v>
      </c>
      <c r="L133" s="228" t="s">
        <v>408</v>
      </c>
      <c r="M133" s="7" t="s">
        <v>81</v>
      </c>
      <c r="N133" s="176" t="s">
        <v>409</v>
      </c>
      <c r="O133" s="205" t="str">
        <f>HYPERLINK("https://leetcode.com/problems/edit-distance/","https://leetcode.com/problems/edit-distance/")</f>
        <v>https://leetcode.com/problems/edit-distance/</v>
      </c>
    </row>
    <row r="134" spans="1:15" ht="31.5" customHeight="1" x14ac:dyDescent="0.2">
      <c r="A134" s="76">
        <v>116</v>
      </c>
      <c r="B134" s="76">
        <v>312</v>
      </c>
      <c r="C134" s="77" t="s">
        <v>1173</v>
      </c>
      <c r="D134" s="78" t="s">
        <v>3980</v>
      </c>
      <c r="E134" s="81" t="s">
        <v>42</v>
      </c>
      <c r="F134" s="78" t="s">
        <v>4346</v>
      </c>
      <c r="G134" s="78"/>
      <c r="H134" s="76"/>
      <c r="I134" s="76">
        <f>IFERROR(VLOOKUP(B134,'📊 Problem Tracker'!$B$4:$F$1200,5,FALSE()),"")</f>
        <v>0</v>
      </c>
      <c r="J134" s="78"/>
      <c r="K134" s="78" t="s">
        <v>309</v>
      </c>
      <c r="L134" s="252" t="s">
        <v>508</v>
      </c>
      <c r="M134" s="76" t="s">
        <v>1175</v>
      </c>
      <c r="N134" s="190" t="s">
        <v>341</v>
      </c>
      <c r="O134" s="206" t="str">
        <f>HYPERLINK("https://leetcode.com/problems/burst-balloons/","https://leetcode.com/problems/burst-balloons/")</f>
        <v>https://leetcode.com/problems/burst-balloons/</v>
      </c>
    </row>
    <row r="135" spans="1:15" ht="31.5" customHeight="1" x14ac:dyDescent="0.2">
      <c r="A135" s="7">
        <v>117</v>
      </c>
      <c r="B135" s="7">
        <v>10</v>
      </c>
      <c r="C135" s="13" t="s">
        <v>77</v>
      </c>
      <c r="D135" s="3" t="s">
        <v>3980</v>
      </c>
      <c r="E135" s="20" t="s">
        <v>42</v>
      </c>
      <c r="F135" s="3" t="s">
        <v>1042</v>
      </c>
      <c r="G135" s="3" t="s">
        <v>300</v>
      </c>
      <c r="H135" s="7"/>
      <c r="I135" s="7">
        <f>IFERROR(VLOOKUP(B135,'📊 Problem Tracker'!$B$4:$F$1200,5,FALSE()),"")</f>
        <v>0</v>
      </c>
      <c r="J135" s="3"/>
      <c r="K135" s="3" t="s">
        <v>675</v>
      </c>
      <c r="L135" s="228" t="s">
        <v>80</v>
      </c>
      <c r="M135" s="7" t="s">
        <v>81</v>
      </c>
      <c r="N135" s="176" t="s">
        <v>81</v>
      </c>
      <c r="O135" s="191" t="str">
        <f>HYPERLINK("https://leetcode.com/problems/regular-expression-matching/","https://leetcode.com/problems/regular-expression-matching/")</f>
        <v>https://leetcode.com/problems/regular-expression-matching/</v>
      </c>
    </row>
    <row r="136" spans="1:15" ht="19.5" customHeight="1" x14ac:dyDescent="0.2">
      <c r="A136" s="340" t="s">
        <v>4347</v>
      </c>
      <c r="B136" s="292"/>
      <c r="C136" s="292"/>
      <c r="D136" s="292"/>
      <c r="E136" s="292"/>
      <c r="F136" s="292"/>
      <c r="G136" s="292"/>
      <c r="H136" s="292"/>
      <c r="I136" s="292"/>
      <c r="J136" s="292"/>
      <c r="M136" s="52"/>
      <c r="N136" s="52"/>
      <c r="O136" s="215"/>
    </row>
    <row r="137" spans="1:15" ht="31.5" customHeight="1" x14ac:dyDescent="0.2">
      <c r="A137" s="76">
        <v>118</v>
      </c>
      <c r="B137" s="76">
        <v>53</v>
      </c>
      <c r="C137" s="77" t="s">
        <v>308</v>
      </c>
      <c r="D137" s="78" t="s">
        <v>3091</v>
      </c>
      <c r="E137" s="80" t="s">
        <v>28</v>
      </c>
      <c r="F137" s="78" t="s">
        <v>4261</v>
      </c>
      <c r="G137" s="78"/>
      <c r="H137" s="76"/>
      <c r="I137" s="76">
        <f>IFERROR(VLOOKUP(B137,'📊 Problem Tracker'!$B$4:$F$1200,5,FALSE()),"")</f>
        <v>0</v>
      </c>
      <c r="J137" s="78"/>
      <c r="K137" s="78" t="s">
        <v>309</v>
      </c>
      <c r="L137" s="252" t="s">
        <v>311</v>
      </c>
      <c r="M137" s="76" t="s">
        <v>24</v>
      </c>
      <c r="N137" s="190" t="s">
        <v>47</v>
      </c>
      <c r="O137" s="206" t="str">
        <f>HYPERLINK("https://leetcode.com/problems/maximum-subarray/","https://leetcode.com/problems/maximum-subarray/")</f>
        <v>https://leetcode.com/problems/maximum-subarray/</v>
      </c>
    </row>
    <row r="138" spans="1:15" ht="31.5" customHeight="1" x14ac:dyDescent="0.2">
      <c r="A138" s="7">
        <v>119</v>
      </c>
      <c r="B138" s="7">
        <v>55</v>
      </c>
      <c r="C138" s="13" t="s">
        <v>317</v>
      </c>
      <c r="D138" s="3" t="s">
        <v>3091</v>
      </c>
      <c r="E138" s="18" t="s">
        <v>28</v>
      </c>
      <c r="F138" s="3" t="s">
        <v>3091</v>
      </c>
      <c r="G138" s="3"/>
      <c r="H138" s="7"/>
      <c r="I138" s="7">
        <f>IFERROR(VLOOKUP(B138,'📊 Problem Tracker'!$B$4:$F$1200,5,FALSE()),"")</f>
        <v>0</v>
      </c>
      <c r="J138" s="3"/>
      <c r="K138" s="3" t="s">
        <v>318</v>
      </c>
      <c r="L138" s="228" t="s">
        <v>320</v>
      </c>
      <c r="M138" s="7" t="s">
        <v>24</v>
      </c>
      <c r="N138" s="176" t="s">
        <v>47</v>
      </c>
      <c r="O138" s="205" t="str">
        <f>HYPERLINK("https://leetcode.com/problems/jump-game/","https://leetcode.com/problems/jump-game/")</f>
        <v>https://leetcode.com/problems/jump-game/</v>
      </c>
    </row>
    <row r="139" spans="1:15" ht="31.5" customHeight="1" x14ac:dyDescent="0.2">
      <c r="A139" s="76">
        <v>120</v>
      </c>
      <c r="B139" s="76">
        <v>45</v>
      </c>
      <c r="C139" s="77" t="s">
        <v>266</v>
      </c>
      <c r="D139" s="78" t="s">
        <v>3091</v>
      </c>
      <c r="E139" s="80" t="s">
        <v>28</v>
      </c>
      <c r="F139" s="78" t="s">
        <v>4348</v>
      </c>
      <c r="G139" s="78"/>
      <c r="H139" s="76"/>
      <c r="I139" s="76">
        <f>IFERROR(VLOOKUP(B139,'📊 Problem Tracker'!$B$4:$F$1200,5,FALSE()),"")</f>
        <v>0</v>
      </c>
      <c r="J139" s="78"/>
      <c r="K139" s="78" t="s">
        <v>267</v>
      </c>
      <c r="L139" s="252" t="s">
        <v>270</v>
      </c>
      <c r="M139" s="76" t="s">
        <v>24</v>
      </c>
      <c r="N139" s="190" t="s">
        <v>47</v>
      </c>
      <c r="O139" s="206" t="str">
        <f>HYPERLINK("https://leetcode.com/problems/jump-game-ii/","https://leetcode.com/problems/jump-game-ii/")</f>
        <v>https://leetcode.com/problems/jump-game-ii/</v>
      </c>
    </row>
    <row r="140" spans="1:15" ht="31.5" customHeight="1" x14ac:dyDescent="0.2">
      <c r="A140" s="7">
        <v>121</v>
      </c>
      <c r="B140" s="7">
        <v>134</v>
      </c>
      <c r="C140" s="13" t="s">
        <v>651</v>
      </c>
      <c r="D140" s="3" t="s">
        <v>3091</v>
      </c>
      <c r="E140" s="18" t="s">
        <v>28</v>
      </c>
      <c r="F140" s="3" t="s">
        <v>3091</v>
      </c>
      <c r="G140" s="3"/>
      <c r="H140" s="7"/>
      <c r="I140" s="7">
        <f>IFERROR(VLOOKUP(B140,'📊 Problem Tracker'!$B$4:$F$1200,5,FALSE()),"")</f>
        <v>0</v>
      </c>
      <c r="J140" s="3"/>
      <c r="K140" s="3" t="s">
        <v>318</v>
      </c>
      <c r="L140" s="228" t="s">
        <v>4239</v>
      </c>
      <c r="M140" s="7" t="s">
        <v>24</v>
      </c>
      <c r="N140" s="176" t="s">
        <v>47</v>
      </c>
      <c r="O140" s="205" t="str">
        <f>HYPERLINK("https://leetcode.com/problems/gas-station/","https://leetcode.com/problems/gas-station/")</f>
        <v>https://leetcode.com/problems/gas-station/</v>
      </c>
    </row>
    <row r="141" spans="1:15" ht="31.5" customHeight="1" x14ac:dyDescent="0.2">
      <c r="A141" s="76">
        <v>122</v>
      </c>
      <c r="B141" s="76">
        <v>846</v>
      </c>
      <c r="C141" s="77" t="s">
        <v>1974</v>
      </c>
      <c r="D141" s="78" t="s">
        <v>3091</v>
      </c>
      <c r="E141" s="80" t="s">
        <v>28</v>
      </c>
      <c r="F141" s="78" t="s">
        <v>4349</v>
      </c>
      <c r="G141" s="78"/>
      <c r="H141" s="76"/>
      <c r="I141" s="76">
        <f>IFERROR(VLOOKUP(B141,'📊 Problem Tracker'!$B$4:$F$1200,5,FALSE()),"")</f>
        <v>0</v>
      </c>
      <c r="J141" s="78"/>
      <c r="K141" s="78" t="s">
        <v>1975</v>
      </c>
      <c r="L141" s="252" t="s">
        <v>705</v>
      </c>
      <c r="M141" s="76" t="s">
        <v>24</v>
      </c>
      <c r="N141" s="190" t="s">
        <v>24</v>
      </c>
      <c r="O141" s="206" t="str">
        <f>HYPERLINK("https://leetcode.com/problems/hand-of-straights/","https://leetcode.com/problems/hand-of-straights/")</f>
        <v>https://leetcode.com/problems/hand-of-straights/</v>
      </c>
    </row>
    <row r="142" spans="1:15" ht="31.5" customHeight="1" x14ac:dyDescent="0.2">
      <c r="A142" s="7">
        <v>123</v>
      </c>
      <c r="B142" s="7">
        <v>1899</v>
      </c>
      <c r="C142" s="13" t="s">
        <v>2766</v>
      </c>
      <c r="D142" s="3" t="s">
        <v>3091</v>
      </c>
      <c r="E142" s="18" t="s">
        <v>28</v>
      </c>
      <c r="F142" s="3" t="s">
        <v>3091</v>
      </c>
      <c r="G142" s="3"/>
      <c r="H142" s="7"/>
      <c r="I142" s="7">
        <f>IFERROR(VLOOKUP(B142,'📊 Problem Tracker'!$B$4:$F$1200,5,FALSE()),"")</f>
        <v>0</v>
      </c>
      <c r="J142" s="3"/>
      <c r="K142" s="3" t="s">
        <v>318</v>
      </c>
      <c r="L142" s="228" t="s">
        <v>4239</v>
      </c>
      <c r="M142" s="7" t="s">
        <v>24</v>
      </c>
      <c r="N142" s="176" t="s">
        <v>47</v>
      </c>
      <c r="O142" s="205" t="str">
        <f>HYPERLINK("https://leetcode.com/problems/merge-triplets-to-form-target-triplet/","https://leetcode.com/problems/merge-triplets-to-form-target-triplet/")</f>
        <v>https://leetcode.com/problems/merge-triplets-to-form-target-triplet/</v>
      </c>
    </row>
    <row r="143" spans="1:15" ht="31.5" customHeight="1" x14ac:dyDescent="0.2">
      <c r="A143" s="76">
        <v>124</v>
      </c>
      <c r="B143" s="76">
        <v>763</v>
      </c>
      <c r="C143" s="77" t="s">
        <v>1872</v>
      </c>
      <c r="D143" s="78" t="s">
        <v>3091</v>
      </c>
      <c r="E143" s="80" t="s">
        <v>28</v>
      </c>
      <c r="F143" s="78" t="s">
        <v>3091</v>
      </c>
      <c r="G143" s="78" t="s">
        <v>689</v>
      </c>
      <c r="H143" s="76"/>
      <c r="I143" s="76">
        <f>IFERROR(VLOOKUP(B143,'📊 Problem Tracker'!$B$4:$F$1200,5,FALSE()),"")</f>
        <v>0</v>
      </c>
      <c r="J143" s="78"/>
      <c r="K143" s="78" t="s">
        <v>4350</v>
      </c>
      <c r="L143" s="252" t="s">
        <v>690</v>
      </c>
      <c r="M143" s="76" t="s">
        <v>24</v>
      </c>
      <c r="N143" s="190" t="s">
        <v>47</v>
      </c>
      <c r="O143" s="206" t="str">
        <f>HYPERLINK("https://leetcode.com/problems/partition-labels/","https://leetcode.com/problems/partition-labels/")</f>
        <v>https://leetcode.com/problems/partition-labels/</v>
      </c>
    </row>
    <row r="144" spans="1:15" ht="31.5" customHeight="1" x14ac:dyDescent="0.2">
      <c r="A144" s="7">
        <v>125</v>
      </c>
      <c r="B144" s="7">
        <v>678</v>
      </c>
      <c r="C144" s="13" t="s">
        <v>1726</v>
      </c>
      <c r="D144" s="3" t="s">
        <v>3091</v>
      </c>
      <c r="E144" s="18" t="s">
        <v>28</v>
      </c>
      <c r="F144" s="3" t="s">
        <v>4351</v>
      </c>
      <c r="G144" s="3"/>
      <c r="H144" s="7"/>
      <c r="I144" s="7">
        <f>IFERROR(VLOOKUP(B144,'📊 Problem Tracker'!$B$4:$F$1200,5,FALSE()),"")</f>
        <v>0</v>
      </c>
      <c r="J144" s="3"/>
      <c r="K144" s="3" t="s">
        <v>1381</v>
      </c>
      <c r="L144" s="228" t="s">
        <v>542</v>
      </c>
      <c r="M144" s="7" t="s">
        <v>24</v>
      </c>
      <c r="N144" s="176" t="s">
        <v>24</v>
      </c>
      <c r="O144" s="191" t="str">
        <f>HYPERLINK("https://leetcode.com/problems/valid-parenthesis-string/","https://leetcode.com/problems/valid-parenthesis-string/")</f>
        <v>https://leetcode.com/problems/valid-parenthesis-string/</v>
      </c>
    </row>
    <row r="145" spans="1:15" ht="19.5" customHeight="1" x14ac:dyDescent="0.2">
      <c r="A145" s="338" t="s">
        <v>4352</v>
      </c>
      <c r="B145" s="292"/>
      <c r="C145" s="292"/>
      <c r="D145" s="292"/>
      <c r="E145" s="292"/>
      <c r="F145" s="292"/>
      <c r="G145" s="292"/>
      <c r="H145" s="292"/>
      <c r="I145" s="292"/>
      <c r="J145" s="292"/>
      <c r="M145" s="52"/>
      <c r="N145" s="52"/>
      <c r="O145" s="215"/>
    </row>
    <row r="146" spans="1:15" ht="31.5" customHeight="1" x14ac:dyDescent="0.2">
      <c r="A146" s="76">
        <v>126</v>
      </c>
      <c r="B146" s="76">
        <v>57</v>
      </c>
      <c r="C146" s="77" t="s">
        <v>328</v>
      </c>
      <c r="D146" s="78" t="s">
        <v>3547</v>
      </c>
      <c r="E146" s="80" t="s">
        <v>28</v>
      </c>
      <c r="F146" s="78" t="s">
        <v>322</v>
      </c>
      <c r="G146" s="78"/>
      <c r="H146" s="76"/>
      <c r="I146" s="76">
        <f>IFERROR(VLOOKUP(B146,'📊 Problem Tracker'!$B$4:$F$1200,5,FALSE()),"")</f>
        <v>0</v>
      </c>
      <c r="J146" s="78"/>
      <c r="K146" s="78" t="s">
        <v>323</v>
      </c>
      <c r="L146" s="252" t="s">
        <v>331</v>
      </c>
      <c r="M146" s="76" t="s">
        <v>24</v>
      </c>
      <c r="N146" s="190" t="s">
        <v>24</v>
      </c>
      <c r="O146" s="206" t="str">
        <f>HYPERLINK("https://leetcode.com/problems/insert-interval/","https://leetcode.com/problems/insert-interval/")</f>
        <v>https://leetcode.com/problems/insert-interval/</v>
      </c>
    </row>
    <row r="147" spans="1:15" ht="31.5" customHeight="1" x14ac:dyDescent="0.2">
      <c r="A147" s="7">
        <v>127</v>
      </c>
      <c r="B147" s="7">
        <v>56</v>
      </c>
      <c r="C147" s="13" t="s">
        <v>322</v>
      </c>
      <c r="D147" s="3" t="s">
        <v>3547</v>
      </c>
      <c r="E147" s="18" t="s">
        <v>28</v>
      </c>
      <c r="F147" s="3" t="s">
        <v>322</v>
      </c>
      <c r="G147" s="3" t="s">
        <v>4249</v>
      </c>
      <c r="H147" s="7"/>
      <c r="I147" s="7">
        <f>IFERROR(VLOOKUP(B147,'📊 Problem Tracker'!$B$4:$F$1200,5,FALSE()),"")</f>
        <v>0</v>
      </c>
      <c r="J147" s="3"/>
      <c r="K147" s="3" t="s">
        <v>323</v>
      </c>
      <c r="L147" s="228" t="s">
        <v>325</v>
      </c>
      <c r="M147" s="7" t="s">
        <v>326</v>
      </c>
      <c r="N147" s="176" t="s">
        <v>24</v>
      </c>
      <c r="O147" s="205" t="str">
        <f>HYPERLINK("https://leetcode.com/problems/merge-intervals/","https://leetcode.com/problems/merge-intervals/")</f>
        <v>https://leetcode.com/problems/merge-intervals/</v>
      </c>
    </row>
    <row r="148" spans="1:15" ht="31.5" customHeight="1" x14ac:dyDescent="0.2">
      <c r="A148" s="76">
        <v>128</v>
      </c>
      <c r="B148" s="76">
        <v>435</v>
      </c>
      <c r="C148" s="77" t="s">
        <v>1430</v>
      </c>
      <c r="D148" s="78" t="s">
        <v>3547</v>
      </c>
      <c r="E148" s="80" t="s">
        <v>28</v>
      </c>
      <c r="F148" s="78" t="s">
        <v>4315</v>
      </c>
      <c r="G148" s="78"/>
      <c r="H148" s="76"/>
      <c r="I148" s="76">
        <f>IFERROR(VLOOKUP(B148,'📊 Problem Tracker'!$B$4:$F$1200,5,FALSE()),"")</f>
        <v>0</v>
      </c>
      <c r="J148" s="78"/>
      <c r="K148" s="78" t="s">
        <v>1431</v>
      </c>
      <c r="L148" s="252" t="s">
        <v>4239</v>
      </c>
      <c r="M148" s="76" t="s">
        <v>326</v>
      </c>
      <c r="N148" s="190" t="s">
        <v>47</v>
      </c>
      <c r="O148" s="206" t="str">
        <f>HYPERLINK("https://leetcode.com/problems/non-overlapping-intervals/","https://leetcode.com/problems/non-overlapping-intervals/")</f>
        <v>https://leetcode.com/problems/non-overlapping-intervals/</v>
      </c>
    </row>
    <row r="149" spans="1:15" ht="31.5" customHeight="1" x14ac:dyDescent="0.2">
      <c r="A149" s="7">
        <v>129</v>
      </c>
      <c r="B149" s="7">
        <v>252</v>
      </c>
      <c r="C149" s="13" t="s">
        <v>1033</v>
      </c>
      <c r="D149" s="3" t="s">
        <v>3547</v>
      </c>
      <c r="E149" s="21" t="s">
        <v>20</v>
      </c>
      <c r="F149" s="3" t="s">
        <v>322</v>
      </c>
      <c r="G149" s="3" t="s">
        <v>4249</v>
      </c>
      <c r="H149" s="7"/>
      <c r="I149" s="7">
        <f>IFERROR(VLOOKUP(B149,'📊 Problem Tracker'!$B$4:$F$1200,5,FALSE()),"")</f>
        <v>0</v>
      </c>
      <c r="J149" s="3"/>
      <c r="K149" s="3" t="s">
        <v>4172</v>
      </c>
      <c r="L149" s="228" t="s">
        <v>1077</v>
      </c>
      <c r="M149" s="7" t="s">
        <v>326</v>
      </c>
      <c r="N149" s="176" t="s">
        <v>24</v>
      </c>
      <c r="O149" s="205" t="str">
        <f>HYPERLINK("https://leetcode.com/problems/meeting-rooms/","https://leetcode.com/problems/meeting-rooms/")</f>
        <v>https://leetcode.com/problems/meeting-rooms/</v>
      </c>
    </row>
    <row r="150" spans="1:15" ht="31.5" customHeight="1" x14ac:dyDescent="0.2">
      <c r="A150" s="76">
        <v>130</v>
      </c>
      <c r="B150" s="76">
        <v>253</v>
      </c>
      <c r="C150" s="77" t="s">
        <v>1036</v>
      </c>
      <c r="D150" s="78" t="s">
        <v>3547</v>
      </c>
      <c r="E150" s="80" t="s">
        <v>28</v>
      </c>
      <c r="F150" s="78" t="s">
        <v>322</v>
      </c>
      <c r="G150" s="78" t="s">
        <v>4229</v>
      </c>
      <c r="H150" s="76"/>
      <c r="I150" s="76">
        <f>IFERROR(VLOOKUP(B150,'📊 Problem Tracker'!$B$4:$F$1200,5,FALSE()),"")</f>
        <v>0</v>
      </c>
      <c r="J150" s="78"/>
      <c r="K150" s="78" t="s">
        <v>4174</v>
      </c>
      <c r="L150" s="252" t="s">
        <v>959</v>
      </c>
      <c r="M150" s="76" t="s">
        <v>960</v>
      </c>
      <c r="N150" s="190" t="s">
        <v>153</v>
      </c>
      <c r="O150" s="206" t="str">
        <f>HYPERLINK("https://leetcode.com/problems/meeting-rooms-ii/","https://leetcode.com/problems/meeting-rooms-ii/")</f>
        <v>https://leetcode.com/problems/meeting-rooms-ii/</v>
      </c>
    </row>
    <row r="151" spans="1:15" ht="31.5" customHeight="1" x14ac:dyDescent="0.2">
      <c r="A151" s="7">
        <v>131</v>
      </c>
      <c r="B151" s="7">
        <v>1851</v>
      </c>
      <c r="C151" s="13" t="s">
        <v>2730</v>
      </c>
      <c r="D151" s="3" t="s">
        <v>3547</v>
      </c>
      <c r="E151" s="20" t="s">
        <v>42</v>
      </c>
      <c r="F151" s="3" t="s">
        <v>4353</v>
      </c>
      <c r="G151" s="3"/>
      <c r="H151" s="7"/>
      <c r="I151" s="7">
        <f>IFERROR(VLOOKUP(B151,'📊 Problem Tracker'!$B$4:$F$1200,5,FALSE()),"")</f>
        <v>0</v>
      </c>
      <c r="J151" s="3"/>
      <c r="K151" s="3" t="s">
        <v>1037</v>
      </c>
      <c r="L151" s="228" t="s">
        <v>959</v>
      </c>
      <c r="M151" s="7" t="s">
        <v>2733</v>
      </c>
      <c r="N151" s="176" t="s">
        <v>24</v>
      </c>
      <c r="O151" s="191" t="str">
        <f>HYPERLINK("https://leetcode.com/problems/minimum-interval-to-include-each-query/","https://leetcode.com/problems/minimum-interval-to-include-each-query/")</f>
        <v>https://leetcode.com/problems/minimum-interval-to-include-each-query/</v>
      </c>
    </row>
    <row r="152" spans="1:15" ht="19.5" customHeight="1" x14ac:dyDescent="0.2">
      <c r="A152" s="334" t="s">
        <v>4354</v>
      </c>
      <c r="B152" s="292"/>
      <c r="C152" s="292"/>
      <c r="D152" s="292"/>
      <c r="E152" s="292"/>
      <c r="F152" s="292"/>
      <c r="G152" s="292"/>
      <c r="H152" s="292"/>
      <c r="I152" s="292"/>
      <c r="J152" s="292"/>
      <c r="M152" s="52"/>
      <c r="N152" s="52"/>
      <c r="O152" s="215"/>
    </row>
    <row r="153" spans="1:15" ht="31.5" customHeight="1" x14ac:dyDescent="0.2">
      <c r="A153" s="76">
        <v>132</v>
      </c>
      <c r="B153" s="76">
        <v>48</v>
      </c>
      <c r="C153" s="77" t="s">
        <v>282</v>
      </c>
      <c r="D153" s="78" t="s">
        <v>3557</v>
      </c>
      <c r="E153" s="80" t="s">
        <v>28</v>
      </c>
      <c r="F153" s="78" t="s">
        <v>4187</v>
      </c>
      <c r="G153" s="78"/>
      <c r="H153" s="76"/>
      <c r="I153" s="76">
        <f>IFERROR(VLOOKUP(B153,'📊 Problem Tracker'!$B$4:$F$1200,5,FALSE()),"")</f>
        <v>0</v>
      </c>
      <c r="J153" s="78"/>
      <c r="K153" s="78" t="s">
        <v>283</v>
      </c>
      <c r="L153" s="252" t="s">
        <v>286</v>
      </c>
      <c r="M153" s="76" t="s">
        <v>53</v>
      </c>
      <c r="N153" s="190" t="s">
        <v>47</v>
      </c>
      <c r="O153" s="206" t="str">
        <f>HYPERLINK("https://leetcode.com/problems/rotate-image/","https://leetcode.com/problems/rotate-image/")</f>
        <v>https://leetcode.com/problems/rotate-image/</v>
      </c>
    </row>
    <row r="154" spans="1:15" ht="31.5" customHeight="1" x14ac:dyDescent="0.2">
      <c r="A154" s="7">
        <v>133</v>
      </c>
      <c r="B154" s="7">
        <v>54</v>
      </c>
      <c r="C154" s="13" t="s">
        <v>313</v>
      </c>
      <c r="D154" s="3" t="s">
        <v>3557</v>
      </c>
      <c r="E154" s="18" t="s">
        <v>28</v>
      </c>
      <c r="F154" s="3" t="s">
        <v>4262</v>
      </c>
      <c r="G154" s="3"/>
      <c r="H154" s="7"/>
      <c r="I154" s="7">
        <f>IFERROR(VLOOKUP(B154,'📊 Problem Tracker'!$B$4:$F$1200,5,FALSE()),"")</f>
        <v>0</v>
      </c>
      <c r="J154" s="3"/>
      <c r="K154" s="3" t="s">
        <v>283</v>
      </c>
      <c r="L154" s="228" t="s">
        <v>315</v>
      </c>
      <c r="M154" s="7" t="s">
        <v>81</v>
      </c>
      <c r="N154" s="176" t="s">
        <v>47</v>
      </c>
      <c r="O154" s="205" t="str">
        <f>HYPERLINK("https://leetcode.com/problems/spiral-matrix/","https://leetcode.com/problems/spiral-matrix/")</f>
        <v>https://leetcode.com/problems/spiral-matrix/</v>
      </c>
    </row>
    <row r="155" spans="1:15" ht="31.5" customHeight="1" x14ac:dyDescent="0.2">
      <c r="A155" s="76">
        <v>134</v>
      </c>
      <c r="B155" s="76">
        <v>73</v>
      </c>
      <c r="C155" s="77" t="s">
        <v>411</v>
      </c>
      <c r="D155" s="78" t="s">
        <v>3557</v>
      </c>
      <c r="E155" s="80" t="s">
        <v>28</v>
      </c>
      <c r="F155" s="78" t="s">
        <v>4187</v>
      </c>
      <c r="G155" s="78"/>
      <c r="H155" s="76"/>
      <c r="I155" s="76">
        <f>IFERROR(VLOOKUP(B155,'📊 Problem Tracker'!$B$4:$F$1200,5,FALSE()),"")</f>
        <v>0</v>
      </c>
      <c r="J155" s="78"/>
      <c r="K155" s="78" t="s">
        <v>283</v>
      </c>
      <c r="L155" s="252" t="s">
        <v>413</v>
      </c>
      <c r="M155" s="76" t="s">
        <v>81</v>
      </c>
      <c r="N155" s="190" t="s">
        <v>47</v>
      </c>
      <c r="O155" s="206" t="str">
        <f>HYPERLINK("https://leetcode.com/problems/set-matrix-zeroes/","https://leetcode.com/problems/set-matrix-zeroes/")</f>
        <v>https://leetcode.com/problems/set-matrix-zeroes/</v>
      </c>
    </row>
    <row r="156" spans="1:15" ht="31.5" customHeight="1" x14ac:dyDescent="0.2">
      <c r="A156" s="7">
        <v>135</v>
      </c>
      <c r="B156" s="7">
        <v>2013</v>
      </c>
      <c r="C156" s="13" t="s">
        <v>2821</v>
      </c>
      <c r="D156" s="3" t="s">
        <v>3557</v>
      </c>
      <c r="E156" s="18" t="s">
        <v>28</v>
      </c>
      <c r="F156" s="3" t="s">
        <v>4355</v>
      </c>
      <c r="G156" s="3"/>
      <c r="H156" s="7"/>
      <c r="I156" s="7">
        <f>IFERROR(VLOOKUP(B156,'📊 Problem Tracker'!$B$4:$F$1200,5,FALSE()),"")</f>
        <v>0</v>
      </c>
      <c r="J156" s="3"/>
      <c r="K156" s="3" t="s">
        <v>2822</v>
      </c>
      <c r="L156" s="228" t="s">
        <v>705</v>
      </c>
      <c r="M156" s="7" t="s">
        <v>24</v>
      </c>
      <c r="N156" s="176" t="s">
        <v>24</v>
      </c>
      <c r="O156" s="191" t="str">
        <f>HYPERLINK("https://leetcode.com/problems/detect-squares/","https://leetcode.com/problems/detect-squares/")</f>
        <v>https://leetcode.com/problems/detect-squares/</v>
      </c>
    </row>
    <row r="157" spans="1:15" ht="19.5" customHeight="1" x14ac:dyDescent="0.2">
      <c r="A157" s="334" t="s">
        <v>4356</v>
      </c>
      <c r="B157" s="292"/>
      <c r="C157" s="292"/>
      <c r="D157" s="292"/>
      <c r="E157" s="292"/>
      <c r="F157" s="292"/>
      <c r="G157" s="292"/>
      <c r="H157" s="292"/>
      <c r="I157" s="292"/>
      <c r="J157" s="292"/>
      <c r="M157" s="52"/>
      <c r="N157" s="52"/>
      <c r="O157" s="215"/>
    </row>
    <row r="158" spans="1:15" ht="31.5" customHeight="1" x14ac:dyDescent="0.2">
      <c r="A158" s="76">
        <v>136</v>
      </c>
      <c r="B158" s="76">
        <v>136</v>
      </c>
      <c r="C158" s="77" t="s">
        <v>659</v>
      </c>
      <c r="D158" s="78" t="s">
        <v>666</v>
      </c>
      <c r="E158" s="79" t="s">
        <v>20</v>
      </c>
      <c r="F158" s="78" t="s">
        <v>4275</v>
      </c>
      <c r="G158" s="78"/>
      <c r="H158" s="76"/>
      <c r="I158" s="76">
        <f>IFERROR(VLOOKUP(B158,'📊 Problem Tracker'!$B$4:$F$1200,5,FALSE()),"")</f>
        <v>0</v>
      </c>
      <c r="J158" s="78"/>
      <c r="K158" s="78" t="s">
        <v>660</v>
      </c>
      <c r="L158" s="252" t="s">
        <v>663</v>
      </c>
      <c r="M158" s="76" t="s">
        <v>24</v>
      </c>
      <c r="N158" s="190" t="s">
        <v>47</v>
      </c>
      <c r="O158" s="206" t="str">
        <f>HYPERLINK("https://leetcode.com/problems/single-number/","https://leetcode.com/problems/single-number/")</f>
        <v>https://leetcode.com/problems/single-number/</v>
      </c>
    </row>
    <row r="159" spans="1:15" ht="31.5" customHeight="1" x14ac:dyDescent="0.2">
      <c r="A159" s="7">
        <v>137</v>
      </c>
      <c r="B159" s="7">
        <v>191</v>
      </c>
      <c r="C159" s="13" t="s">
        <v>858</v>
      </c>
      <c r="D159" s="3" t="s">
        <v>666</v>
      </c>
      <c r="E159" s="21" t="s">
        <v>20</v>
      </c>
      <c r="F159" s="3" t="s">
        <v>666</v>
      </c>
      <c r="G159" s="3"/>
      <c r="H159" s="7"/>
      <c r="I159" s="7">
        <f>IFERROR(VLOOKUP(B159,'📊 Problem Tracker'!$B$4:$F$1200,5,FALSE()),"")</f>
        <v>0</v>
      </c>
      <c r="J159" s="3"/>
      <c r="K159" s="3" t="s">
        <v>666</v>
      </c>
      <c r="L159" s="228" t="s">
        <v>230</v>
      </c>
      <c r="M159" s="7" t="s">
        <v>47</v>
      </c>
      <c r="N159" s="176" t="s">
        <v>47</v>
      </c>
      <c r="O159" s="205" t="str">
        <f>HYPERLINK("https://leetcode.com/problems/number-of-1-bits/","https://leetcode.com/problems/number-of-1-bits/")</f>
        <v>https://leetcode.com/problems/number-of-1-bits/</v>
      </c>
    </row>
    <row r="160" spans="1:15" ht="31.5" customHeight="1" x14ac:dyDescent="0.2">
      <c r="A160" s="76">
        <v>138</v>
      </c>
      <c r="B160" s="76">
        <v>338</v>
      </c>
      <c r="C160" s="77" t="s">
        <v>1247</v>
      </c>
      <c r="D160" s="78" t="s">
        <v>666</v>
      </c>
      <c r="E160" s="79" t="s">
        <v>20</v>
      </c>
      <c r="F160" s="78" t="s">
        <v>4305</v>
      </c>
      <c r="G160" s="78"/>
      <c r="H160" s="76"/>
      <c r="I160" s="76">
        <f>IFERROR(VLOOKUP(B160,'📊 Problem Tracker'!$B$4:$F$1200,5,FALSE()),"")</f>
        <v>0</v>
      </c>
      <c r="J160" s="78"/>
      <c r="K160" s="78" t="s">
        <v>1248</v>
      </c>
      <c r="L160" s="252" t="s">
        <v>508</v>
      </c>
      <c r="M160" s="76" t="s">
        <v>24</v>
      </c>
      <c r="N160" s="190" t="s">
        <v>24</v>
      </c>
      <c r="O160" s="206" t="str">
        <f>HYPERLINK("https://leetcode.com/problems/counting-bits/","https://leetcode.com/problems/counting-bits/")</f>
        <v>https://leetcode.com/problems/counting-bits/</v>
      </c>
    </row>
    <row r="161" spans="1:15" ht="31.5" customHeight="1" x14ac:dyDescent="0.2">
      <c r="A161" s="7">
        <v>139</v>
      </c>
      <c r="B161" s="7">
        <v>190</v>
      </c>
      <c r="C161" s="13" t="s">
        <v>855</v>
      </c>
      <c r="D161" s="3" t="s">
        <v>666</v>
      </c>
      <c r="E161" s="21" t="s">
        <v>20</v>
      </c>
      <c r="F161" s="3" t="s">
        <v>666</v>
      </c>
      <c r="G161" s="3"/>
      <c r="H161" s="7"/>
      <c r="I161" s="7">
        <f>IFERROR(VLOOKUP(B161,'📊 Problem Tracker'!$B$4:$F$1200,5,FALSE()),"")</f>
        <v>0</v>
      </c>
      <c r="J161" s="3"/>
      <c r="K161" s="3" t="s">
        <v>666</v>
      </c>
      <c r="L161" s="228" t="s">
        <v>230</v>
      </c>
      <c r="M161" s="7" t="s">
        <v>47</v>
      </c>
      <c r="N161" s="176" t="s">
        <v>47</v>
      </c>
      <c r="O161" s="205" t="str">
        <f>HYPERLINK("https://leetcode.com/problems/reverse-bits/","https://leetcode.com/problems/reverse-bits/")</f>
        <v>https://leetcode.com/problems/reverse-bits/</v>
      </c>
    </row>
    <row r="162" spans="1:15" ht="31.5" customHeight="1" x14ac:dyDescent="0.2">
      <c r="A162" s="76">
        <v>140</v>
      </c>
      <c r="B162" s="76">
        <v>268</v>
      </c>
      <c r="C162" s="77" t="s">
        <v>1057</v>
      </c>
      <c r="D162" s="78" t="s">
        <v>666</v>
      </c>
      <c r="E162" s="79" t="s">
        <v>20</v>
      </c>
      <c r="F162" s="78" t="s">
        <v>4294</v>
      </c>
      <c r="G162" s="78"/>
      <c r="H162" s="76"/>
      <c r="I162" s="76">
        <f>IFERROR(VLOOKUP(B162,'📊 Problem Tracker'!$B$4:$F$1200,5,FALSE()),"")</f>
        <v>0</v>
      </c>
      <c r="J162" s="78"/>
      <c r="K162" s="78" t="s">
        <v>1058</v>
      </c>
      <c r="L162" s="252" t="s">
        <v>1061</v>
      </c>
      <c r="M162" s="76" t="s">
        <v>24</v>
      </c>
      <c r="N162" s="190" t="s">
        <v>47</v>
      </c>
      <c r="O162" s="206" t="str">
        <f>HYPERLINK("https://leetcode.com/problems/missing-number/","https://leetcode.com/problems/missing-number/")</f>
        <v>https://leetcode.com/problems/missing-number/</v>
      </c>
    </row>
    <row r="163" spans="1:15" ht="31.5" customHeight="1" x14ac:dyDescent="0.2">
      <c r="A163" s="7">
        <v>141</v>
      </c>
      <c r="B163" s="7">
        <v>371</v>
      </c>
      <c r="C163" s="13" t="s">
        <v>1316</v>
      </c>
      <c r="D163" s="3" t="s">
        <v>666</v>
      </c>
      <c r="E163" s="18" t="s">
        <v>28</v>
      </c>
      <c r="F163" s="3" t="s">
        <v>666</v>
      </c>
      <c r="G163" s="3"/>
      <c r="H163" s="7"/>
      <c r="I163" s="7">
        <f>IFERROR(VLOOKUP(B163,'📊 Problem Tracker'!$B$4:$F$1200,5,FALSE()),"")</f>
        <v>0</v>
      </c>
      <c r="J163" s="3"/>
      <c r="K163" s="3" t="s">
        <v>1317</v>
      </c>
      <c r="L163" s="228" t="s">
        <v>1320</v>
      </c>
      <c r="M163" s="7" t="s">
        <v>47</v>
      </c>
      <c r="N163" s="176" t="s">
        <v>47</v>
      </c>
      <c r="O163" s="205" t="str">
        <f>HYPERLINK("https://leetcode.com/problems/sum-of-two-integers/","https://leetcode.com/problems/sum-of-two-integers/")</f>
        <v>https://leetcode.com/problems/sum-of-two-integers/</v>
      </c>
    </row>
    <row r="164" spans="1:15" ht="31.5" customHeight="1" x14ac:dyDescent="0.2">
      <c r="A164" s="76">
        <v>142</v>
      </c>
      <c r="B164" s="76">
        <v>7</v>
      </c>
      <c r="C164" s="77" t="s">
        <v>61</v>
      </c>
      <c r="D164" s="78" t="s">
        <v>666</v>
      </c>
      <c r="E164" s="80" t="s">
        <v>28</v>
      </c>
      <c r="F164" s="78" t="s">
        <v>62</v>
      </c>
      <c r="G164" s="78"/>
      <c r="H164" s="76"/>
      <c r="I164" s="76">
        <f>IFERROR(VLOOKUP(B164,'📊 Problem Tracker'!$B$4:$F$1200,5,FALSE()),"")</f>
        <v>0</v>
      </c>
      <c r="J164" s="78"/>
      <c r="K164" s="78" t="s">
        <v>62</v>
      </c>
      <c r="L164" s="252" t="s">
        <v>64</v>
      </c>
      <c r="M164" s="76" t="s">
        <v>65</v>
      </c>
      <c r="N164" s="190" t="s">
        <v>47</v>
      </c>
      <c r="O164" s="207" t="str">
        <f>HYPERLINK("https://leetcode.com/problems/reverse-integer/","https://leetcode.com/problems/reverse-integer/")</f>
        <v>https://leetcode.com/problems/reverse-integer/</v>
      </c>
    </row>
  </sheetData>
  <autoFilter ref="A4:O4" xr:uid="{00000000-0001-0000-0C00-000000000000}"/>
  <mergeCells count="20">
    <mergeCell ref="A5:J5"/>
    <mergeCell ref="A1:J2"/>
    <mergeCell ref="A28:J28"/>
    <mergeCell ref="A112:J112"/>
    <mergeCell ref="A152:J152"/>
    <mergeCell ref="A44:J44"/>
    <mergeCell ref="A93:J93"/>
    <mergeCell ref="A83:J83"/>
    <mergeCell ref="A15:J15"/>
    <mergeCell ref="A3:J3"/>
    <mergeCell ref="A21:J21"/>
    <mergeCell ref="A157:J157"/>
    <mergeCell ref="A36:J36"/>
    <mergeCell ref="A124:J124"/>
    <mergeCell ref="A75:J75"/>
    <mergeCell ref="A145:J145"/>
    <mergeCell ref="A105:J105"/>
    <mergeCell ref="A55:J55"/>
    <mergeCell ref="A136:J136"/>
    <mergeCell ref="A71:J71"/>
  </mergeCells>
  <hyperlinks>
    <hyperlink ref="O6" r:id="rId1" display="https://leetcode.com/problems/contains-duplicate/" xr:uid="{00000000-0004-0000-0C00-000000000000}"/>
    <hyperlink ref="O7" r:id="rId2" display="https://leetcode.com/problems/valid-anagram/" xr:uid="{00000000-0004-0000-0C00-000001000000}"/>
    <hyperlink ref="O8" r:id="rId3" display="https://leetcode.com/problems/two-sum/" xr:uid="{00000000-0004-0000-0C00-000002000000}"/>
    <hyperlink ref="O9" r:id="rId4" display="https://leetcode.com/problems/group-anagrams/" xr:uid="{00000000-0004-0000-0C00-000003000000}"/>
    <hyperlink ref="O10" r:id="rId5" display="https://leetcode.com/problems/top-k-frequent-elements/" xr:uid="{00000000-0004-0000-0C00-000004000000}"/>
    <hyperlink ref="O11" r:id="rId6" display="https://leetcode.com/problems/product-of-array-except-self/" xr:uid="{00000000-0004-0000-0C00-000005000000}"/>
    <hyperlink ref="O12" r:id="rId7" display="https://leetcode.com/problems/valid-sudoku/" xr:uid="{00000000-0004-0000-0C00-000006000000}"/>
    <hyperlink ref="O13" r:id="rId8" display="https://leetcode.com/problems/encode-and-decode-strings/" xr:uid="{00000000-0004-0000-0C00-000007000000}"/>
    <hyperlink ref="O14" r:id="rId9" display="https://leetcode.com/problems/longest-consecutive-sequence/" xr:uid="{00000000-0004-0000-0C00-000008000000}"/>
    <hyperlink ref="O16" r:id="rId10" display="https://leetcode.com/problems/valid-palindrome/" xr:uid="{00000000-0004-0000-0C00-000009000000}"/>
    <hyperlink ref="O17" r:id="rId11" display="https://leetcode.com/problems/two-sum-ii-input-array-is-sorted/" xr:uid="{00000000-0004-0000-0C00-00000A000000}"/>
    <hyperlink ref="O18" r:id="rId12" display="https://leetcode.com/problems/3sum/" xr:uid="{00000000-0004-0000-0C00-00000B000000}"/>
    <hyperlink ref="O19" r:id="rId13" display="https://leetcode.com/problems/container-with-most-water/" xr:uid="{00000000-0004-0000-0C00-00000C000000}"/>
    <hyperlink ref="O20" r:id="rId14" display="https://leetcode.com/problems/trapping-rain-water/" xr:uid="{00000000-0004-0000-0C00-00000D000000}"/>
    <hyperlink ref="O22" r:id="rId15" display="https://leetcode.com/problems/best-time-to-buy-and-sell-stock/" xr:uid="{00000000-0004-0000-0C00-00000E000000}"/>
    <hyperlink ref="O23" r:id="rId16" display="https://leetcode.com/problems/longest-substring-without-repeating-characters/" xr:uid="{00000000-0004-0000-0C00-00000F000000}"/>
    <hyperlink ref="O24" r:id="rId17" display="https://leetcode.com/problems/longest-repeating-character-replacement/" xr:uid="{00000000-0004-0000-0C00-000010000000}"/>
    <hyperlink ref="O25" r:id="rId18" display="https://leetcode.com/problems/permutation-in-string/" xr:uid="{00000000-0004-0000-0C00-000011000000}"/>
    <hyperlink ref="O26" r:id="rId19" display="https://leetcode.com/problems/minimum-window-substring/" xr:uid="{00000000-0004-0000-0C00-000012000000}"/>
    <hyperlink ref="O27" r:id="rId20" display="https://leetcode.com/problems/sliding-window-maximum/" xr:uid="{00000000-0004-0000-0C00-000013000000}"/>
    <hyperlink ref="O29" r:id="rId21" display="https://leetcode.com/problems/valid-parentheses/" xr:uid="{00000000-0004-0000-0C00-000014000000}"/>
    <hyperlink ref="O30" r:id="rId22" display="https://leetcode.com/problems/min-stack/" xr:uid="{00000000-0004-0000-0C00-000015000000}"/>
    <hyperlink ref="O31" r:id="rId23" display="https://leetcode.com/problems/evaluate-reverse-polish-notation/" xr:uid="{00000000-0004-0000-0C00-000016000000}"/>
    <hyperlink ref="O32" r:id="rId24" display="https://leetcode.com/problems/generate-parentheses/" xr:uid="{00000000-0004-0000-0C00-000017000000}"/>
    <hyperlink ref="O33" r:id="rId25" display="https://leetcode.com/problems/daily-temperatures/" xr:uid="{00000000-0004-0000-0C00-000018000000}"/>
    <hyperlink ref="O34" r:id="rId26" display="https://leetcode.com/problems/car-fleet/" xr:uid="{00000000-0004-0000-0C00-000019000000}"/>
    <hyperlink ref="O35" r:id="rId27" display="https://leetcode.com/problems/largest-rectangle-in-histogram/" xr:uid="{00000000-0004-0000-0C00-00001A000000}"/>
    <hyperlink ref="O37" r:id="rId28" display="https://leetcode.com/problems/binary-search/" xr:uid="{00000000-0004-0000-0C00-00001B000000}"/>
    <hyperlink ref="O38" r:id="rId29" display="https://leetcode.com/problems/search-a-2d-matrix/" xr:uid="{00000000-0004-0000-0C00-00001C000000}"/>
    <hyperlink ref="O39" r:id="rId30" display="https://leetcode.com/problems/koko-eating-bananas/" xr:uid="{00000000-0004-0000-0C00-00001D000000}"/>
    <hyperlink ref="O40" r:id="rId31" display="https://leetcode.com/problems/find-minimum-in-rotated-sorted-array/" xr:uid="{00000000-0004-0000-0C00-00001E000000}"/>
    <hyperlink ref="O41" r:id="rId32" display="https://leetcode.com/problems/search-in-rotated-sorted-array/" xr:uid="{00000000-0004-0000-0C00-00001F000000}"/>
    <hyperlink ref="O42" r:id="rId33" display="https://leetcode.com/problems/time-based-key-value-store/" xr:uid="{00000000-0004-0000-0C00-000020000000}"/>
    <hyperlink ref="O43" r:id="rId34" display="https://leetcode.com/problems/median-of-two-sorted-arrays/" xr:uid="{00000000-0004-0000-0C00-000021000000}"/>
    <hyperlink ref="O45" r:id="rId35" display="https://leetcode.com/problems/reverse-linked-list/" xr:uid="{00000000-0004-0000-0C00-000022000000}"/>
    <hyperlink ref="O46" r:id="rId36" display="https://leetcode.com/problems/merge-two-sorted-lists/" xr:uid="{00000000-0004-0000-0C00-000023000000}"/>
    <hyperlink ref="O47" r:id="rId37" display="https://leetcode.com/problems/linked-list-cycle/" xr:uid="{00000000-0004-0000-0C00-000024000000}"/>
    <hyperlink ref="O48" r:id="rId38" display="https://leetcode.com/problems/reorder-list/" xr:uid="{00000000-0004-0000-0C00-000025000000}"/>
    <hyperlink ref="O49" r:id="rId39" display="https://leetcode.com/problems/remove-nth-node-from-end-of-list/" xr:uid="{00000000-0004-0000-0C00-000026000000}"/>
    <hyperlink ref="O50" r:id="rId40" display="https://leetcode.com/problems/copy-list-with-random-pointer/" xr:uid="{00000000-0004-0000-0C00-000027000000}"/>
    <hyperlink ref="O51" r:id="rId41" display="https://leetcode.com/problems/find-the-duplicate-number/" xr:uid="{00000000-0004-0000-0C00-000028000000}"/>
    <hyperlink ref="O52" r:id="rId42" display="https://leetcode.com/problems/lru-cache/" xr:uid="{00000000-0004-0000-0C00-000029000000}"/>
    <hyperlink ref="O53" r:id="rId43" display="https://leetcode.com/problems/merge-k-sorted-lists/" xr:uid="{00000000-0004-0000-0C00-00002A000000}"/>
    <hyperlink ref="O54" r:id="rId44" display="https://leetcode.com/problems/reverse-nodes-in-k-group/" xr:uid="{00000000-0004-0000-0C00-00002B000000}"/>
    <hyperlink ref="O56" r:id="rId45" display="https://leetcode.com/problems/invert-binary-tree/" xr:uid="{00000000-0004-0000-0C00-00002C000000}"/>
    <hyperlink ref="O57" r:id="rId46" display="https://leetcode.com/problems/maximum-depth-of-binary-tree/" xr:uid="{00000000-0004-0000-0C00-00002D000000}"/>
    <hyperlink ref="O58" r:id="rId47" display="https://leetcode.com/problems/diameter-of-binary-tree/" xr:uid="{00000000-0004-0000-0C00-00002E000000}"/>
    <hyperlink ref="O59" r:id="rId48" display="https://leetcode.com/problems/balanced-binary-tree/" xr:uid="{00000000-0004-0000-0C00-00002F000000}"/>
    <hyperlink ref="O60" r:id="rId49" display="https://leetcode.com/problems/same-tree/" xr:uid="{00000000-0004-0000-0C00-000030000000}"/>
    <hyperlink ref="O61" r:id="rId50" display="https://leetcode.com/problems/subtree-of-another-tree/" xr:uid="{00000000-0004-0000-0C00-000031000000}"/>
    <hyperlink ref="O62" r:id="rId51" display="https://leetcode.com/problems/lowest-common-ancestor-of-a-binary-search-tree/" xr:uid="{00000000-0004-0000-0C00-000032000000}"/>
    <hyperlink ref="O63" r:id="rId52" display="https://leetcode.com/problems/binary-tree-level-order-traversal/" xr:uid="{00000000-0004-0000-0C00-000033000000}"/>
    <hyperlink ref="O64" r:id="rId53" display="https://leetcode.com/problems/binary-tree-right-side-view/" xr:uid="{00000000-0004-0000-0C00-000034000000}"/>
    <hyperlink ref="O65" r:id="rId54" display="https://leetcode.com/problems/count-good-nodes-in-binary-tree/" xr:uid="{00000000-0004-0000-0C00-000035000000}"/>
    <hyperlink ref="O66" r:id="rId55" display="https://leetcode.com/problems/validate-binary-search-tree/" xr:uid="{00000000-0004-0000-0C00-000036000000}"/>
    <hyperlink ref="O67" r:id="rId56" display="https://leetcode.com/problems/kth-smallest-element-in-a-bst/" xr:uid="{00000000-0004-0000-0C00-000037000000}"/>
    <hyperlink ref="O68" r:id="rId57" display="https://leetcode.com/problems/construct-binary-tree-from-preorder-and-inorder-traversal/" xr:uid="{00000000-0004-0000-0C00-000038000000}"/>
    <hyperlink ref="O69" r:id="rId58" display="https://leetcode.com/problems/binary-tree-maximum-path-sum/" xr:uid="{00000000-0004-0000-0C00-000039000000}"/>
    <hyperlink ref="O70" r:id="rId59" display="https://leetcode.com/problems/serialize-and-deserialize-binary-tree/" xr:uid="{00000000-0004-0000-0C00-00003A000000}"/>
    <hyperlink ref="O72" r:id="rId60" display="https://leetcode.com/problems/implement-trie-prefix-tree/" xr:uid="{00000000-0004-0000-0C00-00003B000000}"/>
    <hyperlink ref="O73" r:id="rId61" display="https://leetcode.com/problems/add-and-search-word-data-structure-design/" xr:uid="{00000000-0004-0000-0C00-00003C000000}"/>
    <hyperlink ref="O74" r:id="rId62" display="https://leetcode.com/problems/word-search-ii/" xr:uid="{00000000-0004-0000-0C00-00003D000000}"/>
    <hyperlink ref="O76" r:id="rId63" display="https://leetcode.com/problems/kth-largest-element-in-a-stream/" xr:uid="{00000000-0004-0000-0C00-00003E000000}"/>
    <hyperlink ref="O77" r:id="rId64" display="https://leetcode.com/problems/last-stone-weight/" xr:uid="{00000000-0004-0000-0C00-00003F000000}"/>
    <hyperlink ref="O78" r:id="rId65" display="https://leetcode.com/problems/k-closest-points-to-origin/" xr:uid="{00000000-0004-0000-0C00-000040000000}"/>
    <hyperlink ref="O79" r:id="rId66" display="https://leetcode.com/problems/kth-largest-element-in-an-array/" xr:uid="{00000000-0004-0000-0C00-000041000000}"/>
    <hyperlink ref="O80" r:id="rId67" display="https://leetcode.com/problems/task-scheduler/" xr:uid="{00000000-0004-0000-0C00-000042000000}"/>
    <hyperlink ref="O81" r:id="rId68" display="https://leetcode.com/problems/design-twitter/" xr:uid="{00000000-0004-0000-0C00-000043000000}"/>
    <hyperlink ref="O82" r:id="rId69" display="https://leetcode.com/problems/find-median-from-data-stream/" xr:uid="{00000000-0004-0000-0C00-000044000000}"/>
    <hyperlink ref="O84" r:id="rId70" display="https://leetcode.com/problems/subsets/" xr:uid="{00000000-0004-0000-0C00-000045000000}"/>
    <hyperlink ref="O85" r:id="rId71" display="https://leetcode.com/problems/combination-sum/" xr:uid="{00000000-0004-0000-0C00-000046000000}"/>
    <hyperlink ref="O86" r:id="rId72" display="https://leetcode.com/problems/combination-sum-ii/" xr:uid="{00000000-0004-0000-0C00-000047000000}"/>
    <hyperlink ref="O87" r:id="rId73" display="https://leetcode.com/problems/permutations/" xr:uid="{00000000-0004-0000-0C00-000048000000}"/>
    <hyperlink ref="O88" r:id="rId74" display="https://leetcode.com/problems/subsets-ii/" xr:uid="{00000000-0004-0000-0C00-000049000000}"/>
    <hyperlink ref="O89" r:id="rId75" display="https://leetcode.com/problems/word-search/" xr:uid="{00000000-0004-0000-0C00-00004A000000}"/>
    <hyperlink ref="O90" r:id="rId76" display="https://leetcode.com/problems/palindrome-partitioning/" xr:uid="{00000000-0004-0000-0C00-00004B000000}"/>
    <hyperlink ref="O91" r:id="rId77" display="https://leetcode.com/problems/letter-combinations-of-a-phone-number/" xr:uid="{00000000-0004-0000-0C00-00004C000000}"/>
    <hyperlink ref="O92" r:id="rId78" display="https://leetcode.com/problems/n-queens/" xr:uid="{00000000-0004-0000-0C00-00004D000000}"/>
    <hyperlink ref="O94" r:id="rId79" display="https://leetcode.com/problems/number-of-islands/" xr:uid="{00000000-0004-0000-0C00-00004E000000}"/>
    <hyperlink ref="O95" r:id="rId80" display="https://leetcode.com/problems/max-area-of-island/" xr:uid="{00000000-0004-0000-0C00-00004F000000}"/>
    <hyperlink ref="O96" r:id="rId81" display="https://leetcode.com/problems/clone-graph/" xr:uid="{00000000-0004-0000-0C00-000050000000}"/>
    <hyperlink ref="O97" r:id="rId82" display="https://leetcode.com/problems/walls-and-gates/" xr:uid="{00000000-0004-0000-0C00-000051000000}"/>
    <hyperlink ref="O98" r:id="rId83" display="https://leetcode.com/problems/rotting-oranges/" xr:uid="{00000000-0004-0000-0C00-000052000000}"/>
    <hyperlink ref="O99" r:id="rId84" display="https://leetcode.com/problems/pacific-atlantic-water-flow/" xr:uid="{00000000-0004-0000-0C00-000053000000}"/>
    <hyperlink ref="O100" r:id="rId85" display="https://leetcode.com/problems/surrounded-regions/" xr:uid="{00000000-0004-0000-0C00-000054000000}"/>
    <hyperlink ref="O101" r:id="rId86" display="https://leetcode.com/problems/course-schedule/" xr:uid="{00000000-0004-0000-0C00-000055000000}"/>
    <hyperlink ref="O102" r:id="rId87" display="https://leetcode.com/problems/course-schedule-ii/" xr:uid="{00000000-0004-0000-0C00-000056000000}"/>
    <hyperlink ref="O103" r:id="rId88" display="https://leetcode.com/problems/alien-dictionary/" xr:uid="{00000000-0004-0000-0C00-000057000000}"/>
    <hyperlink ref="O104" r:id="rId89" display="https://leetcode.com/problems/word-ladder/" xr:uid="{00000000-0004-0000-0C00-000058000000}"/>
    <hyperlink ref="O106" r:id="rId90" display="https://leetcode.com/problems/network-delay-time/" xr:uid="{00000000-0004-0000-0C00-000059000000}"/>
    <hyperlink ref="O107" r:id="rId91" display="https://leetcode.com/problems/min-cost-to-connect-all-points/" xr:uid="{00000000-0004-0000-0C00-00005A000000}"/>
    <hyperlink ref="O108" r:id="rId92" display="https://leetcode.com/problems/swim-in-rising-water/" xr:uid="{00000000-0004-0000-0C00-00005B000000}"/>
    <hyperlink ref="O109" r:id="rId93" display="https://leetcode.com/problems/alien-dictionary/" xr:uid="{00000000-0004-0000-0C00-00005C000000}"/>
    <hyperlink ref="O110" r:id="rId94" display="https://leetcode.com/problems/cheapest-flights-within-k-stops/" xr:uid="{00000000-0004-0000-0C00-00005D000000}"/>
    <hyperlink ref="O111" r:id="rId95" display="https://leetcode.com/problems/reconstruct-itinerary/" xr:uid="{00000000-0004-0000-0C00-00005E000000}"/>
    <hyperlink ref="O113" r:id="rId96" display="https://leetcode.com/problems/climbing-stairs/" xr:uid="{00000000-0004-0000-0C00-00005F000000}"/>
    <hyperlink ref="O114" r:id="rId97" display="https://leetcode.com/problems/min-cost-climbing-stairs/" xr:uid="{00000000-0004-0000-0C00-000060000000}"/>
    <hyperlink ref="O115" r:id="rId98" display="https://leetcode.com/problems/house-robber/" xr:uid="{00000000-0004-0000-0C00-000061000000}"/>
    <hyperlink ref="O116" r:id="rId99" display="https://leetcode.com/problems/house-robber-ii/" xr:uid="{00000000-0004-0000-0C00-000062000000}"/>
    <hyperlink ref="O117" r:id="rId100" display="https://leetcode.com/problems/longest-palindromic-substring/" xr:uid="{00000000-0004-0000-0C00-000063000000}"/>
    <hyperlink ref="O118" r:id="rId101" display="https://leetcode.com/problems/palindromic-substrings/" xr:uid="{00000000-0004-0000-0C00-000064000000}"/>
    <hyperlink ref="O119" r:id="rId102" display="https://leetcode.com/problems/decode-ways/" xr:uid="{00000000-0004-0000-0C00-000065000000}"/>
    <hyperlink ref="O120" r:id="rId103" display="https://leetcode.com/problems/coin-change/" xr:uid="{00000000-0004-0000-0C00-000066000000}"/>
    <hyperlink ref="O121" r:id="rId104" display="https://leetcode.com/problems/maximum-product-subarray/" xr:uid="{00000000-0004-0000-0C00-000067000000}"/>
    <hyperlink ref="O122" r:id="rId105" display="https://leetcode.com/problems/word-break/" xr:uid="{00000000-0004-0000-0C00-000068000000}"/>
    <hyperlink ref="O123" r:id="rId106" display="https://leetcode.com/problems/longest-increasing-subsequence/" xr:uid="{00000000-0004-0000-0C00-000069000000}"/>
    <hyperlink ref="O125" r:id="rId107" display="https://leetcode.com/problems/unique-paths/" xr:uid="{00000000-0004-0000-0C00-00006A000000}"/>
    <hyperlink ref="O126" r:id="rId108" display="https://leetcode.com/problems/longest-common-subsequence/" xr:uid="{00000000-0004-0000-0C00-00006B000000}"/>
    <hyperlink ref="O127" r:id="rId109" display="https://leetcode.com/problems/best-time-to-buy-and-sell-stock-with-cooldown/" xr:uid="{00000000-0004-0000-0C00-00006C000000}"/>
    <hyperlink ref="O128" r:id="rId110" display="https://leetcode.com/problems/coin-change-ii/" xr:uid="{00000000-0004-0000-0C00-00006D000000}"/>
    <hyperlink ref="O129" r:id="rId111" display="https://leetcode.com/problems/target-sum/" xr:uid="{00000000-0004-0000-0C00-00006E000000}"/>
    <hyperlink ref="O130" r:id="rId112" display="https://leetcode.com/problems/interleaving-string/" xr:uid="{00000000-0004-0000-0C00-00006F000000}"/>
    <hyperlink ref="O131" r:id="rId113" display="https://leetcode.com/problems/longest-increasing-path-in-a-matrix/" xr:uid="{00000000-0004-0000-0C00-000070000000}"/>
    <hyperlink ref="O132" r:id="rId114" display="https://leetcode.com/problems/distinct-subsequences/" xr:uid="{00000000-0004-0000-0C00-000071000000}"/>
    <hyperlink ref="O133" r:id="rId115" display="https://leetcode.com/problems/edit-distance/" xr:uid="{00000000-0004-0000-0C00-000072000000}"/>
    <hyperlink ref="O134" r:id="rId116" display="https://leetcode.com/problems/burst-balloons/" xr:uid="{00000000-0004-0000-0C00-000073000000}"/>
    <hyperlink ref="O135" r:id="rId117" display="https://leetcode.com/problems/regular-expression-matching/" xr:uid="{00000000-0004-0000-0C00-000074000000}"/>
    <hyperlink ref="O137" r:id="rId118" display="https://leetcode.com/problems/maximum-subarray/" xr:uid="{00000000-0004-0000-0C00-000075000000}"/>
    <hyperlink ref="O138" r:id="rId119" display="https://leetcode.com/problems/jump-game/" xr:uid="{00000000-0004-0000-0C00-000076000000}"/>
    <hyperlink ref="O139" r:id="rId120" display="https://leetcode.com/problems/jump-game-ii/" xr:uid="{00000000-0004-0000-0C00-000077000000}"/>
    <hyperlink ref="O140" r:id="rId121" display="https://leetcode.com/problems/gas-station/" xr:uid="{00000000-0004-0000-0C00-000078000000}"/>
    <hyperlink ref="O141" r:id="rId122" display="https://leetcode.com/problems/hand-of-straights/" xr:uid="{00000000-0004-0000-0C00-000079000000}"/>
    <hyperlink ref="O142" r:id="rId123" display="https://leetcode.com/problems/merge-triplets-to-form-target-triplet/" xr:uid="{00000000-0004-0000-0C00-00007A000000}"/>
    <hyperlink ref="O143" r:id="rId124" display="https://leetcode.com/problems/partition-labels/" xr:uid="{00000000-0004-0000-0C00-00007B000000}"/>
    <hyperlink ref="O144" r:id="rId125" display="https://leetcode.com/problems/valid-parenthesis-string/" xr:uid="{00000000-0004-0000-0C00-00007C000000}"/>
    <hyperlink ref="O146" r:id="rId126" display="https://leetcode.com/problems/insert-interval/" xr:uid="{00000000-0004-0000-0C00-00007D000000}"/>
    <hyperlink ref="O147" r:id="rId127" display="https://leetcode.com/problems/merge-intervals/" xr:uid="{00000000-0004-0000-0C00-00007E000000}"/>
    <hyperlink ref="O148" r:id="rId128" display="https://leetcode.com/problems/non-overlapping-intervals/" xr:uid="{00000000-0004-0000-0C00-00007F000000}"/>
    <hyperlink ref="O149" r:id="rId129" display="https://leetcode.com/problems/meeting-rooms/" xr:uid="{00000000-0004-0000-0C00-000080000000}"/>
    <hyperlink ref="O150" r:id="rId130" display="https://leetcode.com/problems/meeting-rooms-ii/" xr:uid="{00000000-0004-0000-0C00-000081000000}"/>
    <hyperlink ref="O151" r:id="rId131" display="https://leetcode.com/problems/minimum-interval-to-include-each-query/" xr:uid="{00000000-0004-0000-0C00-000082000000}"/>
    <hyperlink ref="O153" r:id="rId132" display="https://leetcode.com/problems/rotate-image/" xr:uid="{00000000-0004-0000-0C00-000083000000}"/>
    <hyperlink ref="O154" r:id="rId133" display="https://leetcode.com/problems/spiral-matrix/" xr:uid="{00000000-0004-0000-0C00-000084000000}"/>
    <hyperlink ref="O155" r:id="rId134" display="https://leetcode.com/problems/set-matrix-zeroes/" xr:uid="{00000000-0004-0000-0C00-000085000000}"/>
    <hyperlink ref="O156" r:id="rId135" display="https://leetcode.com/problems/detect-squares/" xr:uid="{00000000-0004-0000-0C00-000086000000}"/>
    <hyperlink ref="O158" r:id="rId136" display="https://leetcode.com/problems/single-number/" xr:uid="{00000000-0004-0000-0C00-000087000000}"/>
    <hyperlink ref="O159" r:id="rId137" display="https://leetcode.com/problems/number-of-1-bits/" xr:uid="{00000000-0004-0000-0C00-000088000000}"/>
    <hyperlink ref="O160" r:id="rId138" display="https://leetcode.com/problems/counting-bits/" xr:uid="{00000000-0004-0000-0C00-000089000000}"/>
    <hyperlink ref="O161" r:id="rId139" display="https://leetcode.com/problems/reverse-bits/" xr:uid="{00000000-0004-0000-0C00-00008A000000}"/>
    <hyperlink ref="O162" r:id="rId140" display="https://leetcode.com/problems/missing-number/" xr:uid="{00000000-0004-0000-0C00-00008B000000}"/>
    <hyperlink ref="O163" r:id="rId141" display="https://leetcode.com/problems/sum-of-two-integers/" xr:uid="{00000000-0004-0000-0C00-00008C000000}"/>
    <hyperlink ref="O164" r:id="rId142" display="https://leetcode.com/problems/reverse-integer/" xr:uid="{00000000-0004-0000-0C00-00008D000000}"/>
  </hyperlink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8"/>
  <sheetViews>
    <sheetView showGridLines="0" zoomScaleNormal="100" workbookViewId="0">
      <pane ySplit="4" topLeftCell="A18" activePane="bottomLeft" state="frozen"/>
      <selection pane="bottomLeft" activeCell="A5" sqref="A5"/>
    </sheetView>
  </sheetViews>
  <sheetFormatPr baseColWidth="10" defaultColWidth="8.6640625" defaultRowHeight="15" x14ac:dyDescent="0.2"/>
  <cols>
    <col min="1" max="1" width="4" customWidth="1"/>
    <col min="2" max="2" width="24" customWidth="1"/>
    <col min="3" max="3" width="46" style="52" customWidth="1"/>
    <col min="4" max="4" width="52" style="52" customWidth="1"/>
    <col min="5" max="5" width="56" style="52" customWidth="1"/>
    <col min="6" max="6" width="16" customWidth="1"/>
    <col min="7" max="7" width="46" style="52" customWidth="1"/>
  </cols>
  <sheetData>
    <row r="1" spans="1:7" ht="27.75" customHeight="1" x14ac:dyDescent="0.2">
      <c r="A1" s="350" t="s">
        <v>4357</v>
      </c>
      <c r="B1" s="292"/>
      <c r="C1" s="292"/>
      <c r="D1" s="292"/>
      <c r="E1" s="292"/>
      <c r="F1" s="292"/>
      <c r="G1" s="292"/>
    </row>
    <row r="2" spans="1:7" ht="4.5" customHeight="1" x14ac:dyDescent="0.2">
      <c r="A2" s="292"/>
      <c r="B2" s="292"/>
      <c r="C2" s="292"/>
      <c r="D2" s="292"/>
      <c r="E2" s="292"/>
      <c r="F2" s="292"/>
      <c r="G2" s="292"/>
    </row>
    <row r="3" spans="1:7" ht="18" customHeight="1" x14ac:dyDescent="0.2">
      <c r="A3" s="349" t="s">
        <v>4358</v>
      </c>
      <c r="B3" s="292"/>
      <c r="C3" s="292"/>
      <c r="D3" s="292"/>
      <c r="E3" s="292"/>
      <c r="F3" s="292"/>
      <c r="G3" s="292"/>
    </row>
    <row r="4" spans="1:7" ht="31.5" customHeight="1" x14ac:dyDescent="0.2">
      <c r="A4" s="51" t="s">
        <v>1</v>
      </c>
      <c r="B4" s="51" t="s">
        <v>4359</v>
      </c>
      <c r="C4" s="245" t="s">
        <v>4360</v>
      </c>
      <c r="D4" s="245" t="s">
        <v>4361</v>
      </c>
      <c r="E4" s="245" t="s">
        <v>4362</v>
      </c>
      <c r="F4" s="51" t="s">
        <v>4363</v>
      </c>
      <c r="G4" s="245" t="s">
        <v>4364</v>
      </c>
    </row>
    <row r="5" spans="1:7" ht="66" customHeight="1" x14ac:dyDescent="0.2">
      <c r="A5" s="82">
        <v>1</v>
      </c>
      <c r="B5" s="83" t="s">
        <v>917</v>
      </c>
      <c r="C5" s="253" t="s">
        <v>4365</v>
      </c>
      <c r="D5" s="253" t="s">
        <v>4366</v>
      </c>
      <c r="E5" s="253" t="s">
        <v>4367</v>
      </c>
      <c r="F5" s="82" t="s">
        <v>4368</v>
      </c>
      <c r="G5" s="253" t="s">
        <v>4369</v>
      </c>
    </row>
    <row r="6" spans="1:7" ht="66" customHeight="1" x14ac:dyDescent="0.2">
      <c r="A6" s="84">
        <v>2</v>
      </c>
      <c r="B6" s="85" t="s">
        <v>689</v>
      </c>
      <c r="C6" s="254" t="s">
        <v>4370</v>
      </c>
      <c r="D6" s="254" t="s">
        <v>4371</v>
      </c>
      <c r="E6" s="254" t="s">
        <v>4372</v>
      </c>
      <c r="F6" s="84" t="s">
        <v>4368</v>
      </c>
      <c r="G6" s="254" t="s">
        <v>4373</v>
      </c>
    </row>
    <row r="7" spans="1:7" ht="66" customHeight="1" x14ac:dyDescent="0.2">
      <c r="A7" s="72">
        <v>3</v>
      </c>
      <c r="B7" s="86" t="s">
        <v>4034</v>
      </c>
      <c r="C7" s="250" t="s">
        <v>4374</v>
      </c>
      <c r="D7" s="250" t="s">
        <v>4375</v>
      </c>
      <c r="E7" s="250" t="s">
        <v>4376</v>
      </c>
      <c r="F7" s="72" t="s">
        <v>4377</v>
      </c>
      <c r="G7" s="250" t="s">
        <v>4378</v>
      </c>
    </row>
    <row r="8" spans="1:7" ht="66" customHeight="1" x14ac:dyDescent="0.2">
      <c r="A8" s="87">
        <v>4</v>
      </c>
      <c r="B8" s="88" t="s">
        <v>322</v>
      </c>
      <c r="C8" s="255" t="s">
        <v>4379</v>
      </c>
      <c r="D8" s="255" t="s">
        <v>4380</v>
      </c>
      <c r="E8" s="255" t="s">
        <v>4381</v>
      </c>
      <c r="F8" s="87" t="s">
        <v>28</v>
      </c>
      <c r="G8" s="255" t="s">
        <v>4382</v>
      </c>
    </row>
    <row r="9" spans="1:7" ht="66" customHeight="1" x14ac:dyDescent="0.2">
      <c r="A9" s="89">
        <v>5</v>
      </c>
      <c r="B9" s="90" t="s">
        <v>1699</v>
      </c>
      <c r="C9" s="256" t="s">
        <v>4383</v>
      </c>
      <c r="D9" s="256" t="s">
        <v>4384</v>
      </c>
      <c r="E9" s="256" t="s">
        <v>4385</v>
      </c>
      <c r="F9" s="89" t="s">
        <v>4377</v>
      </c>
      <c r="G9" s="256" t="s">
        <v>4386</v>
      </c>
    </row>
    <row r="10" spans="1:7" ht="66" customHeight="1" x14ac:dyDescent="0.2">
      <c r="A10" s="91">
        <v>6</v>
      </c>
      <c r="B10" s="92" t="s">
        <v>4387</v>
      </c>
      <c r="C10" s="257" t="s">
        <v>4388</v>
      </c>
      <c r="D10" s="257" t="s">
        <v>4389</v>
      </c>
      <c r="E10" s="257" t="s">
        <v>4390</v>
      </c>
      <c r="F10" s="91" t="s">
        <v>4368</v>
      </c>
      <c r="G10" s="257" t="s">
        <v>4391</v>
      </c>
    </row>
    <row r="11" spans="1:7" ht="66" customHeight="1" x14ac:dyDescent="0.2">
      <c r="A11" s="93">
        <v>7</v>
      </c>
      <c r="B11" s="94" t="s">
        <v>4270</v>
      </c>
      <c r="C11" s="258" t="s">
        <v>4392</v>
      </c>
      <c r="D11" s="258" t="s">
        <v>4393</v>
      </c>
      <c r="E11" s="258" t="s">
        <v>4394</v>
      </c>
      <c r="F11" s="93" t="s">
        <v>4377</v>
      </c>
      <c r="G11" s="258" t="s">
        <v>4395</v>
      </c>
    </row>
    <row r="12" spans="1:7" ht="66" customHeight="1" x14ac:dyDescent="0.2">
      <c r="A12" s="95">
        <v>8</v>
      </c>
      <c r="B12" s="96" t="s">
        <v>4256</v>
      </c>
      <c r="C12" s="259" t="s">
        <v>4396</v>
      </c>
      <c r="D12" s="259" t="s">
        <v>4397</v>
      </c>
      <c r="E12" s="259" t="s">
        <v>4398</v>
      </c>
      <c r="F12" s="95" t="s">
        <v>4368</v>
      </c>
      <c r="G12" s="259" t="s">
        <v>4399</v>
      </c>
    </row>
    <row r="13" spans="1:7" ht="66" customHeight="1" x14ac:dyDescent="0.2">
      <c r="A13" s="97">
        <v>9</v>
      </c>
      <c r="B13" s="98" t="s">
        <v>4297</v>
      </c>
      <c r="C13" s="260" t="s">
        <v>4400</v>
      </c>
      <c r="D13" s="260" t="s">
        <v>4401</v>
      </c>
      <c r="E13" s="260" t="s">
        <v>4402</v>
      </c>
      <c r="F13" s="97" t="s">
        <v>4403</v>
      </c>
      <c r="G13" s="260" t="s">
        <v>4404</v>
      </c>
    </row>
    <row r="14" spans="1:7" ht="66" customHeight="1" x14ac:dyDescent="0.2">
      <c r="A14" s="99">
        <v>10</v>
      </c>
      <c r="B14" s="100" t="s">
        <v>4405</v>
      </c>
      <c r="C14" s="261" t="s">
        <v>4406</v>
      </c>
      <c r="D14" s="261" t="s">
        <v>4407</v>
      </c>
      <c r="E14" s="261" t="s">
        <v>4408</v>
      </c>
      <c r="F14" s="99" t="s">
        <v>4377</v>
      </c>
      <c r="G14" s="261" t="s">
        <v>4409</v>
      </c>
    </row>
    <row r="15" spans="1:7" ht="66" customHeight="1" x14ac:dyDescent="0.2">
      <c r="A15" s="101">
        <v>11</v>
      </c>
      <c r="B15" s="102" t="s">
        <v>4255</v>
      </c>
      <c r="C15" s="262" t="s">
        <v>4410</v>
      </c>
      <c r="D15" s="262" t="s">
        <v>4411</v>
      </c>
      <c r="E15" s="262" t="s">
        <v>4412</v>
      </c>
      <c r="F15" s="101" t="s">
        <v>4368</v>
      </c>
      <c r="G15" s="262" t="s">
        <v>4413</v>
      </c>
    </row>
    <row r="16" spans="1:7" ht="66" customHeight="1" x14ac:dyDescent="0.2">
      <c r="A16" s="103">
        <v>12</v>
      </c>
      <c r="B16" s="104" t="s">
        <v>4414</v>
      </c>
      <c r="C16" s="263" t="s">
        <v>4415</v>
      </c>
      <c r="D16" s="263" t="s">
        <v>4416</v>
      </c>
      <c r="E16" s="263" t="s">
        <v>4417</v>
      </c>
      <c r="F16" s="103" t="s">
        <v>4377</v>
      </c>
      <c r="G16" s="263" t="s">
        <v>4418</v>
      </c>
    </row>
    <row r="17" spans="1:7" ht="66" customHeight="1" x14ac:dyDescent="0.2">
      <c r="A17" s="105">
        <v>13</v>
      </c>
      <c r="B17" s="106" t="s">
        <v>4419</v>
      </c>
      <c r="C17" s="264" t="s">
        <v>4420</v>
      </c>
      <c r="D17" s="264" t="s">
        <v>4421</v>
      </c>
      <c r="E17" s="264" t="s">
        <v>4422</v>
      </c>
      <c r="F17" s="105" t="s">
        <v>4403</v>
      </c>
      <c r="G17" s="264" t="s">
        <v>4423</v>
      </c>
    </row>
    <row r="18" spans="1:7" ht="66" customHeight="1" x14ac:dyDescent="0.2">
      <c r="A18" s="107">
        <v>14</v>
      </c>
      <c r="B18" s="108" t="s">
        <v>4282</v>
      </c>
      <c r="C18" s="265" t="s">
        <v>4424</v>
      </c>
      <c r="D18" s="265" t="s">
        <v>4425</v>
      </c>
      <c r="E18" s="265" t="s">
        <v>4426</v>
      </c>
      <c r="F18" s="107" t="s">
        <v>4403</v>
      </c>
      <c r="G18" s="265" t="s">
        <v>4427</v>
      </c>
    </row>
  </sheetData>
  <mergeCells count="2">
    <mergeCell ref="A3:G3"/>
    <mergeCell ref="A1:G2"/>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20"/>
  <sheetViews>
    <sheetView showGridLines="0" tabSelected="1" zoomScaleNormal="100" workbookViewId="0">
      <pane ySplit="5" topLeftCell="A6" activePane="bottomLeft" state="frozen"/>
      <selection pane="bottomLeft" activeCell="F9" sqref="F9"/>
    </sheetView>
  </sheetViews>
  <sheetFormatPr baseColWidth="10" defaultColWidth="8.6640625" defaultRowHeight="15" x14ac:dyDescent="0.2"/>
  <cols>
    <col min="1" max="1" width="4" customWidth="1"/>
    <col min="2" max="2" width="6" customWidth="1"/>
    <col min="3" max="3" width="42" customWidth="1"/>
    <col min="4" max="5" width="10" customWidth="1"/>
    <col min="6" max="6" width="40" customWidth="1"/>
    <col min="7" max="7" width="28" customWidth="1"/>
    <col min="8" max="10" width="14" customWidth="1"/>
    <col min="11" max="11" width="30" customWidth="1"/>
    <col min="12" max="12" width="52" style="52" customWidth="1"/>
    <col min="13" max="13" width="26.6640625" customWidth="1"/>
    <col min="14" max="14" width="33.33203125" customWidth="1"/>
    <col min="15" max="15" width="80" customWidth="1"/>
  </cols>
  <sheetData>
    <row r="1" spans="1:15" ht="30" customHeight="1" x14ac:dyDescent="0.2">
      <c r="A1" s="294" t="s">
        <v>4428</v>
      </c>
      <c r="B1" s="292"/>
      <c r="C1" s="292"/>
      <c r="D1" s="292"/>
      <c r="E1" s="292"/>
      <c r="F1" s="292"/>
      <c r="G1" s="292"/>
      <c r="H1" s="292"/>
      <c r="I1" s="292"/>
      <c r="J1" s="292"/>
      <c r="K1" s="292"/>
    </row>
    <row r="2" spans="1:15" ht="4.5" customHeight="1" x14ac:dyDescent="0.2">
      <c r="A2" s="292"/>
      <c r="B2" s="292"/>
      <c r="C2" s="292"/>
      <c r="D2" s="292"/>
      <c r="E2" s="292"/>
      <c r="F2" s="292"/>
      <c r="G2" s="292"/>
      <c r="H2" s="292"/>
      <c r="I2" s="292"/>
      <c r="J2" s="292"/>
      <c r="K2" s="292"/>
    </row>
    <row r="3" spans="1:15" ht="18" customHeight="1" x14ac:dyDescent="0.2">
      <c r="A3" s="295" t="s">
        <v>4429</v>
      </c>
      <c r="B3" s="292"/>
      <c r="C3" s="292"/>
      <c r="D3" s="292"/>
      <c r="E3" s="292"/>
      <c r="F3" s="292"/>
      <c r="G3" s="292"/>
      <c r="H3" s="292"/>
      <c r="I3" s="292"/>
      <c r="J3" s="292"/>
      <c r="K3" s="292"/>
    </row>
    <row r="4" spans="1:15" ht="15.75" customHeight="1" x14ac:dyDescent="0.2">
      <c r="A4" s="291" t="s">
        <v>5125</v>
      </c>
      <c r="B4" s="292"/>
      <c r="C4" s="292"/>
      <c r="D4" s="292"/>
      <c r="E4" s="292"/>
      <c r="F4" s="292"/>
      <c r="G4" s="292"/>
      <c r="H4" s="292"/>
      <c r="I4" s="292"/>
      <c r="J4" s="292"/>
      <c r="K4" s="292"/>
    </row>
    <row r="5" spans="1:15" ht="31.5" customHeight="1" x14ac:dyDescent="0.2">
      <c r="A5" s="109" t="s">
        <v>1</v>
      </c>
      <c r="B5" s="109" t="s">
        <v>2</v>
      </c>
      <c r="C5" s="109" t="s">
        <v>3</v>
      </c>
      <c r="D5" s="109" t="s">
        <v>4430</v>
      </c>
      <c r="E5" s="109" t="s">
        <v>5</v>
      </c>
      <c r="F5" s="109" t="s">
        <v>4122</v>
      </c>
      <c r="G5" s="109" t="s">
        <v>4242</v>
      </c>
      <c r="H5" s="109" t="s">
        <v>4120</v>
      </c>
      <c r="I5" s="109" t="s">
        <v>7</v>
      </c>
      <c r="J5" s="109" t="s">
        <v>4431</v>
      </c>
      <c r="K5" s="109" t="s">
        <v>13</v>
      </c>
      <c r="L5" s="266" t="s">
        <v>14</v>
      </c>
      <c r="M5" s="109" t="s">
        <v>15</v>
      </c>
      <c r="N5" s="109" t="s">
        <v>16</v>
      </c>
      <c r="O5" s="208" t="s">
        <v>17</v>
      </c>
    </row>
    <row r="6" spans="1:15" ht="31.5" customHeight="1" x14ac:dyDescent="0.2">
      <c r="A6" s="7">
        <v>1</v>
      </c>
      <c r="B6" s="7">
        <v>1</v>
      </c>
      <c r="C6" s="13" t="s">
        <v>18</v>
      </c>
      <c r="D6" s="7" t="s">
        <v>4432</v>
      </c>
      <c r="E6" s="21" t="s">
        <v>20</v>
      </c>
      <c r="F6" s="3" t="s">
        <v>19</v>
      </c>
      <c r="G6" s="3" t="s">
        <v>4244</v>
      </c>
      <c r="H6" s="7">
        <f>IFERROR(VLOOKUP(B6,'📊 Problem Tracker'!$B$4:$F$1200,5,FALSE()),"")</f>
        <v>0</v>
      </c>
      <c r="I6" s="7"/>
      <c r="J6" s="7"/>
      <c r="K6" s="3"/>
      <c r="L6" s="228" t="s">
        <v>23</v>
      </c>
      <c r="M6" s="7" t="s">
        <v>24</v>
      </c>
      <c r="N6" s="176" t="s">
        <v>24</v>
      </c>
      <c r="O6" s="191" t="str">
        <f>HYPERLINK("https://leetcode.com/problems/two-sum/","https://leetcode.com/problems/two-sum/")</f>
        <v>https://leetcode.com/problems/two-sum/</v>
      </c>
    </row>
    <row r="7" spans="1:15" ht="31.5" customHeight="1" x14ac:dyDescent="0.2">
      <c r="A7" s="110">
        <v>2</v>
      </c>
      <c r="B7" s="110">
        <v>2</v>
      </c>
      <c r="C7" s="111" t="s">
        <v>26</v>
      </c>
      <c r="D7" s="110" t="s">
        <v>4433</v>
      </c>
      <c r="E7" s="112" t="s">
        <v>28</v>
      </c>
      <c r="F7" s="113" t="s">
        <v>27</v>
      </c>
      <c r="G7" s="113" t="s">
        <v>127</v>
      </c>
      <c r="H7" s="110">
        <f>IFERROR(VLOOKUP(B7,'📊 Problem Tracker'!$B$4:$F$1200,5,FALSE()),"")</f>
        <v>0</v>
      </c>
      <c r="I7" s="110"/>
      <c r="J7" s="110"/>
      <c r="K7" s="113"/>
      <c r="L7" s="267" t="s">
        <v>31</v>
      </c>
      <c r="M7" s="110" t="s">
        <v>32</v>
      </c>
      <c r="N7" s="179" t="s">
        <v>32</v>
      </c>
      <c r="O7" s="192" t="str">
        <f>HYPERLINK("https://leetcode.com/problems/add-two-numbers/","https://leetcode.com/problems/add-two-numbers/")</f>
        <v>https://leetcode.com/problems/add-two-numbers/</v>
      </c>
    </row>
    <row r="8" spans="1:15" ht="31.5" customHeight="1" x14ac:dyDescent="0.2">
      <c r="A8" s="7">
        <v>3</v>
      </c>
      <c r="B8" s="7">
        <v>3</v>
      </c>
      <c r="C8" s="13" t="s">
        <v>34</v>
      </c>
      <c r="D8" s="7" t="s">
        <v>4434</v>
      </c>
      <c r="E8" s="18" t="s">
        <v>28</v>
      </c>
      <c r="F8" s="3" t="s">
        <v>427</v>
      </c>
      <c r="G8" s="3" t="s">
        <v>917</v>
      </c>
      <c r="H8" s="7">
        <f>IFERROR(VLOOKUP(B8,'📊 Problem Tracker'!$B$4:$F$1200,5,FALSE()),"")</f>
        <v>0</v>
      </c>
      <c r="I8" s="7"/>
      <c r="J8" s="7"/>
      <c r="K8" s="3"/>
      <c r="L8" s="228" t="s">
        <v>37</v>
      </c>
      <c r="M8" s="7" t="s">
        <v>24</v>
      </c>
      <c r="N8" s="176" t="s">
        <v>38</v>
      </c>
      <c r="O8" s="191" t="str">
        <f>HYPERLINK("https://leetcode.com/problems/longest-substring-without-repeating-characters/","https://leetcode.com/problems/longest-substring-without-repeating-characters/")</f>
        <v>https://leetcode.com/problems/longest-substring-without-repeating-characters/</v>
      </c>
    </row>
    <row r="9" spans="1:15" ht="31.5" customHeight="1" x14ac:dyDescent="0.2">
      <c r="A9" s="110">
        <v>4</v>
      </c>
      <c r="B9" s="110">
        <v>4</v>
      </c>
      <c r="C9" s="111" t="s">
        <v>40</v>
      </c>
      <c r="D9" s="110" t="s">
        <v>4435</v>
      </c>
      <c r="E9" s="114" t="s">
        <v>42</v>
      </c>
      <c r="F9" s="113" t="s">
        <v>4237</v>
      </c>
      <c r="G9" s="113" t="s">
        <v>512</v>
      </c>
      <c r="H9" s="110">
        <f>IFERROR(VLOOKUP(B9,'📊 Problem Tracker'!$B$4:$F$1200,5,FALSE()),"")</f>
        <v>0</v>
      </c>
      <c r="I9" s="110"/>
      <c r="J9" s="110"/>
      <c r="K9" s="113"/>
      <c r="L9" s="267" t="s">
        <v>4238</v>
      </c>
      <c r="M9" s="110" t="s">
        <v>46</v>
      </c>
      <c r="N9" s="179" t="s">
        <v>47</v>
      </c>
      <c r="O9" s="192" t="str">
        <f>HYPERLINK("https://leetcode.com/problems/median-of-two-sorted-arrays/","https://leetcode.com/problems/median-of-two-sorted-arrays/")</f>
        <v>https://leetcode.com/problems/median-of-two-sorted-arrays/</v>
      </c>
    </row>
    <row r="10" spans="1:15" ht="31.5" customHeight="1" x14ac:dyDescent="0.2">
      <c r="A10" s="7">
        <v>5</v>
      </c>
      <c r="B10" s="7">
        <v>5</v>
      </c>
      <c r="C10" s="13" t="s">
        <v>49</v>
      </c>
      <c r="D10" s="7" t="s">
        <v>4436</v>
      </c>
      <c r="E10" s="18" t="s">
        <v>28</v>
      </c>
      <c r="F10" s="3" t="s">
        <v>50</v>
      </c>
      <c r="G10" s="3" t="s">
        <v>1042</v>
      </c>
      <c r="H10" s="7">
        <f>IFERROR(VLOOKUP(B10,'📊 Problem Tracker'!$B$4:$F$1200,5,FALSE()),"")</f>
        <v>0</v>
      </c>
      <c r="I10" s="7"/>
      <c r="J10" s="7"/>
      <c r="K10" s="3"/>
      <c r="L10" s="228" t="s">
        <v>52</v>
      </c>
      <c r="M10" s="7" t="s">
        <v>53</v>
      </c>
      <c r="N10" s="176" t="s">
        <v>47</v>
      </c>
      <c r="O10" s="191" t="str">
        <f>HYPERLINK("https://leetcode.com/problems/longest-palindromic-substring/","https://leetcode.com/problems/longest-palindromic-substring/")</f>
        <v>https://leetcode.com/problems/longest-palindromic-substring/</v>
      </c>
    </row>
    <row r="11" spans="1:15" ht="31.5" customHeight="1" x14ac:dyDescent="0.2">
      <c r="A11" s="110">
        <v>6</v>
      </c>
      <c r="B11" s="110">
        <v>6</v>
      </c>
      <c r="C11" s="111" t="s">
        <v>55</v>
      </c>
      <c r="D11" s="110" t="s">
        <v>4437</v>
      </c>
      <c r="E11" s="112" t="s">
        <v>28</v>
      </c>
      <c r="F11" s="113" t="s">
        <v>56</v>
      </c>
      <c r="G11" s="113" t="s">
        <v>98</v>
      </c>
      <c r="H11" s="110">
        <f>IFERROR(VLOOKUP(B11,'📊 Problem Tracker'!$B$4:$F$1200,5,FALSE()),"")</f>
        <v>0</v>
      </c>
      <c r="I11" s="110"/>
      <c r="J11" s="110"/>
      <c r="K11" s="113"/>
      <c r="L11" s="267" t="s">
        <v>59</v>
      </c>
      <c r="M11" s="110" t="s">
        <v>24</v>
      </c>
      <c r="N11" s="179" t="s">
        <v>24</v>
      </c>
      <c r="O11" s="192" t="str">
        <f>HYPERLINK("https://leetcode.com/problems/zigzag-conversion/","https://leetcode.com/problems/zigzag-conversion/")</f>
        <v>https://leetcode.com/problems/zigzag-conversion/</v>
      </c>
    </row>
    <row r="12" spans="1:15" ht="31.5" customHeight="1" x14ac:dyDescent="0.2">
      <c r="A12" s="7">
        <v>7</v>
      </c>
      <c r="B12" s="7">
        <v>7</v>
      </c>
      <c r="C12" s="13" t="s">
        <v>61</v>
      </c>
      <c r="D12" s="7" t="s">
        <v>4438</v>
      </c>
      <c r="E12" s="18" t="s">
        <v>28</v>
      </c>
      <c r="F12" s="3" t="s">
        <v>62</v>
      </c>
      <c r="G12" s="3" t="s">
        <v>62</v>
      </c>
      <c r="H12" s="7">
        <f>IFERROR(VLOOKUP(B12,'📊 Problem Tracker'!$B$4:$F$1200,5,FALSE()),"")</f>
        <v>0</v>
      </c>
      <c r="I12" s="7"/>
      <c r="J12" s="7"/>
      <c r="K12" s="3"/>
      <c r="L12" s="228" t="s">
        <v>64</v>
      </c>
      <c r="M12" s="7" t="s">
        <v>65</v>
      </c>
      <c r="N12" s="176" t="s">
        <v>47</v>
      </c>
      <c r="O12" s="191" t="str">
        <f>HYPERLINK("https://leetcode.com/problems/reverse-integer/","https://leetcode.com/problems/reverse-integer/")</f>
        <v>https://leetcode.com/problems/reverse-integer/</v>
      </c>
    </row>
    <row r="13" spans="1:15" ht="31.5" customHeight="1" x14ac:dyDescent="0.2">
      <c r="A13" s="110">
        <v>8</v>
      </c>
      <c r="B13" s="110">
        <v>8</v>
      </c>
      <c r="C13" s="111" t="s">
        <v>67</v>
      </c>
      <c r="D13" s="110" t="s">
        <v>4439</v>
      </c>
      <c r="E13" s="112" t="s">
        <v>28</v>
      </c>
      <c r="F13" s="113" t="s">
        <v>56</v>
      </c>
      <c r="G13" s="113" t="s">
        <v>4246</v>
      </c>
      <c r="H13" s="110">
        <f>IFERROR(VLOOKUP(B13,'📊 Problem Tracker'!$B$4:$F$1200,5,FALSE()),"")</f>
        <v>0</v>
      </c>
      <c r="I13" s="110"/>
      <c r="J13" s="110"/>
      <c r="K13" s="113"/>
      <c r="L13" s="267" t="s">
        <v>70</v>
      </c>
      <c r="M13" s="110" t="s">
        <v>24</v>
      </c>
      <c r="N13" s="179" t="s">
        <v>47</v>
      </c>
      <c r="O13" s="192" t="str">
        <f>HYPERLINK("https://leetcode.com/problems/string-to-integer-atoi/","https://leetcode.com/problems/string-to-integer-atoi/")</f>
        <v>https://leetcode.com/problems/string-to-integer-atoi/</v>
      </c>
    </row>
    <row r="14" spans="1:15" ht="31.5" customHeight="1" x14ac:dyDescent="0.2">
      <c r="A14" s="7">
        <v>9</v>
      </c>
      <c r="B14" s="7">
        <v>9</v>
      </c>
      <c r="C14" s="13" t="s">
        <v>72</v>
      </c>
      <c r="D14" s="7" t="s">
        <v>4440</v>
      </c>
      <c r="E14" s="21" t="s">
        <v>20</v>
      </c>
      <c r="F14" s="3" t="s">
        <v>62</v>
      </c>
      <c r="G14" s="3" t="s">
        <v>62</v>
      </c>
      <c r="H14" s="7">
        <f>IFERROR(VLOOKUP(B14,'📊 Problem Tracker'!$B$4:$F$1200,5,FALSE()),"")</f>
        <v>0</v>
      </c>
      <c r="I14" s="7"/>
      <c r="J14" s="7"/>
      <c r="K14" s="3"/>
      <c r="L14" s="228" t="s">
        <v>75</v>
      </c>
      <c r="M14" s="7" t="s">
        <v>65</v>
      </c>
      <c r="N14" s="176" t="s">
        <v>47</v>
      </c>
      <c r="O14" s="191" t="str">
        <f>HYPERLINK("https://leetcode.com/problems/palindrome-number/","https://leetcode.com/problems/palindrome-number/")</f>
        <v>https://leetcode.com/problems/palindrome-number/</v>
      </c>
    </row>
    <row r="15" spans="1:15" ht="31.5" customHeight="1" x14ac:dyDescent="0.2">
      <c r="A15" s="110">
        <v>10</v>
      </c>
      <c r="B15" s="110">
        <v>10</v>
      </c>
      <c r="C15" s="111" t="s">
        <v>77</v>
      </c>
      <c r="D15" s="110" t="s">
        <v>4441</v>
      </c>
      <c r="E15" s="114" t="s">
        <v>42</v>
      </c>
      <c r="F15" s="113" t="s">
        <v>675</v>
      </c>
      <c r="G15" s="113" t="s">
        <v>1042</v>
      </c>
      <c r="H15" s="110">
        <f>IFERROR(VLOOKUP(B15,'📊 Problem Tracker'!$B$4:$F$1200,5,FALSE()),"")</f>
        <v>0</v>
      </c>
      <c r="I15" s="110"/>
      <c r="J15" s="110"/>
      <c r="K15" s="113"/>
      <c r="L15" s="267" t="s">
        <v>80</v>
      </c>
      <c r="M15" s="110" t="s">
        <v>81</v>
      </c>
      <c r="N15" s="179" t="s">
        <v>81</v>
      </c>
      <c r="O15" s="192" t="str">
        <f>HYPERLINK("https://leetcode.com/problems/regular-expression-matching/","https://leetcode.com/problems/regular-expression-matching/")</f>
        <v>https://leetcode.com/problems/regular-expression-matching/</v>
      </c>
    </row>
    <row r="16" spans="1:15" ht="31.5" customHeight="1" x14ac:dyDescent="0.2">
      <c r="A16" s="7">
        <v>11</v>
      </c>
      <c r="B16" s="7">
        <v>11</v>
      </c>
      <c r="C16" s="13" t="s">
        <v>83</v>
      </c>
      <c r="D16" s="7" t="s">
        <v>4442</v>
      </c>
      <c r="E16" s="18" t="s">
        <v>28</v>
      </c>
      <c r="F16" s="3" t="s">
        <v>84</v>
      </c>
      <c r="G16" s="3" t="s">
        <v>689</v>
      </c>
      <c r="H16" s="7">
        <f>IFERROR(VLOOKUP(B16,'📊 Problem Tracker'!$B$4:$F$1200,5,FALSE()),"")</f>
        <v>0</v>
      </c>
      <c r="I16" s="7"/>
      <c r="J16" s="7"/>
      <c r="K16" s="3"/>
      <c r="L16" s="228" t="s">
        <v>86</v>
      </c>
      <c r="M16" s="7" t="s">
        <v>24</v>
      </c>
      <c r="N16" s="176" t="s">
        <v>47</v>
      </c>
      <c r="O16" s="191" t="str">
        <f>HYPERLINK("https://leetcode.com/problems/container-with-most-water/","https://leetcode.com/problems/container-with-most-water/")</f>
        <v>https://leetcode.com/problems/container-with-most-water/</v>
      </c>
    </row>
    <row r="17" spans="1:15" ht="31.5" customHeight="1" x14ac:dyDescent="0.2">
      <c r="A17" s="110">
        <v>12</v>
      </c>
      <c r="B17" s="110">
        <v>12</v>
      </c>
      <c r="C17" s="111" t="s">
        <v>88</v>
      </c>
      <c r="D17" s="110" t="s">
        <v>4443</v>
      </c>
      <c r="E17" s="112" t="s">
        <v>28</v>
      </c>
      <c r="F17" s="113" t="s">
        <v>56</v>
      </c>
      <c r="G17" s="113" t="s">
        <v>62</v>
      </c>
      <c r="H17" s="110">
        <f>IFERROR(VLOOKUP(B17,'📊 Problem Tracker'!$B$4:$F$1200,5,FALSE()),"")</f>
        <v>0</v>
      </c>
      <c r="I17" s="110"/>
      <c r="J17" s="110"/>
      <c r="K17" s="113"/>
      <c r="L17" s="267" t="s">
        <v>91</v>
      </c>
      <c r="M17" s="110" t="s">
        <v>47</v>
      </c>
      <c r="N17" s="179" t="s">
        <v>47</v>
      </c>
      <c r="O17" s="192" t="str">
        <f>HYPERLINK("https://leetcode.com/problems/integer-to-roman/","https://leetcode.com/problems/integer-to-roman/")</f>
        <v>https://leetcode.com/problems/integer-to-roman/</v>
      </c>
    </row>
    <row r="18" spans="1:15" ht="31.5" customHeight="1" x14ac:dyDescent="0.2">
      <c r="A18" s="7">
        <v>13</v>
      </c>
      <c r="B18" s="7">
        <v>13</v>
      </c>
      <c r="C18" s="13" t="s">
        <v>93</v>
      </c>
      <c r="D18" s="7" t="s">
        <v>4444</v>
      </c>
      <c r="E18" s="21" t="s">
        <v>20</v>
      </c>
      <c r="F18" s="3" t="s">
        <v>56</v>
      </c>
      <c r="G18" s="3" t="s">
        <v>62</v>
      </c>
      <c r="H18" s="7">
        <f>IFERROR(VLOOKUP(B18,'📊 Problem Tracker'!$B$4:$F$1200,5,FALSE()),"")</f>
        <v>0</v>
      </c>
      <c r="I18" s="7"/>
      <c r="J18" s="7"/>
      <c r="K18" s="3"/>
      <c r="L18" s="228" t="s">
        <v>95</v>
      </c>
      <c r="M18" s="7" t="s">
        <v>24</v>
      </c>
      <c r="N18" s="176" t="s">
        <v>47</v>
      </c>
      <c r="O18" s="191" t="str">
        <f>HYPERLINK("https://leetcode.com/problems/roman-to-integer/","https://leetcode.com/problems/roman-to-integer/")</f>
        <v>https://leetcode.com/problems/roman-to-integer/</v>
      </c>
    </row>
    <row r="19" spans="1:15" ht="31.5" customHeight="1" x14ac:dyDescent="0.2">
      <c r="A19" s="110">
        <v>14</v>
      </c>
      <c r="B19" s="110">
        <v>14</v>
      </c>
      <c r="C19" s="111" t="s">
        <v>97</v>
      </c>
      <c r="D19" s="110" t="s">
        <v>4445</v>
      </c>
      <c r="E19" s="115" t="s">
        <v>20</v>
      </c>
      <c r="F19" s="113" t="s">
        <v>98</v>
      </c>
      <c r="G19" s="113" t="s">
        <v>98</v>
      </c>
      <c r="H19" s="110">
        <f>IFERROR(VLOOKUP(B19,'📊 Problem Tracker'!$B$4:$F$1200,5,FALSE()),"")</f>
        <v>0</v>
      </c>
      <c r="I19" s="110"/>
      <c r="J19" s="110"/>
      <c r="K19" s="113"/>
      <c r="L19" s="267" t="s">
        <v>100</v>
      </c>
      <c r="M19" s="110" t="s">
        <v>101</v>
      </c>
      <c r="N19" s="179" t="s">
        <v>47</v>
      </c>
      <c r="O19" s="192" t="str">
        <f>HYPERLINK("https://leetcode.com/problems/longest-common-prefix/","https://leetcode.com/problems/longest-common-prefix/")</f>
        <v>https://leetcode.com/problems/longest-common-prefix/</v>
      </c>
    </row>
    <row r="20" spans="1:15" ht="31.5" customHeight="1" x14ac:dyDescent="0.2">
      <c r="A20" s="7">
        <v>15</v>
      </c>
      <c r="B20" s="7">
        <v>15</v>
      </c>
      <c r="C20" s="13" t="s">
        <v>103</v>
      </c>
      <c r="D20" s="7" t="s">
        <v>4446</v>
      </c>
      <c r="E20" s="18" t="s">
        <v>28</v>
      </c>
      <c r="F20" s="3" t="s">
        <v>84</v>
      </c>
      <c r="G20" s="3" t="s">
        <v>689</v>
      </c>
      <c r="H20" s="7">
        <f>IFERROR(VLOOKUP(B20,'📊 Problem Tracker'!$B$4:$F$1200,5,FALSE()),"")</f>
        <v>0</v>
      </c>
      <c r="I20" s="7"/>
      <c r="J20" s="7"/>
      <c r="K20" s="3"/>
      <c r="L20" s="228" t="s">
        <v>106</v>
      </c>
      <c r="M20" s="7" t="s">
        <v>53</v>
      </c>
      <c r="N20" s="176" t="s">
        <v>47</v>
      </c>
      <c r="O20" s="191" t="str">
        <f>HYPERLINK("https://leetcode.com/problems/3sum/","https://leetcode.com/problems/3sum/")</f>
        <v>https://leetcode.com/problems/3sum/</v>
      </c>
    </row>
    <row r="21" spans="1:15" ht="31.5" customHeight="1" x14ac:dyDescent="0.2">
      <c r="A21" s="110">
        <v>16</v>
      </c>
      <c r="B21" s="110">
        <v>16</v>
      </c>
      <c r="C21" s="111" t="s">
        <v>108</v>
      </c>
      <c r="D21" s="110" t="s">
        <v>4447</v>
      </c>
      <c r="E21" s="112" t="s">
        <v>28</v>
      </c>
      <c r="F21" s="113" t="s">
        <v>1110</v>
      </c>
      <c r="G21" s="113" t="s">
        <v>689</v>
      </c>
      <c r="H21" s="110">
        <f>IFERROR(VLOOKUP(B21,'📊 Problem Tracker'!$B$4:$F$1200,5,FALSE()),"")</f>
        <v>0</v>
      </c>
      <c r="I21" s="110"/>
      <c r="J21" s="110"/>
      <c r="K21" s="113"/>
      <c r="L21" s="267" t="s">
        <v>111</v>
      </c>
      <c r="M21" s="110" t="s">
        <v>53</v>
      </c>
      <c r="N21" s="179" t="s">
        <v>47</v>
      </c>
      <c r="O21" s="192" t="str">
        <f>HYPERLINK("https://leetcode.com/problems/3sum-closest/","https://leetcode.com/problems/3sum-closest/")</f>
        <v>https://leetcode.com/problems/3sum-closest/</v>
      </c>
    </row>
    <row r="22" spans="1:15" ht="31.5" customHeight="1" x14ac:dyDescent="0.2">
      <c r="A22" s="7">
        <v>17</v>
      </c>
      <c r="B22" s="7">
        <v>17</v>
      </c>
      <c r="C22" s="13" t="s">
        <v>113</v>
      </c>
      <c r="D22" s="7" t="s">
        <v>4448</v>
      </c>
      <c r="E22" s="18" t="s">
        <v>28</v>
      </c>
      <c r="F22" s="3" t="s">
        <v>114</v>
      </c>
      <c r="G22" s="3" t="s">
        <v>300</v>
      </c>
      <c r="H22" s="7">
        <f>IFERROR(VLOOKUP(B22,'📊 Problem Tracker'!$B$4:$F$1200,5,FALSE()),"")</f>
        <v>0</v>
      </c>
      <c r="I22" s="7"/>
      <c r="J22" s="7"/>
      <c r="K22" s="3"/>
      <c r="L22" s="228" t="s">
        <v>117</v>
      </c>
      <c r="M22" s="7" t="s">
        <v>118</v>
      </c>
      <c r="N22" s="176" t="s">
        <v>24</v>
      </c>
      <c r="O22" s="191" t="str">
        <f>HYPERLINK("https://leetcode.com/problems/letter-combinations-of-a-phone-number/","https://leetcode.com/problems/letter-combinations-of-a-phone-number/")</f>
        <v>https://leetcode.com/problems/letter-combinations-of-a-phone-number/</v>
      </c>
    </row>
    <row r="23" spans="1:15" ht="31.5" customHeight="1" x14ac:dyDescent="0.2">
      <c r="A23" s="110">
        <v>18</v>
      </c>
      <c r="B23" s="110">
        <v>18</v>
      </c>
      <c r="C23" s="111" t="s">
        <v>120</v>
      </c>
      <c r="D23" s="110" t="s">
        <v>4449</v>
      </c>
      <c r="E23" s="112" t="s">
        <v>28</v>
      </c>
      <c r="F23" s="113" t="s">
        <v>84</v>
      </c>
      <c r="G23" s="113" t="s">
        <v>689</v>
      </c>
      <c r="H23" s="110">
        <f>IFERROR(VLOOKUP(B23,'📊 Problem Tracker'!$B$4:$F$1200,5,FALSE()),"")</f>
        <v>0</v>
      </c>
      <c r="I23" s="110"/>
      <c r="J23" s="110"/>
      <c r="K23" s="113"/>
      <c r="L23" s="267" t="s">
        <v>123</v>
      </c>
      <c r="M23" s="110" t="s">
        <v>124</v>
      </c>
      <c r="N23" s="179" t="s">
        <v>47</v>
      </c>
      <c r="O23" s="192" t="str">
        <f>HYPERLINK("https://leetcode.com/problems/4sum/","https://leetcode.com/problems/4sum/")</f>
        <v>https://leetcode.com/problems/4sum/</v>
      </c>
    </row>
    <row r="24" spans="1:15" ht="31.5" customHeight="1" x14ac:dyDescent="0.2">
      <c r="A24" s="7">
        <v>19</v>
      </c>
      <c r="B24" s="7">
        <v>19</v>
      </c>
      <c r="C24" s="13" t="s">
        <v>126</v>
      </c>
      <c r="D24" s="7" t="s">
        <v>4450</v>
      </c>
      <c r="E24" s="18" t="s">
        <v>28</v>
      </c>
      <c r="F24" s="3" t="s">
        <v>679</v>
      </c>
      <c r="G24" s="3" t="s">
        <v>127</v>
      </c>
      <c r="H24" s="7">
        <f>IFERROR(VLOOKUP(B24,'📊 Problem Tracker'!$B$4:$F$1200,5,FALSE()),"")</f>
        <v>0</v>
      </c>
      <c r="I24" s="7"/>
      <c r="J24" s="7"/>
      <c r="K24" s="3"/>
      <c r="L24" s="228" t="s">
        <v>130</v>
      </c>
      <c r="M24" s="7" t="s">
        <v>24</v>
      </c>
      <c r="N24" s="176" t="s">
        <v>47</v>
      </c>
      <c r="O24" s="191" t="str">
        <f>HYPERLINK("https://leetcode.com/problems/remove-nth-node-from-end-of-list/","https://leetcode.com/problems/remove-nth-node-from-end-of-list/")</f>
        <v>https://leetcode.com/problems/remove-nth-node-from-end-of-list/</v>
      </c>
    </row>
    <row r="25" spans="1:15" ht="31.5" customHeight="1" x14ac:dyDescent="0.2">
      <c r="A25" s="110">
        <v>20</v>
      </c>
      <c r="B25" s="110">
        <v>20</v>
      </c>
      <c r="C25" s="111" t="s">
        <v>132</v>
      </c>
      <c r="D25" s="110" t="s">
        <v>4451</v>
      </c>
      <c r="E25" s="115" t="s">
        <v>20</v>
      </c>
      <c r="F25" s="113" t="s">
        <v>133</v>
      </c>
      <c r="G25" s="113" t="s">
        <v>540</v>
      </c>
      <c r="H25" s="110">
        <f>IFERROR(VLOOKUP(B25,'📊 Problem Tracker'!$B$4:$F$1200,5,FALSE()),"")</f>
        <v>0</v>
      </c>
      <c r="I25" s="110"/>
      <c r="J25" s="110"/>
      <c r="K25" s="113"/>
      <c r="L25" s="267" t="s">
        <v>135</v>
      </c>
      <c r="M25" s="110" t="s">
        <v>24</v>
      </c>
      <c r="N25" s="179" t="s">
        <v>24</v>
      </c>
      <c r="O25" s="192" t="str">
        <f>HYPERLINK("https://leetcode.com/problems/valid-parentheses/","https://leetcode.com/problems/valid-parentheses/")</f>
        <v>https://leetcode.com/problems/valid-parentheses/</v>
      </c>
    </row>
    <row r="26" spans="1:15" ht="31.5" customHeight="1" x14ac:dyDescent="0.2">
      <c r="A26" s="7">
        <v>21</v>
      </c>
      <c r="B26" s="7">
        <v>21</v>
      </c>
      <c r="C26" s="13" t="s">
        <v>137</v>
      </c>
      <c r="D26" s="7" t="s">
        <v>4452</v>
      </c>
      <c r="E26" s="21" t="s">
        <v>20</v>
      </c>
      <c r="F26" s="3" t="s">
        <v>127</v>
      </c>
      <c r="G26" s="3" t="s">
        <v>127</v>
      </c>
      <c r="H26" s="7">
        <f>IFERROR(VLOOKUP(B26,'📊 Problem Tracker'!$B$4:$F$1200,5,FALSE()),"")</f>
        <v>0</v>
      </c>
      <c r="I26" s="7"/>
      <c r="J26" s="7"/>
      <c r="K26" s="3"/>
      <c r="L26" s="228" t="s">
        <v>139</v>
      </c>
      <c r="M26" s="7" t="s">
        <v>140</v>
      </c>
      <c r="N26" s="176" t="s">
        <v>141</v>
      </c>
      <c r="O26" s="191" t="str">
        <f>HYPERLINK("https://leetcode.com/problems/merge-two-sorted-lists/","https://leetcode.com/problems/merge-two-sorted-lists/")</f>
        <v>https://leetcode.com/problems/merge-two-sorted-lists/</v>
      </c>
    </row>
    <row r="27" spans="1:15" ht="31.5" customHeight="1" x14ac:dyDescent="0.2">
      <c r="A27" s="110">
        <v>22</v>
      </c>
      <c r="B27" s="110">
        <v>22</v>
      </c>
      <c r="C27" s="111" t="s">
        <v>143</v>
      </c>
      <c r="D27" s="110" t="s">
        <v>4453</v>
      </c>
      <c r="E27" s="112" t="s">
        <v>28</v>
      </c>
      <c r="F27" s="113" t="s">
        <v>4251</v>
      </c>
      <c r="G27" s="113" t="s">
        <v>300</v>
      </c>
      <c r="H27" s="110">
        <f>IFERROR(VLOOKUP(B27,'📊 Problem Tracker'!$B$4:$F$1200,5,FALSE()),"")</f>
        <v>0</v>
      </c>
      <c r="I27" s="110"/>
      <c r="J27" s="110"/>
      <c r="K27" s="113"/>
      <c r="L27" s="267" t="s">
        <v>145</v>
      </c>
      <c r="M27" s="110" t="s">
        <v>146</v>
      </c>
      <c r="N27" s="179" t="s">
        <v>24</v>
      </c>
      <c r="O27" s="192" t="str">
        <f>HYPERLINK("https://leetcode.com/problems/generate-parentheses/","https://leetcode.com/problems/generate-parentheses/")</f>
        <v>https://leetcode.com/problems/generate-parentheses/</v>
      </c>
    </row>
    <row r="28" spans="1:15" ht="31.5" customHeight="1" x14ac:dyDescent="0.2">
      <c r="A28" s="7">
        <v>23</v>
      </c>
      <c r="B28" s="7">
        <v>23</v>
      </c>
      <c r="C28" s="13" t="s">
        <v>148</v>
      </c>
      <c r="D28" s="7" t="s">
        <v>4454</v>
      </c>
      <c r="E28" s="20" t="s">
        <v>42</v>
      </c>
      <c r="F28" s="3" t="s">
        <v>149</v>
      </c>
      <c r="G28" s="3" t="s">
        <v>4455</v>
      </c>
      <c r="H28" s="7">
        <f>IFERROR(VLOOKUP(B28,'📊 Problem Tracker'!$B$4:$F$1200,5,FALSE()),"")</f>
        <v>0</v>
      </c>
      <c r="I28" s="7"/>
      <c r="J28" s="7"/>
      <c r="K28" s="3"/>
      <c r="L28" s="228" t="s">
        <v>151</v>
      </c>
      <c r="M28" s="7" t="s">
        <v>152</v>
      </c>
      <c r="N28" s="176" t="s">
        <v>153</v>
      </c>
      <c r="O28" s="191" t="str">
        <f>HYPERLINK("https://leetcode.com/problems/merge-k-sorted-lists/","https://leetcode.com/problems/merge-k-sorted-lists/")</f>
        <v>https://leetcode.com/problems/merge-k-sorted-lists/</v>
      </c>
    </row>
    <row r="29" spans="1:15" ht="31.5" customHeight="1" x14ac:dyDescent="0.2">
      <c r="A29" s="110">
        <v>24</v>
      </c>
      <c r="B29" s="110">
        <v>24</v>
      </c>
      <c r="C29" s="111" t="s">
        <v>155</v>
      </c>
      <c r="D29" s="110" t="s">
        <v>4456</v>
      </c>
      <c r="E29" s="112" t="s">
        <v>28</v>
      </c>
      <c r="F29" s="113" t="s">
        <v>127</v>
      </c>
      <c r="G29" s="113" t="s">
        <v>127</v>
      </c>
      <c r="H29" s="110">
        <f>IFERROR(VLOOKUP(B29,'📊 Problem Tracker'!$B$4:$F$1200,5,FALSE()),"")</f>
        <v>0</v>
      </c>
      <c r="I29" s="110"/>
      <c r="J29" s="110"/>
      <c r="K29" s="113"/>
      <c r="L29" s="267" t="s">
        <v>158</v>
      </c>
      <c r="M29" s="110" t="s">
        <v>24</v>
      </c>
      <c r="N29" s="179" t="s">
        <v>47</v>
      </c>
      <c r="O29" s="192" t="str">
        <f>HYPERLINK("https://leetcode.com/problems/swap-nodes-in-pairs/","https://leetcode.com/problems/swap-nodes-in-pairs/")</f>
        <v>https://leetcode.com/problems/swap-nodes-in-pairs/</v>
      </c>
    </row>
    <row r="30" spans="1:15" ht="31.5" customHeight="1" x14ac:dyDescent="0.2">
      <c r="A30" s="7">
        <v>25</v>
      </c>
      <c r="B30" s="7">
        <v>25</v>
      </c>
      <c r="C30" s="13" t="s">
        <v>160</v>
      </c>
      <c r="D30" s="7" t="s">
        <v>4457</v>
      </c>
      <c r="E30" s="20" t="s">
        <v>42</v>
      </c>
      <c r="F30" s="3" t="s">
        <v>127</v>
      </c>
      <c r="G30" s="3" t="s">
        <v>4458</v>
      </c>
      <c r="H30" s="7">
        <f>IFERROR(VLOOKUP(B30,'📊 Problem Tracker'!$B$4:$F$1200,5,FALSE()),"")</f>
        <v>0</v>
      </c>
      <c r="I30" s="7"/>
      <c r="J30" s="7"/>
      <c r="K30" s="3"/>
      <c r="L30" s="228" t="s">
        <v>163</v>
      </c>
      <c r="M30" s="7" t="s">
        <v>24</v>
      </c>
      <c r="N30" s="176" t="s">
        <v>47</v>
      </c>
      <c r="O30" s="191" t="str">
        <f>HYPERLINK("https://leetcode.com/problems/reverse-nodes-in-k-group/","https://leetcode.com/problems/reverse-nodes-in-k-group/")</f>
        <v>https://leetcode.com/problems/reverse-nodes-in-k-group/</v>
      </c>
    </row>
    <row r="31" spans="1:15" ht="31.5" customHeight="1" x14ac:dyDescent="0.2">
      <c r="A31" s="110">
        <v>26</v>
      </c>
      <c r="B31" s="110">
        <v>26</v>
      </c>
      <c r="C31" s="111" t="s">
        <v>165</v>
      </c>
      <c r="D31" s="110" t="s">
        <v>4459</v>
      </c>
      <c r="E31" s="115" t="s">
        <v>20</v>
      </c>
      <c r="F31" s="113" t="s">
        <v>84</v>
      </c>
      <c r="G31" s="113" t="s">
        <v>689</v>
      </c>
      <c r="H31" s="110">
        <f>IFERROR(VLOOKUP(B31,'📊 Problem Tracker'!$B$4:$F$1200,5,FALSE()),"")</f>
        <v>0</v>
      </c>
      <c r="I31" s="110"/>
      <c r="J31" s="110"/>
      <c r="K31" s="113"/>
      <c r="L31" s="267" t="s">
        <v>169</v>
      </c>
      <c r="M31" s="110" t="s">
        <v>24</v>
      </c>
      <c r="N31" s="179" t="s">
        <v>47</v>
      </c>
      <c r="O31" s="192" t="str">
        <f>HYPERLINK("https://leetcode.com/problems/remove-duplicates-from-sorted-array/","https://leetcode.com/problems/remove-duplicates-from-sorted-array/")</f>
        <v>https://leetcode.com/problems/remove-duplicates-from-sorted-array/</v>
      </c>
    </row>
    <row r="32" spans="1:15" ht="31.5" customHeight="1" x14ac:dyDescent="0.2">
      <c r="A32" s="7">
        <v>27</v>
      </c>
      <c r="B32" s="7">
        <v>27</v>
      </c>
      <c r="C32" s="13" t="s">
        <v>171</v>
      </c>
      <c r="D32" s="7" t="s">
        <v>4460</v>
      </c>
      <c r="E32" s="21" t="s">
        <v>20</v>
      </c>
      <c r="F32" s="3" t="s">
        <v>84</v>
      </c>
      <c r="G32" s="3" t="s">
        <v>689</v>
      </c>
      <c r="H32" s="7">
        <f>IFERROR(VLOOKUP(B32,'📊 Problem Tracker'!$B$4:$F$1200,5,FALSE()),"")</f>
        <v>0</v>
      </c>
      <c r="I32" s="7"/>
      <c r="J32" s="7"/>
      <c r="K32" s="3"/>
      <c r="L32" s="228" t="s">
        <v>173</v>
      </c>
      <c r="M32" s="7" t="s">
        <v>24</v>
      </c>
      <c r="N32" s="176" t="s">
        <v>47</v>
      </c>
      <c r="O32" s="191" t="str">
        <f>HYPERLINK("https://leetcode.com/problems/remove-element/","https://leetcode.com/problems/remove-element/")</f>
        <v>https://leetcode.com/problems/remove-element/</v>
      </c>
    </row>
    <row r="33" spans="1:15" ht="31.5" customHeight="1" x14ac:dyDescent="0.2">
      <c r="A33" s="110">
        <v>28</v>
      </c>
      <c r="B33" s="110">
        <v>28</v>
      </c>
      <c r="C33" s="111" t="s">
        <v>175</v>
      </c>
      <c r="D33" s="110" t="s">
        <v>4461</v>
      </c>
      <c r="E33" s="115" t="s">
        <v>20</v>
      </c>
      <c r="F33" s="113" t="s">
        <v>611</v>
      </c>
      <c r="G33" s="113" t="s">
        <v>689</v>
      </c>
      <c r="H33" s="110">
        <f>IFERROR(VLOOKUP(B33,'📊 Problem Tracker'!$B$4:$F$1200,5,FALSE()),"")</f>
        <v>0</v>
      </c>
      <c r="I33" s="110"/>
      <c r="J33" s="110"/>
      <c r="K33" s="113"/>
      <c r="L33" s="267" t="s">
        <v>177</v>
      </c>
      <c r="M33" s="110" t="s">
        <v>178</v>
      </c>
      <c r="N33" s="179" t="s">
        <v>47</v>
      </c>
      <c r="O33" s="192" t="str">
        <f>HYPERLINK("https://leetcode.com/problems/find-the-index-of-the-first-occurrence-in-a-string/","https://leetcode.com/problems/find-the-index-of-the-first-occurrence-in-a-string/")</f>
        <v>https://leetcode.com/problems/find-the-index-of-the-first-occurrence-in-a-string/</v>
      </c>
    </row>
    <row r="34" spans="1:15" ht="31.5" customHeight="1" x14ac:dyDescent="0.2">
      <c r="A34" s="7">
        <v>29</v>
      </c>
      <c r="B34" s="7">
        <v>29</v>
      </c>
      <c r="C34" s="13" t="s">
        <v>180</v>
      </c>
      <c r="D34" s="7" t="s">
        <v>4462</v>
      </c>
      <c r="E34" s="18" t="s">
        <v>28</v>
      </c>
      <c r="F34" s="3" t="s">
        <v>181</v>
      </c>
      <c r="G34" s="3" t="s">
        <v>666</v>
      </c>
      <c r="H34" s="7">
        <f>IFERROR(VLOOKUP(B34,'📊 Problem Tracker'!$B$4:$F$1200,5,FALSE()),"")</f>
        <v>0</v>
      </c>
      <c r="I34" s="7"/>
      <c r="J34" s="7"/>
      <c r="K34" s="3"/>
      <c r="L34" s="228" t="s">
        <v>184</v>
      </c>
      <c r="M34" s="7" t="s">
        <v>65</v>
      </c>
      <c r="N34" s="176" t="s">
        <v>47</v>
      </c>
      <c r="O34" s="191" t="str">
        <f>HYPERLINK("https://leetcode.com/problems/divide-two-integers/","https://leetcode.com/problems/divide-two-integers/")</f>
        <v>https://leetcode.com/problems/divide-two-integers/</v>
      </c>
    </row>
    <row r="35" spans="1:15" ht="31.5" customHeight="1" x14ac:dyDescent="0.2">
      <c r="A35" s="110">
        <v>30</v>
      </c>
      <c r="B35" s="110">
        <v>31</v>
      </c>
      <c r="C35" s="111" t="s">
        <v>192</v>
      </c>
      <c r="D35" s="110" t="s">
        <v>4463</v>
      </c>
      <c r="E35" s="112" t="s">
        <v>28</v>
      </c>
      <c r="F35" s="113" t="s">
        <v>84</v>
      </c>
      <c r="G35" s="113" t="s">
        <v>689</v>
      </c>
      <c r="H35" s="110">
        <f>IFERROR(VLOOKUP(B35,'📊 Problem Tracker'!$B$4:$F$1200,5,FALSE()),"")</f>
        <v>0</v>
      </c>
      <c r="I35" s="110"/>
      <c r="J35" s="110"/>
      <c r="K35" s="113"/>
      <c r="L35" s="267" t="s">
        <v>195</v>
      </c>
      <c r="M35" s="110" t="s">
        <v>24</v>
      </c>
      <c r="N35" s="179" t="s">
        <v>47</v>
      </c>
      <c r="O35" s="192" t="str">
        <f>HYPERLINK("https://leetcode.com/problems/next-permutation/","https://leetcode.com/problems/next-permutation/")</f>
        <v>https://leetcode.com/problems/next-permutation/</v>
      </c>
    </row>
    <row r="36" spans="1:15" ht="31.5" customHeight="1" x14ac:dyDescent="0.2">
      <c r="A36" s="7">
        <v>31</v>
      </c>
      <c r="B36" s="7">
        <v>32</v>
      </c>
      <c r="C36" s="13" t="s">
        <v>197</v>
      </c>
      <c r="D36" s="7" t="s">
        <v>4464</v>
      </c>
      <c r="E36" s="20" t="s">
        <v>42</v>
      </c>
      <c r="F36" s="3" t="s">
        <v>198</v>
      </c>
      <c r="G36" s="3" t="s">
        <v>4465</v>
      </c>
      <c r="H36" s="7">
        <f>IFERROR(VLOOKUP(B36,'📊 Problem Tracker'!$B$4:$F$1200,5,FALSE()),"")</f>
        <v>0</v>
      </c>
      <c r="I36" s="7"/>
      <c r="J36" s="7"/>
      <c r="K36" s="3"/>
      <c r="L36" s="228" t="s">
        <v>200</v>
      </c>
      <c r="M36" s="7" t="s">
        <v>24</v>
      </c>
      <c r="N36" s="176" t="s">
        <v>24</v>
      </c>
      <c r="O36" s="191" t="str">
        <f>HYPERLINK("https://leetcode.com/problems/longest-valid-parentheses/","https://leetcode.com/problems/longest-valid-parentheses/")</f>
        <v>https://leetcode.com/problems/longest-valid-parentheses/</v>
      </c>
    </row>
    <row r="37" spans="1:15" ht="31.5" customHeight="1" x14ac:dyDescent="0.2">
      <c r="A37" s="110">
        <v>32</v>
      </c>
      <c r="B37" s="110">
        <v>33</v>
      </c>
      <c r="C37" s="111" t="s">
        <v>202</v>
      </c>
      <c r="D37" s="110" t="s">
        <v>4466</v>
      </c>
      <c r="E37" s="112" t="s">
        <v>28</v>
      </c>
      <c r="F37" s="113" t="s">
        <v>41</v>
      </c>
      <c r="G37" s="113" t="s">
        <v>4255</v>
      </c>
      <c r="H37" s="110">
        <f>IFERROR(VLOOKUP(B37,'📊 Problem Tracker'!$B$4:$F$1200,5,FALSE()),"")</f>
        <v>0</v>
      </c>
      <c r="I37" s="110"/>
      <c r="J37" s="110"/>
      <c r="K37" s="113"/>
      <c r="L37" s="267" t="s">
        <v>204</v>
      </c>
      <c r="M37" s="110" t="s">
        <v>65</v>
      </c>
      <c r="N37" s="179" t="s">
        <v>47</v>
      </c>
      <c r="O37" s="192" t="str">
        <f>HYPERLINK("https://leetcode.com/problems/search-in-rotated-sorted-array/","https://leetcode.com/problems/search-in-rotated-sorted-array/")</f>
        <v>https://leetcode.com/problems/search-in-rotated-sorted-array/</v>
      </c>
    </row>
    <row r="38" spans="1:15" ht="31.5" customHeight="1" x14ac:dyDescent="0.2">
      <c r="A38" s="7">
        <v>33</v>
      </c>
      <c r="B38" s="7">
        <v>34</v>
      </c>
      <c r="C38" s="13" t="s">
        <v>206</v>
      </c>
      <c r="D38" s="7" t="s">
        <v>4467</v>
      </c>
      <c r="E38" s="18" t="s">
        <v>28</v>
      </c>
      <c r="F38" s="3" t="s">
        <v>41</v>
      </c>
      <c r="G38" s="3" t="s">
        <v>512</v>
      </c>
      <c r="H38" s="7">
        <f>IFERROR(VLOOKUP(B38,'📊 Problem Tracker'!$B$4:$F$1200,5,FALSE()),"")</f>
        <v>0</v>
      </c>
      <c r="I38" s="7"/>
      <c r="J38" s="7"/>
      <c r="K38" s="3"/>
      <c r="L38" s="228" t="s">
        <v>208</v>
      </c>
      <c r="M38" s="7" t="s">
        <v>65</v>
      </c>
      <c r="N38" s="176" t="s">
        <v>47</v>
      </c>
      <c r="O38" s="191" t="str">
        <f>HYPERLINK("https://leetcode.com/problems/find-first-and-last-position-of-element-in-sorted-array/","https://leetcode.com/problems/find-first-and-last-position-of-element-in-sorted-array/")</f>
        <v>https://leetcode.com/problems/find-first-and-last-position-of-element-in-sorted-array/</v>
      </c>
    </row>
    <row r="39" spans="1:15" ht="31.5" customHeight="1" x14ac:dyDescent="0.2">
      <c r="A39" s="110">
        <v>34</v>
      </c>
      <c r="B39" s="110">
        <v>35</v>
      </c>
      <c r="C39" s="111" t="s">
        <v>210</v>
      </c>
      <c r="D39" s="110" t="s">
        <v>4468</v>
      </c>
      <c r="E39" s="115" t="s">
        <v>20</v>
      </c>
      <c r="F39" s="113" t="s">
        <v>41</v>
      </c>
      <c r="G39" s="113" t="s">
        <v>512</v>
      </c>
      <c r="H39" s="110">
        <f>IFERROR(VLOOKUP(B39,'📊 Problem Tracker'!$B$4:$F$1200,5,FALSE()),"")</f>
        <v>0</v>
      </c>
      <c r="I39" s="110"/>
      <c r="J39" s="110"/>
      <c r="K39" s="113"/>
      <c r="L39" s="267" t="s">
        <v>212</v>
      </c>
      <c r="M39" s="110" t="s">
        <v>65</v>
      </c>
      <c r="N39" s="179" t="s">
        <v>47</v>
      </c>
      <c r="O39" s="192" t="str">
        <f>HYPERLINK("https://leetcode.com/problems/search-insert-position/","https://leetcode.com/problems/search-insert-position/")</f>
        <v>https://leetcode.com/problems/search-insert-position/</v>
      </c>
    </row>
    <row r="40" spans="1:15" ht="31.5" customHeight="1" x14ac:dyDescent="0.2">
      <c r="A40" s="7">
        <v>35</v>
      </c>
      <c r="B40" s="7">
        <v>36</v>
      </c>
      <c r="C40" s="13" t="s">
        <v>214</v>
      </c>
      <c r="D40" s="7" t="s">
        <v>4469</v>
      </c>
      <c r="E40" s="18" t="s">
        <v>28</v>
      </c>
      <c r="F40" s="3" t="s">
        <v>215</v>
      </c>
      <c r="G40" s="3" t="s">
        <v>4470</v>
      </c>
      <c r="H40" s="7">
        <f>IFERROR(VLOOKUP(B40,'📊 Problem Tracker'!$B$4:$F$1200,5,FALSE()),"")</f>
        <v>0</v>
      </c>
      <c r="I40" s="7"/>
      <c r="J40" s="7"/>
      <c r="K40" s="3"/>
      <c r="L40" s="228" t="s">
        <v>218</v>
      </c>
      <c r="M40" s="7" t="s">
        <v>47</v>
      </c>
      <c r="N40" s="176" t="s">
        <v>47</v>
      </c>
      <c r="O40" s="191" t="str">
        <f>HYPERLINK("https://leetcode.com/problems/valid-sudoku/","https://leetcode.com/problems/valid-sudoku/")</f>
        <v>https://leetcode.com/problems/valid-sudoku/</v>
      </c>
    </row>
    <row r="41" spans="1:15" ht="31.5" customHeight="1" x14ac:dyDescent="0.2">
      <c r="A41" s="110">
        <v>36</v>
      </c>
      <c r="B41" s="110">
        <v>37</v>
      </c>
      <c r="C41" s="111" t="s">
        <v>220</v>
      </c>
      <c r="D41" s="110" t="s">
        <v>4471</v>
      </c>
      <c r="E41" s="114" t="s">
        <v>42</v>
      </c>
      <c r="F41" s="113" t="s">
        <v>221</v>
      </c>
      <c r="G41" s="113" t="s">
        <v>300</v>
      </c>
      <c r="H41" s="110">
        <f>IFERROR(VLOOKUP(B41,'📊 Problem Tracker'!$B$4:$F$1200,5,FALSE()),"")</f>
        <v>0</v>
      </c>
      <c r="I41" s="110"/>
      <c r="J41" s="110"/>
      <c r="K41" s="113"/>
      <c r="L41" s="267" t="s">
        <v>224</v>
      </c>
      <c r="M41" s="110" t="s">
        <v>225</v>
      </c>
      <c r="N41" s="179" t="s">
        <v>226</v>
      </c>
      <c r="O41" s="192" t="str">
        <f>HYPERLINK("https://leetcode.com/problems/sudoku-solver/","https://leetcode.com/problems/sudoku-solver/")</f>
        <v>https://leetcode.com/problems/sudoku-solver/</v>
      </c>
    </row>
    <row r="42" spans="1:15" ht="31.5" customHeight="1" x14ac:dyDescent="0.2">
      <c r="A42" s="7">
        <v>37</v>
      </c>
      <c r="B42" s="7">
        <v>38</v>
      </c>
      <c r="C42" s="13" t="s">
        <v>228</v>
      </c>
      <c r="D42" s="7" t="s">
        <v>4472</v>
      </c>
      <c r="E42" s="18" t="s">
        <v>28</v>
      </c>
      <c r="F42" s="3" t="s">
        <v>56</v>
      </c>
      <c r="G42" s="3" t="s">
        <v>98</v>
      </c>
      <c r="H42" s="7">
        <f>IFERROR(VLOOKUP(B42,'📊 Problem Tracker'!$B$4:$F$1200,5,FALSE()),"")</f>
        <v>0</v>
      </c>
      <c r="I42" s="7"/>
      <c r="J42" s="7"/>
      <c r="K42" s="3"/>
      <c r="L42" s="228" t="s">
        <v>230</v>
      </c>
      <c r="M42" s="7" t="s">
        <v>231</v>
      </c>
      <c r="N42" s="176" t="s">
        <v>231</v>
      </c>
      <c r="O42" s="191" t="str">
        <f>HYPERLINK("https://leetcode.com/problems/count-and-say/","https://leetcode.com/problems/count-and-say/")</f>
        <v>https://leetcode.com/problems/count-and-say/</v>
      </c>
    </row>
    <row r="43" spans="1:15" ht="31.5" customHeight="1" x14ac:dyDescent="0.2">
      <c r="A43" s="110">
        <v>38</v>
      </c>
      <c r="B43" s="110">
        <v>39</v>
      </c>
      <c r="C43" s="111" t="s">
        <v>233</v>
      </c>
      <c r="D43" s="110" t="s">
        <v>4473</v>
      </c>
      <c r="E43" s="112" t="s">
        <v>28</v>
      </c>
      <c r="F43" s="113" t="s">
        <v>234</v>
      </c>
      <c r="G43" s="113" t="s">
        <v>300</v>
      </c>
      <c r="H43" s="110">
        <f>IFERROR(VLOOKUP(B43,'📊 Problem Tracker'!$B$4:$F$1200,5,FALSE()),"")</f>
        <v>0</v>
      </c>
      <c r="I43" s="110"/>
      <c r="J43" s="110"/>
      <c r="K43" s="113"/>
      <c r="L43" s="267" t="s">
        <v>237</v>
      </c>
      <c r="M43" s="110" t="s">
        <v>238</v>
      </c>
      <c r="N43" s="179" t="s">
        <v>239</v>
      </c>
      <c r="O43" s="192" t="str">
        <f>HYPERLINK("https://leetcode.com/problems/combination-sum/","https://leetcode.com/problems/combination-sum/")</f>
        <v>https://leetcode.com/problems/combination-sum/</v>
      </c>
    </row>
    <row r="44" spans="1:15" ht="31.5" customHeight="1" x14ac:dyDescent="0.2">
      <c r="A44" s="7">
        <v>39</v>
      </c>
      <c r="B44" s="7">
        <v>40</v>
      </c>
      <c r="C44" s="13" t="s">
        <v>241</v>
      </c>
      <c r="D44" s="7" t="s">
        <v>4474</v>
      </c>
      <c r="E44" s="18" t="s">
        <v>28</v>
      </c>
      <c r="F44" s="3" t="s">
        <v>234</v>
      </c>
      <c r="G44" s="3" t="s">
        <v>300</v>
      </c>
      <c r="H44" s="7">
        <f>IFERROR(VLOOKUP(B44,'📊 Problem Tracker'!$B$4:$F$1200,5,FALSE()),"")</f>
        <v>0</v>
      </c>
      <c r="I44" s="7"/>
      <c r="J44" s="7"/>
      <c r="K44" s="3"/>
      <c r="L44" s="228" t="s">
        <v>244</v>
      </c>
      <c r="M44" s="7" t="s">
        <v>231</v>
      </c>
      <c r="N44" s="176" t="s">
        <v>24</v>
      </c>
      <c r="O44" s="191" t="str">
        <f>HYPERLINK("https://leetcode.com/problems/combination-sum-ii/","https://leetcode.com/problems/combination-sum-ii/")</f>
        <v>https://leetcode.com/problems/combination-sum-ii/</v>
      </c>
    </row>
    <row r="45" spans="1:15" ht="31.5" customHeight="1" x14ac:dyDescent="0.2">
      <c r="A45" s="110">
        <v>40</v>
      </c>
      <c r="B45" s="110">
        <v>41</v>
      </c>
      <c r="C45" s="111" t="s">
        <v>246</v>
      </c>
      <c r="D45" s="110" t="s">
        <v>4475</v>
      </c>
      <c r="E45" s="114" t="s">
        <v>42</v>
      </c>
      <c r="F45" s="113" t="s">
        <v>19</v>
      </c>
      <c r="G45" s="113" t="s">
        <v>1699</v>
      </c>
      <c r="H45" s="110">
        <f>IFERROR(VLOOKUP(B45,'📊 Problem Tracker'!$B$4:$F$1200,5,FALSE()),"")</f>
        <v>0</v>
      </c>
      <c r="I45" s="110"/>
      <c r="J45" s="110"/>
      <c r="K45" s="113"/>
      <c r="L45" s="267" t="s">
        <v>249</v>
      </c>
      <c r="M45" s="110" t="s">
        <v>24</v>
      </c>
      <c r="N45" s="179" t="s">
        <v>47</v>
      </c>
      <c r="O45" s="192" t="str">
        <f>HYPERLINK("https://leetcode.com/problems/first-missing-positive/","https://leetcode.com/problems/first-missing-positive/")</f>
        <v>https://leetcode.com/problems/first-missing-positive/</v>
      </c>
    </row>
    <row r="46" spans="1:15" ht="31.5" customHeight="1" x14ac:dyDescent="0.2">
      <c r="A46" s="7">
        <v>41</v>
      </c>
      <c r="B46" s="7">
        <v>42</v>
      </c>
      <c r="C46" s="13" t="s">
        <v>251</v>
      </c>
      <c r="D46" s="7" t="s">
        <v>4476</v>
      </c>
      <c r="E46" s="20" t="s">
        <v>42</v>
      </c>
      <c r="F46" s="3" t="s">
        <v>4259</v>
      </c>
      <c r="G46" s="3" t="s">
        <v>4477</v>
      </c>
      <c r="H46" s="7">
        <f>IFERROR(VLOOKUP(B46,'📊 Problem Tracker'!$B$4:$F$1200,5,FALSE()),"")</f>
        <v>0</v>
      </c>
      <c r="I46" s="7"/>
      <c r="J46" s="7"/>
      <c r="K46" s="3"/>
      <c r="L46" s="228" t="s">
        <v>254</v>
      </c>
      <c r="M46" s="7" t="s">
        <v>24</v>
      </c>
      <c r="N46" s="176" t="s">
        <v>47</v>
      </c>
      <c r="O46" s="191" t="str">
        <f>HYPERLINK("https://leetcode.com/problems/trapping-rain-water/","https://leetcode.com/problems/trapping-rain-water/")</f>
        <v>https://leetcode.com/problems/trapping-rain-water/</v>
      </c>
    </row>
    <row r="47" spans="1:15" ht="31.5" customHeight="1" x14ac:dyDescent="0.2">
      <c r="A47" s="110">
        <v>42</v>
      </c>
      <c r="B47" s="110">
        <v>43</v>
      </c>
      <c r="C47" s="111" t="s">
        <v>256</v>
      </c>
      <c r="D47" s="110" t="s">
        <v>4478</v>
      </c>
      <c r="E47" s="112" t="s">
        <v>28</v>
      </c>
      <c r="F47" s="113" t="s">
        <v>56</v>
      </c>
      <c r="G47" s="113" t="s">
        <v>4248</v>
      </c>
      <c r="H47" s="110">
        <f>IFERROR(VLOOKUP(B47,'📊 Problem Tracker'!$B$4:$F$1200,5,FALSE()),"")</f>
        <v>0</v>
      </c>
      <c r="I47" s="110"/>
      <c r="J47" s="110"/>
      <c r="K47" s="113"/>
      <c r="L47" s="267" t="s">
        <v>258</v>
      </c>
      <c r="M47" s="110" t="s">
        <v>81</v>
      </c>
      <c r="N47" s="179" t="s">
        <v>259</v>
      </c>
      <c r="O47" s="192" t="str">
        <f>HYPERLINK("https://leetcode.com/problems/multiply-strings/","https://leetcode.com/problems/multiply-strings/")</f>
        <v>https://leetcode.com/problems/multiply-strings/</v>
      </c>
    </row>
    <row r="48" spans="1:15" ht="31.5" customHeight="1" x14ac:dyDescent="0.2">
      <c r="A48" s="7">
        <v>43</v>
      </c>
      <c r="B48" s="7">
        <v>44</v>
      </c>
      <c r="C48" s="13" t="s">
        <v>261</v>
      </c>
      <c r="D48" s="7" t="s">
        <v>4438</v>
      </c>
      <c r="E48" s="20" t="s">
        <v>42</v>
      </c>
      <c r="F48" s="3" t="s">
        <v>50</v>
      </c>
      <c r="G48" s="3" t="s">
        <v>1042</v>
      </c>
      <c r="H48" s="7">
        <f>IFERROR(VLOOKUP(B48,'📊 Problem Tracker'!$B$4:$F$1200,5,FALSE()),"")</f>
        <v>0</v>
      </c>
      <c r="I48" s="7"/>
      <c r="J48" s="7"/>
      <c r="K48" s="3"/>
      <c r="L48" s="228" t="s">
        <v>264</v>
      </c>
      <c r="M48" s="7" t="s">
        <v>81</v>
      </c>
      <c r="N48" s="176" t="s">
        <v>81</v>
      </c>
      <c r="O48" s="191" t="str">
        <f>HYPERLINK("https://leetcode.com/problems/wildcard-matching/","https://leetcode.com/problems/wildcard-matching/")</f>
        <v>https://leetcode.com/problems/wildcard-matching/</v>
      </c>
    </row>
    <row r="49" spans="1:15" ht="31.5" customHeight="1" x14ac:dyDescent="0.2">
      <c r="A49" s="110">
        <v>44</v>
      </c>
      <c r="B49" s="110">
        <v>45</v>
      </c>
      <c r="C49" s="111" t="s">
        <v>266</v>
      </c>
      <c r="D49" s="110" t="s">
        <v>4479</v>
      </c>
      <c r="E49" s="112" t="s">
        <v>28</v>
      </c>
      <c r="F49" s="113" t="s">
        <v>267</v>
      </c>
      <c r="G49" s="113" t="s">
        <v>4348</v>
      </c>
      <c r="H49" s="110">
        <f>IFERROR(VLOOKUP(B49,'📊 Problem Tracker'!$B$4:$F$1200,5,FALSE()),"")</f>
        <v>0</v>
      </c>
      <c r="I49" s="110"/>
      <c r="J49" s="110"/>
      <c r="K49" s="113"/>
      <c r="L49" s="267" t="s">
        <v>270</v>
      </c>
      <c r="M49" s="110" t="s">
        <v>24</v>
      </c>
      <c r="N49" s="179" t="s">
        <v>47</v>
      </c>
      <c r="O49" s="192" t="str">
        <f>HYPERLINK("https://leetcode.com/problems/jump-game-ii/","https://leetcode.com/problems/jump-game-ii/")</f>
        <v>https://leetcode.com/problems/jump-game-ii/</v>
      </c>
    </row>
    <row r="50" spans="1:15" ht="31.5" customHeight="1" x14ac:dyDescent="0.2">
      <c r="A50" s="7">
        <v>45</v>
      </c>
      <c r="B50" s="7">
        <v>46</v>
      </c>
      <c r="C50" s="13" t="s">
        <v>272</v>
      </c>
      <c r="D50" s="7" t="s">
        <v>4480</v>
      </c>
      <c r="E50" s="18" t="s">
        <v>28</v>
      </c>
      <c r="F50" s="3" t="s">
        <v>234</v>
      </c>
      <c r="G50" s="3" t="s">
        <v>300</v>
      </c>
      <c r="H50" s="7">
        <f>IFERROR(VLOOKUP(B50,'📊 Problem Tracker'!$B$4:$F$1200,5,FALSE()),"")</f>
        <v>0</v>
      </c>
      <c r="I50" s="7"/>
      <c r="J50" s="7"/>
      <c r="K50" s="3"/>
      <c r="L50" s="228" t="s">
        <v>274</v>
      </c>
      <c r="M50" s="7" t="s">
        <v>275</v>
      </c>
      <c r="N50" s="176" t="s">
        <v>24</v>
      </c>
      <c r="O50" s="191" t="str">
        <f>HYPERLINK("https://leetcode.com/problems/permutations/","https://leetcode.com/problems/permutations/")</f>
        <v>https://leetcode.com/problems/permutations/</v>
      </c>
    </row>
    <row r="51" spans="1:15" ht="31.5" customHeight="1" x14ac:dyDescent="0.2">
      <c r="A51" s="110">
        <v>46</v>
      </c>
      <c r="B51" s="110">
        <v>48</v>
      </c>
      <c r="C51" s="111" t="s">
        <v>282</v>
      </c>
      <c r="D51" s="110" t="s">
        <v>4481</v>
      </c>
      <c r="E51" s="112" t="s">
        <v>28</v>
      </c>
      <c r="F51" s="113" t="s">
        <v>283</v>
      </c>
      <c r="G51" s="113" t="s">
        <v>4187</v>
      </c>
      <c r="H51" s="110">
        <f>IFERROR(VLOOKUP(B51,'📊 Problem Tracker'!$B$4:$F$1200,5,FALSE()),"")</f>
        <v>0</v>
      </c>
      <c r="I51" s="110"/>
      <c r="J51" s="110"/>
      <c r="K51" s="113"/>
      <c r="L51" s="267" t="s">
        <v>286</v>
      </c>
      <c r="M51" s="110" t="s">
        <v>53</v>
      </c>
      <c r="N51" s="179" t="s">
        <v>47</v>
      </c>
      <c r="O51" s="192" t="str">
        <f>HYPERLINK("https://leetcode.com/problems/rotate-image/","https://leetcode.com/problems/rotate-image/")</f>
        <v>https://leetcode.com/problems/rotate-image/</v>
      </c>
    </row>
    <row r="52" spans="1:15" ht="31.5" customHeight="1" x14ac:dyDescent="0.2">
      <c r="A52" s="7">
        <v>47</v>
      </c>
      <c r="B52" s="7">
        <v>49</v>
      </c>
      <c r="C52" s="13" t="s">
        <v>288</v>
      </c>
      <c r="D52" s="7" t="s">
        <v>4482</v>
      </c>
      <c r="E52" s="18" t="s">
        <v>28</v>
      </c>
      <c r="F52" s="3" t="s">
        <v>289</v>
      </c>
      <c r="G52" s="3" t="s">
        <v>4244</v>
      </c>
      <c r="H52" s="7">
        <f>IFERROR(VLOOKUP(B52,'📊 Problem Tracker'!$B$4:$F$1200,5,FALSE()),"")</f>
        <v>0</v>
      </c>
      <c r="I52" s="7"/>
      <c r="J52" s="7"/>
      <c r="K52" s="3"/>
      <c r="L52" s="228" t="s">
        <v>291</v>
      </c>
      <c r="M52" s="7" t="s">
        <v>292</v>
      </c>
      <c r="N52" s="176" t="s">
        <v>292</v>
      </c>
      <c r="O52" s="191" t="str">
        <f>HYPERLINK("https://leetcode.com/problems/group-anagrams/","https://leetcode.com/problems/group-anagrams/")</f>
        <v>https://leetcode.com/problems/group-anagrams/</v>
      </c>
    </row>
    <row r="53" spans="1:15" ht="31.5" customHeight="1" x14ac:dyDescent="0.2">
      <c r="A53" s="110">
        <v>48</v>
      </c>
      <c r="B53" s="110">
        <v>50</v>
      </c>
      <c r="C53" s="111" t="s">
        <v>294</v>
      </c>
      <c r="D53" s="110" t="s">
        <v>4483</v>
      </c>
      <c r="E53" s="112" t="s">
        <v>28</v>
      </c>
      <c r="F53" s="113" t="s">
        <v>295</v>
      </c>
      <c r="G53" s="113" t="s">
        <v>4484</v>
      </c>
      <c r="H53" s="110">
        <f>IFERROR(VLOOKUP(B53,'📊 Problem Tracker'!$B$4:$F$1200,5,FALSE()),"")</f>
        <v>0</v>
      </c>
      <c r="I53" s="110"/>
      <c r="J53" s="110"/>
      <c r="K53" s="113"/>
      <c r="L53" s="267" t="s">
        <v>297</v>
      </c>
      <c r="M53" s="110" t="s">
        <v>65</v>
      </c>
      <c r="N53" s="179" t="s">
        <v>47</v>
      </c>
      <c r="O53" s="192" t="str">
        <f>HYPERLINK("https://leetcode.com/problems/powx-n/","https://leetcode.com/problems/powx-n/")</f>
        <v>https://leetcode.com/problems/powx-n/</v>
      </c>
    </row>
    <row r="54" spans="1:15" ht="31.5" customHeight="1" x14ac:dyDescent="0.2">
      <c r="A54" s="7">
        <v>49</v>
      </c>
      <c r="B54" s="7">
        <v>51</v>
      </c>
      <c r="C54" s="13" t="s">
        <v>299</v>
      </c>
      <c r="D54" s="7" t="s">
        <v>4485</v>
      </c>
      <c r="E54" s="20" t="s">
        <v>42</v>
      </c>
      <c r="F54" s="3" t="s">
        <v>234</v>
      </c>
      <c r="G54" s="3" t="s">
        <v>300</v>
      </c>
      <c r="H54" s="7">
        <f>IFERROR(VLOOKUP(B54,'📊 Problem Tracker'!$B$4:$F$1200,5,FALSE()),"")</f>
        <v>0</v>
      </c>
      <c r="I54" s="7"/>
      <c r="J54" s="7"/>
      <c r="K54" s="3"/>
      <c r="L54" s="228" t="s">
        <v>302</v>
      </c>
      <c r="M54" s="7" t="s">
        <v>303</v>
      </c>
      <c r="N54" s="176" t="s">
        <v>304</v>
      </c>
      <c r="O54" s="191" t="str">
        <f>HYPERLINK("https://leetcode.com/problems/n-queens/","https://leetcode.com/problems/n-queens/")</f>
        <v>https://leetcode.com/problems/n-queens/</v>
      </c>
    </row>
    <row r="55" spans="1:15" ht="31.5" customHeight="1" x14ac:dyDescent="0.2">
      <c r="A55" s="110">
        <v>50</v>
      </c>
      <c r="B55" s="110">
        <v>53</v>
      </c>
      <c r="C55" s="111" t="s">
        <v>308</v>
      </c>
      <c r="D55" s="110" t="s">
        <v>4486</v>
      </c>
      <c r="E55" s="112" t="s">
        <v>28</v>
      </c>
      <c r="F55" s="113" t="s">
        <v>309</v>
      </c>
      <c r="G55" s="113" t="s">
        <v>4261</v>
      </c>
      <c r="H55" s="110">
        <f>IFERROR(VLOOKUP(B55,'📊 Problem Tracker'!$B$4:$F$1200,5,FALSE()),"")</f>
        <v>0</v>
      </c>
      <c r="I55" s="110"/>
      <c r="J55" s="110"/>
      <c r="K55" s="113"/>
      <c r="L55" s="267" t="s">
        <v>311</v>
      </c>
      <c r="M55" s="110" t="s">
        <v>24</v>
      </c>
      <c r="N55" s="179" t="s">
        <v>47</v>
      </c>
      <c r="O55" s="192" t="str">
        <f>HYPERLINK("https://leetcode.com/problems/maximum-subarray/","https://leetcode.com/problems/maximum-subarray/")</f>
        <v>https://leetcode.com/problems/maximum-subarray/</v>
      </c>
    </row>
    <row r="56" spans="1:15" ht="31.5" customHeight="1" x14ac:dyDescent="0.2">
      <c r="A56" s="7">
        <v>51</v>
      </c>
      <c r="B56" s="7">
        <v>54</v>
      </c>
      <c r="C56" s="13" t="s">
        <v>313</v>
      </c>
      <c r="D56" s="7" t="s">
        <v>4487</v>
      </c>
      <c r="E56" s="18" t="s">
        <v>28</v>
      </c>
      <c r="F56" s="3" t="s">
        <v>283</v>
      </c>
      <c r="G56" s="3" t="s">
        <v>4488</v>
      </c>
      <c r="H56" s="7">
        <f>IFERROR(VLOOKUP(B56,'📊 Problem Tracker'!$B$4:$F$1200,5,FALSE()),"")</f>
        <v>0</v>
      </c>
      <c r="I56" s="7"/>
      <c r="J56" s="7"/>
      <c r="K56" s="3"/>
      <c r="L56" s="228" t="s">
        <v>315</v>
      </c>
      <c r="M56" s="7" t="s">
        <v>81</v>
      </c>
      <c r="N56" s="176" t="s">
        <v>47</v>
      </c>
      <c r="O56" s="191" t="str">
        <f>HYPERLINK("https://leetcode.com/problems/spiral-matrix/","https://leetcode.com/problems/spiral-matrix/")</f>
        <v>https://leetcode.com/problems/spiral-matrix/</v>
      </c>
    </row>
    <row r="57" spans="1:15" ht="31.5" customHeight="1" x14ac:dyDescent="0.2">
      <c r="A57" s="110">
        <v>52</v>
      </c>
      <c r="B57" s="110">
        <v>55</v>
      </c>
      <c r="C57" s="111" t="s">
        <v>317</v>
      </c>
      <c r="D57" s="110" t="s">
        <v>4489</v>
      </c>
      <c r="E57" s="112" t="s">
        <v>28</v>
      </c>
      <c r="F57" s="113" t="s">
        <v>318</v>
      </c>
      <c r="G57" s="113" t="s">
        <v>3091</v>
      </c>
      <c r="H57" s="110">
        <f>IFERROR(VLOOKUP(B57,'📊 Problem Tracker'!$B$4:$F$1200,5,FALSE()),"")</f>
        <v>0</v>
      </c>
      <c r="I57" s="110"/>
      <c r="J57" s="110"/>
      <c r="K57" s="113"/>
      <c r="L57" s="267" t="s">
        <v>320</v>
      </c>
      <c r="M57" s="110" t="s">
        <v>24</v>
      </c>
      <c r="N57" s="179" t="s">
        <v>47</v>
      </c>
      <c r="O57" s="192" t="str">
        <f>HYPERLINK("https://leetcode.com/problems/jump-game/","https://leetcode.com/problems/jump-game/")</f>
        <v>https://leetcode.com/problems/jump-game/</v>
      </c>
    </row>
    <row r="58" spans="1:15" ht="31.5" customHeight="1" x14ac:dyDescent="0.2">
      <c r="A58" s="7">
        <v>53</v>
      </c>
      <c r="B58" s="7">
        <v>56</v>
      </c>
      <c r="C58" s="13" t="s">
        <v>322</v>
      </c>
      <c r="D58" s="7" t="s">
        <v>4490</v>
      </c>
      <c r="E58" s="18" t="s">
        <v>28</v>
      </c>
      <c r="F58" s="3" t="s">
        <v>323</v>
      </c>
      <c r="G58" s="3" t="s">
        <v>322</v>
      </c>
      <c r="H58" s="7">
        <f>IFERROR(VLOOKUP(B58,'📊 Problem Tracker'!$B$4:$F$1200,5,FALSE()),"")</f>
        <v>0</v>
      </c>
      <c r="I58" s="7"/>
      <c r="J58" s="7"/>
      <c r="K58" s="3"/>
      <c r="L58" s="228" t="s">
        <v>325</v>
      </c>
      <c r="M58" s="7" t="s">
        <v>326</v>
      </c>
      <c r="N58" s="176" t="s">
        <v>24</v>
      </c>
      <c r="O58" s="191" t="str">
        <f>HYPERLINK("https://leetcode.com/problems/merge-intervals/","https://leetcode.com/problems/merge-intervals/")</f>
        <v>https://leetcode.com/problems/merge-intervals/</v>
      </c>
    </row>
    <row r="59" spans="1:15" ht="31.5" customHeight="1" x14ac:dyDescent="0.2">
      <c r="A59" s="110">
        <v>54</v>
      </c>
      <c r="B59" s="110">
        <v>57</v>
      </c>
      <c r="C59" s="111" t="s">
        <v>328</v>
      </c>
      <c r="D59" s="110" t="s">
        <v>4463</v>
      </c>
      <c r="E59" s="112" t="s">
        <v>28</v>
      </c>
      <c r="F59" s="113" t="s">
        <v>323</v>
      </c>
      <c r="G59" s="113" t="s">
        <v>322</v>
      </c>
      <c r="H59" s="110">
        <f>IFERROR(VLOOKUP(B59,'📊 Problem Tracker'!$B$4:$F$1200,5,FALSE()),"")</f>
        <v>0</v>
      </c>
      <c r="I59" s="110"/>
      <c r="J59" s="110"/>
      <c r="K59" s="113"/>
      <c r="L59" s="267" t="s">
        <v>331</v>
      </c>
      <c r="M59" s="110" t="s">
        <v>24</v>
      </c>
      <c r="N59" s="179" t="s">
        <v>24</v>
      </c>
      <c r="O59" s="192" t="str">
        <f>HYPERLINK("https://leetcode.com/problems/insert-interval/","https://leetcode.com/problems/insert-interval/")</f>
        <v>https://leetcode.com/problems/insert-interval/</v>
      </c>
    </row>
    <row r="60" spans="1:15" ht="31.5" customHeight="1" x14ac:dyDescent="0.2">
      <c r="A60" s="7">
        <v>55</v>
      </c>
      <c r="B60" s="7">
        <v>58</v>
      </c>
      <c r="C60" s="13" t="s">
        <v>333</v>
      </c>
      <c r="D60" s="7" t="s">
        <v>4491</v>
      </c>
      <c r="E60" s="21" t="s">
        <v>20</v>
      </c>
      <c r="F60" s="3" t="s">
        <v>98</v>
      </c>
      <c r="G60" s="3" t="s">
        <v>98</v>
      </c>
      <c r="H60" s="7">
        <f>IFERROR(VLOOKUP(B60,'📊 Problem Tracker'!$B$4:$F$1200,5,FALSE()),"")</f>
        <v>0</v>
      </c>
      <c r="I60" s="7"/>
      <c r="J60" s="7"/>
      <c r="K60" s="3"/>
      <c r="L60" s="228" t="s">
        <v>335</v>
      </c>
      <c r="M60" s="7" t="s">
        <v>24</v>
      </c>
      <c r="N60" s="176" t="s">
        <v>47</v>
      </c>
      <c r="O60" s="191" t="str">
        <f>HYPERLINK("https://leetcode.com/problems/length-of-last-word/","https://leetcode.com/problems/length-of-last-word/")</f>
        <v>https://leetcode.com/problems/length-of-last-word/</v>
      </c>
    </row>
    <row r="61" spans="1:15" ht="31.5" customHeight="1" x14ac:dyDescent="0.2">
      <c r="A61" s="110">
        <v>56</v>
      </c>
      <c r="B61" s="110">
        <v>60</v>
      </c>
      <c r="C61" s="111" t="s">
        <v>343</v>
      </c>
      <c r="D61" s="110" t="s">
        <v>4492</v>
      </c>
      <c r="E61" s="114" t="s">
        <v>42</v>
      </c>
      <c r="F61" s="113" t="s">
        <v>344</v>
      </c>
      <c r="G61" s="113" t="s">
        <v>4493</v>
      </c>
      <c r="H61" s="110">
        <f>IFERROR(VLOOKUP(B61,'📊 Problem Tracker'!$B$4:$F$1200,5,FALSE()),"")</f>
        <v>0</v>
      </c>
      <c r="I61" s="110"/>
      <c r="J61" s="110"/>
      <c r="K61" s="113"/>
      <c r="L61" s="267" t="s">
        <v>346</v>
      </c>
      <c r="M61" s="110" t="s">
        <v>53</v>
      </c>
      <c r="N61" s="179" t="s">
        <v>24</v>
      </c>
      <c r="O61" s="192" t="str">
        <f>HYPERLINK("https://leetcode.com/problems/permutation-sequence/","https://leetcode.com/problems/permutation-sequence/")</f>
        <v>https://leetcode.com/problems/permutation-sequence/</v>
      </c>
    </row>
    <row r="62" spans="1:15" ht="31.5" customHeight="1" x14ac:dyDescent="0.2">
      <c r="A62" s="7">
        <v>57</v>
      </c>
      <c r="B62" s="7">
        <v>61</v>
      </c>
      <c r="C62" s="13" t="s">
        <v>348</v>
      </c>
      <c r="D62" s="7" t="s">
        <v>4494</v>
      </c>
      <c r="E62" s="18" t="s">
        <v>28</v>
      </c>
      <c r="F62" s="3" t="s">
        <v>127</v>
      </c>
      <c r="G62" s="3"/>
      <c r="H62" s="7">
        <f>IFERROR(VLOOKUP(B62,'📊 Problem Tracker'!$B$4:$F$1200,5,FALSE()),"")</f>
        <v>0</v>
      </c>
      <c r="I62" s="7"/>
      <c r="J62" s="7"/>
      <c r="K62" s="3"/>
      <c r="L62" s="228" t="s">
        <v>351</v>
      </c>
      <c r="M62" s="7" t="s">
        <v>24</v>
      </c>
      <c r="N62" s="176" t="s">
        <v>47</v>
      </c>
      <c r="O62" s="191" t="str">
        <f>HYPERLINK("https://leetcode.com/problems/rotate-list/","https://leetcode.com/problems/rotate-list/")</f>
        <v>https://leetcode.com/problems/rotate-list/</v>
      </c>
    </row>
    <row r="63" spans="1:15" ht="31.5" customHeight="1" x14ac:dyDescent="0.2">
      <c r="A63" s="110">
        <v>58</v>
      </c>
      <c r="B63" s="110">
        <v>62</v>
      </c>
      <c r="C63" s="111" t="s">
        <v>353</v>
      </c>
      <c r="D63" s="110" t="s">
        <v>4495</v>
      </c>
      <c r="E63" s="112" t="s">
        <v>28</v>
      </c>
      <c r="F63" s="113" t="s">
        <v>354</v>
      </c>
      <c r="G63" s="113" t="s">
        <v>1042</v>
      </c>
      <c r="H63" s="110">
        <f>IFERROR(VLOOKUP(B63,'📊 Problem Tracker'!$B$4:$F$1200,5,FALSE()),"")</f>
        <v>0</v>
      </c>
      <c r="I63" s="110"/>
      <c r="J63" s="110"/>
      <c r="K63" s="113"/>
      <c r="L63" s="267" t="s">
        <v>357</v>
      </c>
      <c r="M63" s="110" t="s">
        <v>81</v>
      </c>
      <c r="N63" s="179" t="s">
        <v>24</v>
      </c>
      <c r="O63" s="192" t="str">
        <f>HYPERLINK("https://leetcode.com/problems/unique-paths/","https://leetcode.com/problems/unique-paths/")</f>
        <v>https://leetcode.com/problems/unique-paths/</v>
      </c>
    </row>
    <row r="64" spans="1:15" ht="31.5" customHeight="1" x14ac:dyDescent="0.2">
      <c r="A64" s="7">
        <v>59</v>
      </c>
      <c r="B64" s="7">
        <v>64</v>
      </c>
      <c r="C64" s="13" t="s">
        <v>365</v>
      </c>
      <c r="D64" s="7" t="s">
        <v>4496</v>
      </c>
      <c r="E64" s="18" t="s">
        <v>28</v>
      </c>
      <c r="F64" s="3" t="s">
        <v>360</v>
      </c>
      <c r="G64" s="3" t="s">
        <v>1042</v>
      </c>
      <c r="H64" s="7">
        <f>IFERROR(VLOOKUP(B64,'📊 Problem Tracker'!$B$4:$F$1200,5,FALSE()),"")</f>
        <v>0</v>
      </c>
      <c r="I64" s="7"/>
      <c r="J64" s="7"/>
      <c r="K64" s="3"/>
      <c r="L64" s="228" t="s">
        <v>368</v>
      </c>
      <c r="M64" s="7" t="s">
        <v>81</v>
      </c>
      <c r="N64" s="176" t="s">
        <v>24</v>
      </c>
      <c r="O64" s="191" t="str">
        <f>HYPERLINK("https://leetcode.com/problems/minimum-path-sum/","https://leetcode.com/problems/minimum-path-sum/")</f>
        <v>https://leetcode.com/problems/minimum-path-sum/</v>
      </c>
    </row>
    <row r="65" spans="1:15" ht="31.5" customHeight="1" x14ac:dyDescent="0.2">
      <c r="A65" s="110">
        <v>60</v>
      </c>
      <c r="B65" s="110">
        <v>66</v>
      </c>
      <c r="C65" s="111" t="s">
        <v>375</v>
      </c>
      <c r="D65" s="110" t="s">
        <v>4497</v>
      </c>
      <c r="E65" s="115" t="s">
        <v>20</v>
      </c>
      <c r="F65" s="113" t="s">
        <v>376</v>
      </c>
      <c r="G65" s="113" t="s">
        <v>62</v>
      </c>
      <c r="H65" s="110">
        <f>IFERROR(VLOOKUP(B65,'📊 Problem Tracker'!$B$4:$F$1200,5,FALSE()),"")</f>
        <v>0</v>
      </c>
      <c r="I65" s="110"/>
      <c r="J65" s="110"/>
      <c r="K65" s="113"/>
      <c r="L65" s="267" t="s">
        <v>378</v>
      </c>
      <c r="M65" s="110" t="s">
        <v>24</v>
      </c>
      <c r="N65" s="179" t="s">
        <v>47</v>
      </c>
      <c r="O65" s="192" t="str">
        <f>HYPERLINK("https://leetcode.com/problems/plus-one/","https://leetcode.com/problems/plus-one/")</f>
        <v>https://leetcode.com/problems/plus-one/</v>
      </c>
    </row>
    <row r="66" spans="1:15" ht="31.5" customHeight="1" x14ac:dyDescent="0.2">
      <c r="A66" s="7">
        <v>61</v>
      </c>
      <c r="B66" s="7">
        <v>67</v>
      </c>
      <c r="C66" s="13" t="s">
        <v>380</v>
      </c>
      <c r="D66" s="7" t="s">
        <v>4498</v>
      </c>
      <c r="E66" s="21" t="s">
        <v>20</v>
      </c>
      <c r="F66" s="3" t="s">
        <v>2456</v>
      </c>
      <c r="G66" s="3" t="s">
        <v>666</v>
      </c>
      <c r="H66" s="7">
        <f>IFERROR(VLOOKUP(B66,'📊 Problem Tracker'!$B$4:$F$1200,5,FALSE()),"")</f>
        <v>0</v>
      </c>
      <c r="I66" s="7"/>
      <c r="J66" s="7"/>
      <c r="K66" s="3"/>
      <c r="L66" s="228" t="s">
        <v>384</v>
      </c>
      <c r="M66" s="7" t="s">
        <v>32</v>
      </c>
      <c r="N66" s="176" t="s">
        <v>32</v>
      </c>
      <c r="O66" s="191" t="str">
        <f>HYPERLINK("https://leetcode.com/problems/add-binary/","https://leetcode.com/problems/add-binary/")</f>
        <v>https://leetcode.com/problems/add-binary/</v>
      </c>
    </row>
    <row r="67" spans="1:15" ht="31.5" customHeight="1" x14ac:dyDescent="0.2">
      <c r="A67" s="110">
        <v>62</v>
      </c>
      <c r="B67" s="110">
        <v>68</v>
      </c>
      <c r="C67" s="111" t="s">
        <v>386</v>
      </c>
      <c r="D67" s="110" t="s">
        <v>4499</v>
      </c>
      <c r="E67" s="114" t="s">
        <v>42</v>
      </c>
      <c r="F67" s="113" t="s">
        <v>387</v>
      </c>
      <c r="G67" s="113" t="s">
        <v>4500</v>
      </c>
      <c r="H67" s="110">
        <f>IFERROR(VLOOKUP(B67,'📊 Problem Tracker'!$B$4:$F$1200,5,FALSE()),"")</f>
        <v>0</v>
      </c>
      <c r="I67" s="110"/>
      <c r="J67" s="110"/>
      <c r="K67" s="113"/>
      <c r="L67" s="267" t="s">
        <v>390</v>
      </c>
      <c r="M67" s="110" t="s">
        <v>391</v>
      </c>
      <c r="N67" s="179" t="s">
        <v>392</v>
      </c>
      <c r="O67" s="192" t="str">
        <f>HYPERLINK("https://leetcode.com/problems/text-justification/","https://leetcode.com/problems/text-justification/")</f>
        <v>https://leetcode.com/problems/text-justification/</v>
      </c>
    </row>
    <row r="68" spans="1:15" ht="31.5" customHeight="1" x14ac:dyDescent="0.2">
      <c r="A68" s="7">
        <v>63</v>
      </c>
      <c r="B68" s="7">
        <v>69</v>
      </c>
      <c r="C68" s="13" t="s">
        <v>394</v>
      </c>
      <c r="D68" s="7" t="s">
        <v>4501</v>
      </c>
      <c r="E68" s="21" t="s">
        <v>20</v>
      </c>
      <c r="F68" s="3" t="s">
        <v>295</v>
      </c>
      <c r="G68" s="3" t="s">
        <v>512</v>
      </c>
      <c r="H68" s="7">
        <f>IFERROR(VLOOKUP(B68,'📊 Problem Tracker'!$B$4:$F$1200,5,FALSE()),"")</f>
        <v>0</v>
      </c>
      <c r="I68" s="7"/>
      <c r="J68" s="7"/>
      <c r="K68" s="3"/>
      <c r="L68" s="228" t="s">
        <v>396</v>
      </c>
      <c r="M68" s="7" t="s">
        <v>65</v>
      </c>
      <c r="N68" s="176" t="s">
        <v>47</v>
      </c>
      <c r="O68" s="191" t="str">
        <f>HYPERLINK("https://leetcode.com/problems/sqrtx/","https://leetcode.com/problems/sqrtx/")</f>
        <v>https://leetcode.com/problems/sqrtx/</v>
      </c>
    </row>
    <row r="69" spans="1:15" ht="31.5" customHeight="1" x14ac:dyDescent="0.2">
      <c r="A69" s="110">
        <v>64</v>
      </c>
      <c r="B69" s="110">
        <v>70</v>
      </c>
      <c r="C69" s="111" t="s">
        <v>398</v>
      </c>
      <c r="D69" s="110" t="s">
        <v>4437</v>
      </c>
      <c r="E69" s="115" t="s">
        <v>20</v>
      </c>
      <c r="F69" s="113" t="s">
        <v>1314</v>
      </c>
      <c r="G69" s="113" t="s">
        <v>4264</v>
      </c>
      <c r="H69" s="110">
        <f>IFERROR(VLOOKUP(B69,'📊 Problem Tracker'!$B$4:$F$1200,5,FALSE()),"")</f>
        <v>0</v>
      </c>
      <c r="I69" s="110"/>
      <c r="J69" s="110"/>
      <c r="K69" s="113"/>
      <c r="L69" s="267" t="s">
        <v>400</v>
      </c>
      <c r="M69" s="110" t="s">
        <v>24</v>
      </c>
      <c r="N69" s="179" t="s">
        <v>47</v>
      </c>
      <c r="O69" s="192" t="str">
        <f>HYPERLINK("https://leetcode.com/problems/climbing-stairs/","https://leetcode.com/problems/climbing-stairs/")</f>
        <v>https://leetcode.com/problems/climbing-stairs/</v>
      </c>
    </row>
    <row r="70" spans="1:15" ht="31.5" customHeight="1" x14ac:dyDescent="0.2">
      <c r="A70" s="7">
        <v>65</v>
      </c>
      <c r="B70" s="7">
        <v>71</v>
      </c>
      <c r="C70" s="13" t="s">
        <v>402</v>
      </c>
      <c r="D70" s="7" t="s">
        <v>4502</v>
      </c>
      <c r="E70" s="18" t="s">
        <v>28</v>
      </c>
      <c r="F70" s="3" t="s">
        <v>133</v>
      </c>
      <c r="G70" s="3" t="s">
        <v>540</v>
      </c>
      <c r="H70" s="7">
        <f>IFERROR(VLOOKUP(B70,'📊 Problem Tracker'!$B$4:$F$1200,5,FALSE()),"")</f>
        <v>0</v>
      </c>
      <c r="I70" s="7"/>
      <c r="J70" s="7"/>
      <c r="K70" s="3"/>
      <c r="L70" s="228" t="s">
        <v>404</v>
      </c>
      <c r="M70" s="7" t="s">
        <v>24</v>
      </c>
      <c r="N70" s="176" t="s">
        <v>24</v>
      </c>
      <c r="O70" s="191" t="str">
        <f>HYPERLINK("https://leetcode.com/problems/simplify-path/","https://leetcode.com/problems/simplify-path/")</f>
        <v>https://leetcode.com/problems/simplify-path/</v>
      </c>
    </row>
    <row r="71" spans="1:15" ht="31.5" customHeight="1" x14ac:dyDescent="0.2">
      <c r="A71" s="110">
        <v>66</v>
      </c>
      <c r="B71" s="110">
        <v>72</v>
      </c>
      <c r="C71" s="111" t="s">
        <v>406</v>
      </c>
      <c r="D71" s="110" t="s">
        <v>4503</v>
      </c>
      <c r="E71" s="112" t="s">
        <v>28</v>
      </c>
      <c r="F71" s="113" t="s">
        <v>50</v>
      </c>
      <c r="G71" s="113" t="s">
        <v>4504</v>
      </c>
      <c r="H71" s="110">
        <f>IFERROR(VLOOKUP(B71,'📊 Problem Tracker'!$B$4:$F$1200,5,FALSE()),"")</f>
        <v>0</v>
      </c>
      <c r="I71" s="110"/>
      <c r="J71" s="110"/>
      <c r="K71" s="113"/>
      <c r="L71" s="267" t="s">
        <v>408</v>
      </c>
      <c r="M71" s="110" t="s">
        <v>81</v>
      </c>
      <c r="N71" s="179" t="s">
        <v>409</v>
      </c>
      <c r="O71" s="192" t="str">
        <f>HYPERLINK("https://leetcode.com/problems/edit-distance/","https://leetcode.com/problems/edit-distance/")</f>
        <v>https://leetcode.com/problems/edit-distance/</v>
      </c>
    </row>
    <row r="72" spans="1:15" ht="31.5" customHeight="1" x14ac:dyDescent="0.2">
      <c r="A72" s="7">
        <v>67</v>
      </c>
      <c r="B72" s="7">
        <v>73</v>
      </c>
      <c r="C72" s="13" t="s">
        <v>411</v>
      </c>
      <c r="D72" s="7" t="s">
        <v>4472</v>
      </c>
      <c r="E72" s="18" t="s">
        <v>28</v>
      </c>
      <c r="F72" s="3" t="s">
        <v>283</v>
      </c>
      <c r="G72" s="3" t="s">
        <v>4187</v>
      </c>
      <c r="H72" s="7">
        <f>IFERROR(VLOOKUP(B72,'📊 Problem Tracker'!$B$4:$F$1200,5,FALSE()),"")</f>
        <v>0</v>
      </c>
      <c r="I72" s="7"/>
      <c r="J72" s="7"/>
      <c r="K72" s="3"/>
      <c r="L72" s="228" t="s">
        <v>413</v>
      </c>
      <c r="M72" s="7" t="s">
        <v>81</v>
      </c>
      <c r="N72" s="176" t="s">
        <v>47</v>
      </c>
      <c r="O72" s="191" t="str">
        <f>HYPERLINK("https://leetcode.com/problems/set-matrix-zeroes/","https://leetcode.com/problems/set-matrix-zeroes/")</f>
        <v>https://leetcode.com/problems/set-matrix-zeroes/</v>
      </c>
    </row>
    <row r="73" spans="1:15" ht="31.5" customHeight="1" x14ac:dyDescent="0.2">
      <c r="A73" s="110">
        <v>68</v>
      </c>
      <c r="B73" s="110">
        <v>74</v>
      </c>
      <c r="C73" s="111" t="s">
        <v>415</v>
      </c>
      <c r="D73" s="110" t="s">
        <v>4505</v>
      </c>
      <c r="E73" s="112" t="s">
        <v>28</v>
      </c>
      <c r="F73" s="113" t="s">
        <v>416</v>
      </c>
      <c r="G73" s="113" t="s">
        <v>512</v>
      </c>
      <c r="H73" s="110">
        <f>IFERROR(VLOOKUP(B73,'📊 Problem Tracker'!$B$4:$F$1200,5,FALSE()),"")</f>
        <v>0</v>
      </c>
      <c r="I73" s="110"/>
      <c r="J73" s="110"/>
      <c r="K73" s="113"/>
      <c r="L73" s="267" t="s">
        <v>419</v>
      </c>
      <c r="M73" s="110" t="s">
        <v>420</v>
      </c>
      <c r="N73" s="179" t="s">
        <v>47</v>
      </c>
      <c r="O73" s="192" t="str">
        <f>HYPERLINK("https://leetcode.com/problems/search-a-2d-matrix/","https://leetcode.com/problems/search-a-2d-matrix/")</f>
        <v>https://leetcode.com/problems/search-a-2d-matrix/</v>
      </c>
    </row>
    <row r="74" spans="1:15" ht="31.5" customHeight="1" x14ac:dyDescent="0.2">
      <c r="A74" s="7">
        <v>69</v>
      </c>
      <c r="B74" s="7">
        <v>75</v>
      </c>
      <c r="C74" s="13" t="s">
        <v>422</v>
      </c>
      <c r="D74" s="7" t="s">
        <v>4506</v>
      </c>
      <c r="E74" s="18" t="s">
        <v>28</v>
      </c>
      <c r="F74" s="3" t="s">
        <v>84</v>
      </c>
      <c r="G74" s="3" t="s">
        <v>4507</v>
      </c>
      <c r="H74" s="7">
        <f>IFERROR(VLOOKUP(B74,'📊 Problem Tracker'!$B$4:$F$1200,5,FALSE()),"")</f>
        <v>0</v>
      </c>
      <c r="I74" s="7"/>
      <c r="J74" s="7"/>
      <c r="K74" s="3"/>
      <c r="L74" s="228" t="s">
        <v>424</v>
      </c>
      <c r="M74" s="7" t="s">
        <v>24</v>
      </c>
      <c r="N74" s="176" t="s">
        <v>47</v>
      </c>
      <c r="O74" s="191" t="str">
        <f>HYPERLINK("https://leetcode.com/problems/sort-colors/","https://leetcode.com/problems/sort-colors/")</f>
        <v>https://leetcode.com/problems/sort-colors/</v>
      </c>
    </row>
    <row r="75" spans="1:15" ht="31.5" customHeight="1" x14ac:dyDescent="0.2">
      <c r="A75" s="110">
        <v>70</v>
      </c>
      <c r="B75" s="110">
        <v>76</v>
      </c>
      <c r="C75" s="111" t="s">
        <v>426</v>
      </c>
      <c r="D75" s="110" t="s">
        <v>4445</v>
      </c>
      <c r="E75" s="114" t="s">
        <v>42</v>
      </c>
      <c r="F75" s="113" t="s">
        <v>427</v>
      </c>
      <c r="G75" s="113" t="s">
        <v>917</v>
      </c>
      <c r="H75" s="110">
        <f>IFERROR(VLOOKUP(B75,'📊 Problem Tracker'!$B$4:$F$1200,5,FALSE()),"")</f>
        <v>0</v>
      </c>
      <c r="I75" s="110"/>
      <c r="J75" s="110"/>
      <c r="K75" s="113"/>
      <c r="L75" s="267" t="s">
        <v>430</v>
      </c>
      <c r="M75" s="110" t="s">
        <v>178</v>
      </c>
      <c r="N75" s="179" t="s">
        <v>153</v>
      </c>
      <c r="O75" s="192" t="str">
        <f>HYPERLINK("https://leetcode.com/problems/minimum-window-substring/","https://leetcode.com/problems/minimum-window-substring/")</f>
        <v>https://leetcode.com/problems/minimum-window-substring/</v>
      </c>
    </row>
    <row r="76" spans="1:15" ht="31.5" customHeight="1" x14ac:dyDescent="0.2">
      <c r="A76" s="7">
        <v>71</v>
      </c>
      <c r="B76" s="7">
        <v>78</v>
      </c>
      <c r="C76" s="13" t="s">
        <v>436</v>
      </c>
      <c r="D76" s="7" t="s">
        <v>4508</v>
      </c>
      <c r="E76" s="18" t="s">
        <v>28</v>
      </c>
      <c r="F76" s="3" t="s">
        <v>234</v>
      </c>
      <c r="G76" s="3" t="s">
        <v>4509</v>
      </c>
      <c r="H76" s="7">
        <f>IFERROR(VLOOKUP(B76,'📊 Problem Tracker'!$B$4:$F$1200,5,FALSE()),"")</f>
        <v>0</v>
      </c>
      <c r="I76" s="7"/>
      <c r="J76" s="7"/>
      <c r="K76" s="3"/>
      <c r="L76" s="228" t="s">
        <v>439</v>
      </c>
      <c r="M76" s="7" t="s">
        <v>440</v>
      </c>
      <c r="N76" s="176" t="s">
        <v>24</v>
      </c>
      <c r="O76" s="191" t="str">
        <f>HYPERLINK("https://leetcode.com/problems/subsets/","https://leetcode.com/problems/subsets/")</f>
        <v>https://leetcode.com/problems/subsets/</v>
      </c>
    </row>
    <row r="77" spans="1:15" ht="31.5" customHeight="1" x14ac:dyDescent="0.2">
      <c r="A77" s="110">
        <v>72</v>
      </c>
      <c r="B77" s="110">
        <v>79</v>
      </c>
      <c r="C77" s="111" t="s">
        <v>442</v>
      </c>
      <c r="D77" s="110" t="s">
        <v>4510</v>
      </c>
      <c r="E77" s="112" t="s">
        <v>28</v>
      </c>
      <c r="F77" s="113" t="s">
        <v>4192</v>
      </c>
      <c r="G77" s="113" t="s">
        <v>4268</v>
      </c>
      <c r="H77" s="110">
        <f>IFERROR(VLOOKUP(B77,'📊 Problem Tracker'!$B$4:$F$1200,5,FALSE()),"")</f>
        <v>0</v>
      </c>
      <c r="I77" s="110"/>
      <c r="J77" s="110"/>
      <c r="K77" s="113"/>
      <c r="L77" s="267" t="s">
        <v>445</v>
      </c>
      <c r="M77" s="110" t="s">
        <v>446</v>
      </c>
      <c r="N77" s="179" t="s">
        <v>392</v>
      </c>
      <c r="O77" s="192" t="str">
        <f>HYPERLINK("https://leetcode.com/problems/word-search/","https://leetcode.com/problems/word-search/")</f>
        <v>https://leetcode.com/problems/word-search/</v>
      </c>
    </row>
    <row r="78" spans="1:15" ht="31.5" customHeight="1" x14ac:dyDescent="0.2">
      <c r="A78" s="7">
        <v>73</v>
      </c>
      <c r="B78" s="7">
        <v>80</v>
      </c>
      <c r="C78" s="13" t="s">
        <v>448</v>
      </c>
      <c r="D78" s="7" t="s">
        <v>4511</v>
      </c>
      <c r="E78" s="18" t="s">
        <v>28</v>
      </c>
      <c r="F78" s="3" t="s">
        <v>84</v>
      </c>
      <c r="G78" s="3" t="s">
        <v>689</v>
      </c>
      <c r="H78" s="7">
        <f>IFERROR(VLOOKUP(B78,'📊 Problem Tracker'!$B$4:$F$1200,5,FALSE()),"")</f>
        <v>0</v>
      </c>
      <c r="I78" s="7"/>
      <c r="J78" s="7"/>
      <c r="K78" s="3"/>
      <c r="L78" s="228" t="s">
        <v>450</v>
      </c>
      <c r="M78" s="7" t="s">
        <v>24</v>
      </c>
      <c r="N78" s="176" t="s">
        <v>47</v>
      </c>
      <c r="O78" s="191" t="str">
        <f>HYPERLINK("https://leetcode.com/problems/remove-duplicates-from-sorted-array-ii/","https://leetcode.com/problems/remove-duplicates-from-sorted-array-ii/")</f>
        <v>https://leetcode.com/problems/remove-duplicates-from-sorted-array-ii/</v>
      </c>
    </row>
    <row r="79" spans="1:15" ht="31.5" customHeight="1" x14ac:dyDescent="0.2">
      <c r="A79" s="110">
        <v>74</v>
      </c>
      <c r="B79" s="110">
        <v>83</v>
      </c>
      <c r="C79" s="111" t="s">
        <v>463</v>
      </c>
      <c r="D79" s="110" t="s">
        <v>4487</v>
      </c>
      <c r="E79" s="115" t="s">
        <v>20</v>
      </c>
      <c r="F79" s="113" t="s">
        <v>127</v>
      </c>
      <c r="G79" s="113" t="s">
        <v>127</v>
      </c>
      <c r="H79" s="110">
        <f>IFERROR(VLOOKUP(B79,'📊 Problem Tracker'!$B$4:$F$1200,5,FALSE()),"")</f>
        <v>0</v>
      </c>
      <c r="I79" s="110"/>
      <c r="J79" s="110"/>
      <c r="K79" s="113"/>
      <c r="L79" s="267" t="s">
        <v>461</v>
      </c>
      <c r="M79" s="110" t="s">
        <v>24</v>
      </c>
      <c r="N79" s="179" t="s">
        <v>47</v>
      </c>
      <c r="O79" s="192" t="str">
        <f>HYPERLINK("https://leetcode.com/problems/remove-duplicates-from-sorted-list/","https://leetcode.com/problems/remove-duplicates-from-sorted-list/")</f>
        <v>https://leetcode.com/problems/remove-duplicates-from-sorted-list/</v>
      </c>
    </row>
    <row r="80" spans="1:15" ht="31.5" customHeight="1" x14ac:dyDescent="0.2">
      <c r="A80" s="7">
        <v>75</v>
      </c>
      <c r="B80" s="7">
        <v>84</v>
      </c>
      <c r="C80" s="13" t="s">
        <v>465</v>
      </c>
      <c r="D80" s="7" t="s">
        <v>4497</v>
      </c>
      <c r="E80" s="20" t="s">
        <v>42</v>
      </c>
      <c r="F80" s="3" t="s">
        <v>466</v>
      </c>
      <c r="G80" s="3" t="s">
        <v>1473</v>
      </c>
      <c r="H80" s="7">
        <f>IFERROR(VLOOKUP(B80,'📊 Problem Tracker'!$B$4:$F$1200,5,FALSE()),"")</f>
        <v>0</v>
      </c>
      <c r="I80" s="7"/>
      <c r="J80" s="7"/>
      <c r="K80" s="3"/>
      <c r="L80" s="228" t="s">
        <v>468</v>
      </c>
      <c r="M80" s="7" t="s">
        <v>24</v>
      </c>
      <c r="N80" s="176" t="s">
        <v>24</v>
      </c>
      <c r="O80" s="191" t="str">
        <f>HYPERLINK("https://leetcode.com/problems/largest-rectangle-in-histogram/","https://leetcode.com/problems/largest-rectangle-in-histogram/")</f>
        <v>https://leetcode.com/problems/largest-rectangle-in-histogram/</v>
      </c>
    </row>
    <row r="81" spans="1:15" ht="31.5" customHeight="1" x14ac:dyDescent="0.2">
      <c r="A81" s="110">
        <v>76</v>
      </c>
      <c r="B81" s="110">
        <v>85</v>
      </c>
      <c r="C81" s="111" t="s">
        <v>470</v>
      </c>
      <c r="D81" s="110" t="s">
        <v>4512</v>
      </c>
      <c r="E81" s="114" t="s">
        <v>42</v>
      </c>
      <c r="F81" s="113" t="s">
        <v>471</v>
      </c>
      <c r="G81" s="113" t="s">
        <v>4513</v>
      </c>
      <c r="H81" s="110">
        <f>IFERROR(VLOOKUP(B81,'📊 Problem Tracker'!$B$4:$F$1200,5,FALSE()),"")</f>
        <v>0</v>
      </c>
      <c r="I81" s="110"/>
      <c r="J81" s="110"/>
      <c r="K81" s="113"/>
      <c r="L81" s="267" t="s">
        <v>473</v>
      </c>
      <c r="M81" s="110" t="s">
        <v>81</v>
      </c>
      <c r="N81" s="179" t="s">
        <v>24</v>
      </c>
      <c r="O81" s="192" t="str">
        <f>HYPERLINK("https://leetcode.com/problems/maximal-rectangle/","https://leetcode.com/problems/maximal-rectangle/")</f>
        <v>https://leetcode.com/problems/maximal-rectangle/</v>
      </c>
    </row>
    <row r="82" spans="1:15" ht="31.5" customHeight="1" x14ac:dyDescent="0.2">
      <c r="A82" s="7">
        <v>77</v>
      </c>
      <c r="B82" s="7">
        <v>88</v>
      </c>
      <c r="C82" s="13" t="s">
        <v>479</v>
      </c>
      <c r="D82" s="7" t="s">
        <v>4514</v>
      </c>
      <c r="E82" s="21" t="s">
        <v>20</v>
      </c>
      <c r="F82" s="3" t="s">
        <v>84</v>
      </c>
      <c r="G82" s="3" t="s">
        <v>689</v>
      </c>
      <c r="H82" s="7">
        <f>IFERROR(VLOOKUP(B82,'📊 Problem Tracker'!$B$4:$F$1200,5,FALSE()),"")</f>
        <v>0</v>
      </c>
      <c r="I82" s="7"/>
      <c r="J82" s="7"/>
      <c r="K82" s="3"/>
      <c r="L82" s="228" t="s">
        <v>481</v>
      </c>
      <c r="M82" s="7" t="s">
        <v>259</v>
      </c>
      <c r="N82" s="176" t="s">
        <v>47</v>
      </c>
      <c r="O82" s="191" t="str">
        <f>HYPERLINK("https://leetcode.com/problems/merge-sorted-array/","https://leetcode.com/problems/merge-sorted-array/")</f>
        <v>https://leetcode.com/problems/merge-sorted-array/</v>
      </c>
    </row>
    <row r="83" spans="1:15" ht="31.5" customHeight="1" x14ac:dyDescent="0.2">
      <c r="A83" s="110">
        <v>78</v>
      </c>
      <c r="B83" s="110">
        <v>90</v>
      </c>
      <c r="C83" s="111" t="s">
        <v>487</v>
      </c>
      <c r="D83" s="110" t="s">
        <v>4515</v>
      </c>
      <c r="E83" s="112" t="s">
        <v>28</v>
      </c>
      <c r="F83" s="113" t="s">
        <v>234</v>
      </c>
      <c r="G83" s="113" t="s">
        <v>300</v>
      </c>
      <c r="H83" s="110">
        <f>IFERROR(VLOOKUP(B83,'📊 Problem Tracker'!$B$4:$F$1200,5,FALSE()),"")</f>
        <v>0</v>
      </c>
      <c r="I83" s="110"/>
      <c r="J83" s="110"/>
      <c r="K83" s="113"/>
      <c r="L83" s="267" t="s">
        <v>302</v>
      </c>
      <c r="M83" s="110" t="s">
        <v>440</v>
      </c>
      <c r="N83" s="179" t="s">
        <v>24</v>
      </c>
      <c r="O83" s="192" t="str">
        <f>HYPERLINK("https://leetcode.com/problems/subsets-ii/","https://leetcode.com/problems/subsets-ii/")</f>
        <v>https://leetcode.com/problems/subsets-ii/</v>
      </c>
    </row>
    <row r="84" spans="1:15" ht="31.5" customHeight="1" x14ac:dyDescent="0.2">
      <c r="A84" s="7">
        <v>79</v>
      </c>
      <c r="B84" s="7">
        <v>91</v>
      </c>
      <c r="C84" s="13" t="s">
        <v>490</v>
      </c>
      <c r="D84" s="7" t="s">
        <v>4516</v>
      </c>
      <c r="E84" s="18" t="s">
        <v>28</v>
      </c>
      <c r="F84" s="3" t="s">
        <v>50</v>
      </c>
      <c r="G84" s="3" t="s">
        <v>1042</v>
      </c>
      <c r="H84" s="7">
        <f>IFERROR(VLOOKUP(B84,'📊 Problem Tracker'!$B$4:$F$1200,5,FALSE()),"")</f>
        <v>0</v>
      </c>
      <c r="I84" s="7"/>
      <c r="J84" s="7"/>
      <c r="K84" s="3"/>
      <c r="L84" s="228" t="s">
        <v>492</v>
      </c>
      <c r="M84" s="7" t="s">
        <v>24</v>
      </c>
      <c r="N84" s="176" t="s">
        <v>47</v>
      </c>
      <c r="O84" s="191" t="str">
        <f>HYPERLINK("https://leetcode.com/problems/decode-ways/","https://leetcode.com/problems/decode-ways/")</f>
        <v>https://leetcode.com/problems/decode-ways/</v>
      </c>
    </row>
    <row r="85" spans="1:15" ht="31.5" customHeight="1" x14ac:dyDescent="0.2">
      <c r="A85" s="110">
        <v>80</v>
      </c>
      <c r="B85" s="110">
        <v>92</v>
      </c>
      <c r="C85" s="111" t="s">
        <v>494</v>
      </c>
      <c r="D85" s="110" t="s">
        <v>4517</v>
      </c>
      <c r="E85" s="112" t="s">
        <v>28</v>
      </c>
      <c r="F85" s="113" t="s">
        <v>127</v>
      </c>
      <c r="G85" s="113" t="s">
        <v>127</v>
      </c>
      <c r="H85" s="110">
        <f>IFERROR(VLOOKUP(B85,'📊 Problem Tracker'!$B$4:$F$1200,5,FALSE()),"")</f>
        <v>0</v>
      </c>
      <c r="I85" s="110"/>
      <c r="J85" s="110"/>
      <c r="K85" s="113"/>
      <c r="L85" s="267" t="s">
        <v>461</v>
      </c>
      <c r="M85" s="110" t="s">
        <v>24</v>
      </c>
      <c r="N85" s="179" t="s">
        <v>47</v>
      </c>
      <c r="O85" s="192" t="str">
        <f>HYPERLINK("https://leetcode.com/problems/reverse-linked-list-ii/","https://leetcode.com/problems/reverse-linked-list-ii/")</f>
        <v>https://leetcode.com/problems/reverse-linked-list-ii/</v>
      </c>
    </row>
    <row r="86" spans="1:15" ht="31.5" customHeight="1" x14ac:dyDescent="0.2">
      <c r="A86" s="7">
        <v>81</v>
      </c>
      <c r="B86" s="7">
        <v>94</v>
      </c>
      <c r="C86" s="13" t="s">
        <v>499</v>
      </c>
      <c r="D86" s="7" t="s">
        <v>4481</v>
      </c>
      <c r="E86" s="21" t="s">
        <v>20</v>
      </c>
      <c r="F86" s="3" t="s">
        <v>500</v>
      </c>
      <c r="G86" s="3" t="s">
        <v>4256</v>
      </c>
      <c r="H86" s="7">
        <f>IFERROR(VLOOKUP(B86,'📊 Problem Tracker'!$B$4:$F$1200,5,FALSE()),"")</f>
        <v>0</v>
      </c>
      <c r="I86" s="7"/>
      <c r="J86" s="7"/>
      <c r="K86" s="3"/>
      <c r="L86" s="228" t="s">
        <v>502</v>
      </c>
      <c r="M86" s="7" t="s">
        <v>24</v>
      </c>
      <c r="N86" s="176" t="s">
        <v>503</v>
      </c>
      <c r="O86" s="191" t="str">
        <f>HYPERLINK("https://leetcode.com/problems/binary-tree-inorder-traversal/","https://leetcode.com/problems/binary-tree-inorder-traversal/")</f>
        <v>https://leetcode.com/problems/binary-tree-inorder-traversal/</v>
      </c>
    </row>
    <row r="87" spans="1:15" ht="31.5" customHeight="1" x14ac:dyDescent="0.2">
      <c r="A87" s="110">
        <v>82</v>
      </c>
      <c r="B87" s="110">
        <v>97</v>
      </c>
      <c r="C87" s="111" t="s">
        <v>515</v>
      </c>
      <c r="D87" s="110" t="s">
        <v>4518</v>
      </c>
      <c r="E87" s="112" t="s">
        <v>28</v>
      </c>
      <c r="F87" s="113" t="s">
        <v>50</v>
      </c>
      <c r="G87" s="113" t="s">
        <v>1042</v>
      </c>
      <c r="H87" s="110">
        <f>IFERROR(VLOOKUP(B87,'📊 Problem Tracker'!$B$4:$F$1200,5,FALSE()),"")</f>
        <v>0</v>
      </c>
      <c r="I87" s="110"/>
      <c r="J87" s="110"/>
      <c r="K87" s="113"/>
      <c r="L87" s="267" t="s">
        <v>508</v>
      </c>
      <c r="M87" s="110" t="s">
        <v>81</v>
      </c>
      <c r="N87" s="179" t="s">
        <v>81</v>
      </c>
      <c r="O87" s="192" t="str">
        <f>HYPERLINK("https://leetcode.com/problems/interleaving-string/","https://leetcode.com/problems/interleaving-string/")</f>
        <v>https://leetcode.com/problems/interleaving-string/</v>
      </c>
    </row>
    <row r="88" spans="1:15" ht="31.5" customHeight="1" x14ac:dyDescent="0.2">
      <c r="A88" s="7">
        <v>83</v>
      </c>
      <c r="B88" s="7">
        <v>98</v>
      </c>
      <c r="C88" s="13" t="s">
        <v>517</v>
      </c>
      <c r="D88" s="7" t="s">
        <v>4519</v>
      </c>
      <c r="E88" s="18" t="s">
        <v>28</v>
      </c>
      <c r="F88" s="3" t="s">
        <v>518</v>
      </c>
      <c r="G88" s="3" t="s">
        <v>4520</v>
      </c>
      <c r="H88" s="7">
        <f>IFERROR(VLOOKUP(B88,'📊 Problem Tracker'!$B$4:$F$1200,5,FALSE()),"")</f>
        <v>0</v>
      </c>
      <c r="I88" s="7"/>
      <c r="J88" s="7"/>
      <c r="K88" s="3"/>
      <c r="L88" s="228" t="s">
        <v>520</v>
      </c>
      <c r="M88" s="7" t="s">
        <v>24</v>
      </c>
      <c r="N88" s="176" t="s">
        <v>503</v>
      </c>
      <c r="O88" s="191" t="str">
        <f>HYPERLINK("https://leetcode.com/problems/validate-binary-search-tree/","https://leetcode.com/problems/validate-binary-search-tree/")</f>
        <v>https://leetcode.com/problems/validate-binary-search-tree/</v>
      </c>
    </row>
    <row r="89" spans="1:15" ht="31.5" customHeight="1" x14ac:dyDescent="0.2">
      <c r="A89" s="110">
        <v>84</v>
      </c>
      <c r="B89" s="110">
        <v>99</v>
      </c>
      <c r="C89" s="111" t="s">
        <v>522</v>
      </c>
      <c r="D89" s="110" t="s">
        <v>4521</v>
      </c>
      <c r="E89" s="112" t="s">
        <v>28</v>
      </c>
      <c r="F89" s="113" t="s">
        <v>518</v>
      </c>
      <c r="G89" s="113" t="s">
        <v>4520</v>
      </c>
      <c r="H89" s="110">
        <f>IFERROR(VLOOKUP(B89,'📊 Problem Tracker'!$B$4:$F$1200,5,FALSE()),"")</f>
        <v>0</v>
      </c>
      <c r="I89" s="110"/>
      <c r="J89" s="110"/>
      <c r="K89" s="113"/>
      <c r="L89" s="267" t="s">
        <v>513</v>
      </c>
      <c r="M89" s="110" t="s">
        <v>24</v>
      </c>
      <c r="N89" s="179" t="s">
        <v>503</v>
      </c>
      <c r="O89" s="192" t="str">
        <f>HYPERLINK("https://leetcode.com/problems/recover-binary-search-tree/","https://leetcode.com/problems/recover-binary-search-tree/")</f>
        <v>https://leetcode.com/problems/recover-binary-search-tree/</v>
      </c>
    </row>
    <row r="90" spans="1:15" ht="31.5" customHeight="1" x14ac:dyDescent="0.2">
      <c r="A90" s="7">
        <v>85</v>
      </c>
      <c r="B90" s="7">
        <v>100</v>
      </c>
      <c r="C90" s="13" t="s">
        <v>524</v>
      </c>
      <c r="D90" s="7" t="s">
        <v>4522</v>
      </c>
      <c r="E90" s="21" t="s">
        <v>20</v>
      </c>
      <c r="F90" s="3" t="s">
        <v>500</v>
      </c>
      <c r="G90" s="3" t="s">
        <v>4256</v>
      </c>
      <c r="H90" s="7">
        <f>IFERROR(VLOOKUP(B90,'📊 Problem Tracker'!$B$4:$F$1200,5,FALSE()),"")</f>
        <v>0</v>
      </c>
      <c r="I90" s="7"/>
      <c r="J90" s="7"/>
      <c r="K90" s="3"/>
      <c r="L90" s="228" t="s">
        <v>526</v>
      </c>
      <c r="M90" s="7" t="s">
        <v>24</v>
      </c>
      <c r="N90" s="176" t="s">
        <v>503</v>
      </c>
      <c r="O90" s="191" t="str">
        <f>HYPERLINK("https://leetcode.com/problems/same-tree/","https://leetcode.com/problems/same-tree/")</f>
        <v>https://leetcode.com/problems/same-tree/</v>
      </c>
    </row>
    <row r="91" spans="1:15" ht="31.5" customHeight="1" x14ac:dyDescent="0.2">
      <c r="A91" s="110">
        <v>86</v>
      </c>
      <c r="B91" s="110">
        <v>101</v>
      </c>
      <c r="C91" s="111" t="s">
        <v>528</v>
      </c>
      <c r="D91" s="110" t="s">
        <v>4523</v>
      </c>
      <c r="E91" s="115" t="s">
        <v>20</v>
      </c>
      <c r="F91" s="113" t="s">
        <v>529</v>
      </c>
      <c r="G91" s="113" t="s">
        <v>4256</v>
      </c>
      <c r="H91" s="110">
        <f>IFERROR(VLOOKUP(B91,'📊 Problem Tracker'!$B$4:$F$1200,5,FALSE()),"")</f>
        <v>0</v>
      </c>
      <c r="I91" s="110"/>
      <c r="J91" s="110"/>
      <c r="K91" s="113"/>
      <c r="L91" s="267" t="s">
        <v>531</v>
      </c>
      <c r="M91" s="110" t="s">
        <v>24</v>
      </c>
      <c r="N91" s="179" t="s">
        <v>503</v>
      </c>
      <c r="O91" s="192" t="str">
        <f>HYPERLINK("https://leetcode.com/problems/symmetric-tree/","https://leetcode.com/problems/symmetric-tree/")</f>
        <v>https://leetcode.com/problems/symmetric-tree/</v>
      </c>
    </row>
    <row r="92" spans="1:15" ht="31.5" customHeight="1" x14ac:dyDescent="0.2">
      <c r="A92" s="7">
        <v>87</v>
      </c>
      <c r="B92" s="7">
        <v>102</v>
      </c>
      <c r="C92" s="13" t="s">
        <v>533</v>
      </c>
      <c r="D92" s="7" t="s">
        <v>4524</v>
      </c>
      <c r="E92" s="18" t="s">
        <v>28</v>
      </c>
      <c r="F92" s="3" t="s">
        <v>534</v>
      </c>
      <c r="G92" s="3" t="s">
        <v>4270</v>
      </c>
      <c r="H92" s="7">
        <f>IFERROR(VLOOKUP(B92,'📊 Problem Tracker'!$B$4:$F$1200,5,FALSE()),"")</f>
        <v>0</v>
      </c>
      <c r="I92" s="7"/>
      <c r="J92" s="7"/>
      <c r="K92" s="3"/>
      <c r="L92" s="228" t="s">
        <v>536</v>
      </c>
      <c r="M92" s="7" t="s">
        <v>24</v>
      </c>
      <c r="N92" s="176" t="s">
        <v>24</v>
      </c>
      <c r="O92" s="191" t="str">
        <f>HYPERLINK("https://leetcode.com/problems/binary-tree-level-order-traversal/","https://leetcode.com/problems/binary-tree-level-order-traversal/")</f>
        <v>https://leetcode.com/problems/binary-tree-level-order-traversal/</v>
      </c>
    </row>
    <row r="93" spans="1:15" ht="31.5" customHeight="1" x14ac:dyDescent="0.2">
      <c r="A93" s="110">
        <v>88</v>
      </c>
      <c r="B93" s="110">
        <v>103</v>
      </c>
      <c r="C93" s="111" t="s">
        <v>538</v>
      </c>
      <c r="D93" s="110" t="s">
        <v>4525</v>
      </c>
      <c r="E93" s="112" t="s">
        <v>28</v>
      </c>
      <c r="F93" s="113" t="s">
        <v>539</v>
      </c>
      <c r="G93" s="113" t="s">
        <v>4270</v>
      </c>
      <c r="H93" s="110">
        <f>IFERROR(VLOOKUP(B93,'📊 Problem Tracker'!$B$4:$F$1200,5,FALSE()),"")</f>
        <v>0</v>
      </c>
      <c r="I93" s="110"/>
      <c r="J93" s="110"/>
      <c r="K93" s="113"/>
      <c r="L93" s="267" t="s">
        <v>542</v>
      </c>
      <c r="M93" s="110" t="s">
        <v>24</v>
      </c>
      <c r="N93" s="179" t="s">
        <v>24</v>
      </c>
      <c r="O93" s="192" t="str">
        <f>HYPERLINK("https://leetcode.com/problems/binary-tree-zigzag-level-order-traversal/","https://leetcode.com/problems/binary-tree-zigzag-level-order-traversal/")</f>
        <v>https://leetcode.com/problems/binary-tree-zigzag-level-order-traversal/</v>
      </c>
    </row>
    <row r="94" spans="1:15" ht="31.5" customHeight="1" x14ac:dyDescent="0.2">
      <c r="A94" s="7">
        <v>89</v>
      </c>
      <c r="B94" s="7">
        <v>104</v>
      </c>
      <c r="C94" s="13" t="s">
        <v>544</v>
      </c>
      <c r="D94" s="7" t="s">
        <v>4526</v>
      </c>
      <c r="E94" s="21" t="s">
        <v>20</v>
      </c>
      <c r="F94" s="3" t="s">
        <v>500</v>
      </c>
      <c r="G94" s="3" t="s">
        <v>4256</v>
      </c>
      <c r="H94" s="7">
        <f>IFERROR(VLOOKUP(B94,'📊 Problem Tracker'!$B$4:$F$1200,5,FALSE()),"")</f>
        <v>0</v>
      </c>
      <c r="I94" s="7"/>
      <c r="J94" s="7"/>
      <c r="K94" s="3"/>
      <c r="L94" s="228" t="s">
        <v>546</v>
      </c>
      <c r="M94" s="7" t="s">
        <v>24</v>
      </c>
      <c r="N94" s="176" t="s">
        <v>503</v>
      </c>
      <c r="O94" s="191" t="str">
        <f>HYPERLINK("https://leetcode.com/problems/maximum-depth-of-binary-tree/","https://leetcode.com/problems/maximum-depth-of-binary-tree/")</f>
        <v>https://leetcode.com/problems/maximum-depth-of-binary-tree/</v>
      </c>
    </row>
    <row r="95" spans="1:15" ht="31.5" customHeight="1" x14ac:dyDescent="0.2">
      <c r="A95" s="110">
        <v>90</v>
      </c>
      <c r="B95" s="110">
        <v>105</v>
      </c>
      <c r="C95" s="111" t="s">
        <v>548</v>
      </c>
      <c r="D95" s="110" t="s">
        <v>4527</v>
      </c>
      <c r="E95" s="112" t="s">
        <v>28</v>
      </c>
      <c r="F95" s="113" t="s">
        <v>549</v>
      </c>
      <c r="G95" s="113" t="s">
        <v>4256</v>
      </c>
      <c r="H95" s="110">
        <f>IFERROR(VLOOKUP(B95,'📊 Problem Tracker'!$B$4:$F$1200,5,FALSE()),"")</f>
        <v>0</v>
      </c>
      <c r="I95" s="110"/>
      <c r="J95" s="110"/>
      <c r="K95" s="113"/>
      <c r="L95" s="267" t="s">
        <v>551</v>
      </c>
      <c r="M95" s="110" t="s">
        <v>24</v>
      </c>
      <c r="N95" s="179" t="s">
        <v>24</v>
      </c>
      <c r="O95" s="192" t="str">
        <f>HYPERLINK("https://leetcode.com/problems/construct-binary-tree-from-preorder-and-inorder-traversal/","https://leetcode.com/problems/construct-binary-tree-from-preorder-and-inorder-traversal/")</f>
        <v>https://leetcode.com/problems/construct-binary-tree-from-preorder-and-inorder-traversal/</v>
      </c>
    </row>
    <row r="96" spans="1:15" ht="31.5" customHeight="1" x14ac:dyDescent="0.2">
      <c r="A96" s="7">
        <v>91</v>
      </c>
      <c r="B96" s="7">
        <v>108</v>
      </c>
      <c r="C96" s="13" t="s">
        <v>561</v>
      </c>
      <c r="D96" s="7" t="s">
        <v>4485</v>
      </c>
      <c r="E96" s="21" t="s">
        <v>20</v>
      </c>
      <c r="F96" s="3" t="s">
        <v>4271</v>
      </c>
      <c r="G96" s="3" t="s">
        <v>4528</v>
      </c>
      <c r="H96" s="7">
        <f>IFERROR(VLOOKUP(B96,'📊 Problem Tracker'!$B$4:$F$1200,5,FALSE()),"")</f>
        <v>0</v>
      </c>
      <c r="I96" s="7"/>
      <c r="J96" s="7"/>
      <c r="K96" s="3"/>
      <c r="L96" s="228" t="s">
        <v>513</v>
      </c>
      <c r="M96" s="7" t="s">
        <v>24</v>
      </c>
      <c r="N96" s="176" t="s">
        <v>65</v>
      </c>
      <c r="O96" s="191" t="str">
        <f>HYPERLINK("https://leetcode.com/problems/convert-sorted-array-to-binary-search-tree/","https://leetcode.com/problems/convert-sorted-array-to-binary-search-tree/")</f>
        <v>https://leetcode.com/problems/convert-sorted-array-to-binary-search-tree/</v>
      </c>
    </row>
    <row r="97" spans="1:15" ht="31.5" customHeight="1" x14ac:dyDescent="0.2">
      <c r="A97" s="110">
        <v>92</v>
      </c>
      <c r="B97" s="110">
        <v>110</v>
      </c>
      <c r="C97" s="111" t="s">
        <v>568</v>
      </c>
      <c r="D97" s="110" t="s">
        <v>4529</v>
      </c>
      <c r="E97" s="115" t="s">
        <v>20</v>
      </c>
      <c r="F97" s="113" t="s">
        <v>500</v>
      </c>
      <c r="G97" s="113" t="s">
        <v>4256</v>
      </c>
      <c r="H97" s="110">
        <f>IFERROR(VLOOKUP(B97,'📊 Problem Tracker'!$B$4:$F$1200,5,FALSE()),"")</f>
        <v>0</v>
      </c>
      <c r="I97" s="110"/>
      <c r="J97" s="110"/>
      <c r="K97" s="113"/>
      <c r="L97" s="267" t="s">
        <v>571</v>
      </c>
      <c r="M97" s="110" t="s">
        <v>24</v>
      </c>
      <c r="N97" s="179" t="s">
        <v>503</v>
      </c>
      <c r="O97" s="192" t="str">
        <f>HYPERLINK("https://leetcode.com/problems/balanced-binary-tree/","https://leetcode.com/problems/balanced-binary-tree/")</f>
        <v>https://leetcode.com/problems/balanced-binary-tree/</v>
      </c>
    </row>
    <row r="98" spans="1:15" ht="31.5" customHeight="1" x14ac:dyDescent="0.2">
      <c r="A98" s="7">
        <v>93</v>
      </c>
      <c r="B98" s="7">
        <v>112</v>
      </c>
      <c r="C98" s="13" t="s">
        <v>575</v>
      </c>
      <c r="D98" s="7" t="s">
        <v>4530</v>
      </c>
      <c r="E98" s="21" t="s">
        <v>20</v>
      </c>
      <c r="F98" s="3" t="s">
        <v>500</v>
      </c>
      <c r="G98" s="3" t="s">
        <v>4256</v>
      </c>
      <c r="H98" s="7">
        <f>IFERROR(VLOOKUP(B98,'📊 Problem Tracker'!$B$4:$F$1200,5,FALSE()),"")</f>
        <v>0</v>
      </c>
      <c r="I98" s="7"/>
      <c r="J98" s="7"/>
      <c r="K98" s="3"/>
      <c r="L98" s="228" t="s">
        <v>571</v>
      </c>
      <c r="M98" s="7" t="s">
        <v>24</v>
      </c>
      <c r="N98" s="176" t="s">
        <v>503</v>
      </c>
      <c r="O98" s="191" t="str">
        <f>HYPERLINK("https://leetcode.com/problems/path-sum/","https://leetcode.com/problems/path-sum/")</f>
        <v>https://leetcode.com/problems/path-sum/</v>
      </c>
    </row>
    <row r="99" spans="1:15" ht="31.5" customHeight="1" x14ac:dyDescent="0.2">
      <c r="A99" s="110">
        <v>94</v>
      </c>
      <c r="B99" s="110">
        <v>115</v>
      </c>
      <c r="C99" s="111" t="s">
        <v>584</v>
      </c>
      <c r="D99" s="110" t="s">
        <v>4531</v>
      </c>
      <c r="E99" s="114" t="s">
        <v>42</v>
      </c>
      <c r="F99" s="113" t="s">
        <v>50</v>
      </c>
      <c r="G99" s="113" t="s">
        <v>1042</v>
      </c>
      <c r="H99" s="110">
        <f>IFERROR(VLOOKUP(B99,'📊 Problem Tracker'!$B$4:$F$1200,5,FALSE()),"")</f>
        <v>0</v>
      </c>
      <c r="I99" s="110"/>
      <c r="J99" s="110"/>
      <c r="K99" s="113"/>
      <c r="L99" s="267" t="s">
        <v>508</v>
      </c>
      <c r="M99" s="110" t="s">
        <v>81</v>
      </c>
      <c r="N99" s="179" t="s">
        <v>24</v>
      </c>
      <c r="O99" s="192" t="str">
        <f>HYPERLINK("https://leetcode.com/problems/distinct-subsequences/","https://leetcode.com/problems/distinct-subsequences/")</f>
        <v>https://leetcode.com/problems/distinct-subsequences/</v>
      </c>
    </row>
    <row r="100" spans="1:15" ht="31.5" customHeight="1" x14ac:dyDescent="0.2">
      <c r="A100" s="7">
        <v>95</v>
      </c>
      <c r="B100" s="7">
        <v>116</v>
      </c>
      <c r="C100" s="13" t="s">
        <v>586</v>
      </c>
      <c r="D100" s="7" t="s">
        <v>4532</v>
      </c>
      <c r="E100" s="18" t="s">
        <v>28</v>
      </c>
      <c r="F100" s="3" t="s">
        <v>534</v>
      </c>
      <c r="G100" s="3" t="s">
        <v>4270</v>
      </c>
      <c r="H100" s="7">
        <f>IFERROR(VLOOKUP(B100,'📊 Problem Tracker'!$B$4:$F$1200,5,FALSE()),"")</f>
        <v>0</v>
      </c>
      <c r="I100" s="7"/>
      <c r="J100" s="7"/>
      <c r="K100" s="3"/>
      <c r="L100" s="228" t="s">
        <v>571</v>
      </c>
      <c r="M100" s="7" t="s">
        <v>24</v>
      </c>
      <c r="N100" s="176" t="s">
        <v>47</v>
      </c>
      <c r="O100" s="191" t="str">
        <f>HYPERLINK("https://leetcode.com/problems/populating-next-right-pointers-in-each-node/","https://leetcode.com/problems/populating-next-right-pointers-in-each-node/")</f>
        <v>https://leetcode.com/problems/populating-next-right-pointers-in-each-node/</v>
      </c>
    </row>
    <row r="101" spans="1:15" ht="31.5" customHeight="1" x14ac:dyDescent="0.2">
      <c r="A101" s="110">
        <v>96</v>
      </c>
      <c r="B101" s="110">
        <v>118</v>
      </c>
      <c r="C101" s="111" t="s">
        <v>591</v>
      </c>
      <c r="D101" s="110" t="s">
        <v>4533</v>
      </c>
      <c r="E101" s="115" t="s">
        <v>20</v>
      </c>
      <c r="F101" s="113" t="s">
        <v>376</v>
      </c>
      <c r="G101" s="113" t="s">
        <v>4534</v>
      </c>
      <c r="H101" s="110">
        <f>IFERROR(VLOOKUP(B101,'📊 Problem Tracker'!$B$4:$F$1200,5,FALSE()),"")</f>
        <v>0</v>
      </c>
      <c r="I101" s="110"/>
      <c r="J101" s="110"/>
      <c r="K101" s="113"/>
      <c r="L101" s="267" t="s">
        <v>508</v>
      </c>
      <c r="M101" s="110" t="s">
        <v>53</v>
      </c>
      <c r="N101" s="179" t="s">
        <v>53</v>
      </c>
      <c r="O101" s="192" t="str">
        <f>HYPERLINK("https://leetcode.com/problems/pascals-triangle/","https://leetcode.com/problems/pascals-triangle/")</f>
        <v>https://leetcode.com/problems/pascals-triangle/</v>
      </c>
    </row>
    <row r="102" spans="1:15" ht="31.5" customHeight="1" x14ac:dyDescent="0.2">
      <c r="A102" s="7">
        <v>97</v>
      </c>
      <c r="B102" s="7">
        <v>120</v>
      </c>
      <c r="C102" s="13" t="s">
        <v>593</v>
      </c>
      <c r="D102" s="7" t="s">
        <v>4535</v>
      </c>
      <c r="E102" s="18" t="s">
        <v>28</v>
      </c>
      <c r="F102" s="3" t="s">
        <v>309</v>
      </c>
      <c r="G102" s="3" t="s">
        <v>1042</v>
      </c>
      <c r="H102" s="7">
        <f>IFERROR(VLOOKUP(B102,'📊 Problem Tracker'!$B$4:$F$1200,5,FALSE()),"")</f>
        <v>0</v>
      </c>
      <c r="I102" s="7"/>
      <c r="J102" s="7"/>
      <c r="K102" s="3"/>
      <c r="L102" s="228" t="s">
        <v>508</v>
      </c>
      <c r="M102" s="7" t="s">
        <v>53</v>
      </c>
      <c r="N102" s="176" t="s">
        <v>24</v>
      </c>
      <c r="O102" s="191" t="str">
        <f>HYPERLINK("https://leetcode.com/problems/triangle/","https://leetcode.com/problems/triangle/")</f>
        <v>https://leetcode.com/problems/triangle/</v>
      </c>
    </row>
    <row r="103" spans="1:15" ht="31.5" customHeight="1" x14ac:dyDescent="0.2">
      <c r="A103" s="110">
        <v>98</v>
      </c>
      <c r="B103" s="110">
        <v>121</v>
      </c>
      <c r="C103" s="111" t="s">
        <v>595</v>
      </c>
      <c r="D103" s="110" t="s">
        <v>4536</v>
      </c>
      <c r="E103" s="115" t="s">
        <v>20</v>
      </c>
      <c r="F103" s="113" t="s">
        <v>318</v>
      </c>
      <c r="G103" s="113" t="s">
        <v>3091</v>
      </c>
      <c r="H103" s="110">
        <f>IFERROR(VLOOKUP(B103,'📊 Problem Tracker'!$B$4:$F$1200,5,FALSE()),"")</f>
        <v>0</v>
      </c>
      <c r="I103" s="110"/>
      <c r="J103" s="110"/>
      <c r="K103" s="113"/>
      <c r="L103" s="267" t="s">
        <v>597</v>
      </c>
      <c r="M103" s="110" t="s">
        <v>24</v>
      </c>
      <c r="N103" s="179" t="s">
        <v>47</v>
      </c>
      <c r="O103" s="192" t="str">
        <f>HYPERLINK("https://leetcode.com/problems/best-time-to-buy-and-sell-stock/","https://leetcode.com/problems/best-time-to-buy-and-sell-stock/")</f>
        <v>https://leetcode.com/problems/best-time-to-buy-and-sell-stock/</v>
      </c>
    </row>
    <row r="104" spans="1:15" ht="31.5" customHeight="1" x14ac:dyDescent="0.2">
      <c r="A104" s="7">
        <v>99</v>
      </c>
      <c r="B104" s="7">
        <v>122</v>
      </c>
      <c r="C104" s="13" t="s">
        <v>599</v>
      </c>
      <c r="D104" s="7" t="s">
        <v>4537</v>
      </c>
      <c r="E104" s="18" t="s">
        <v>28</v>
      </c>
      <c r="F104" s="3" t="s">
        <v>318</v>
      </c>
      <c r="G104" s="3" t="s">
        <v>3091</v>
      </c>
      <c r="H104" s="7">
        <f>IFERROR(VLOOKUP(B104,'📊 Problem Tracker'!$B$4:$F$1200,5,FALSE()),"")</f>
        <v>0</v>
      </c>
      <c r="I104" s="7"/>
      <c r="J104" s="7"/>
      <c r="K104" s="3"/>
      <c r="L104" s="228" t="s">
        <v>601</v>
      </c>
      <c r="M104" s="7" t="s">
        <v>24</v>
      </c>
      <c r="N104" s="176" t="s">
        <v>47</v>
      </c>
      <c r="O104" s="191" t="str">
        <f>HYPERLINK("https://leetcode.com/problems/best-time-to-buy-and-sell-stock-ii/","https://leetcode.com/problems/best-time-to-buy-and-sell-stock-ii/")</f>
        <v>https://leetcode.com/problems/best-time-to-buy-and-sell-stock-ii/</v>
      </c>
    </row>
    <row r="105" spans="1:15" ht="31.5" customHeight="1" x14ac:dyDescent="0.2">
      <c r="A105" s="110">
        <v>100</v>
      </c>
      <c r="B105" s="110">
        <v>123</v>
      </c>
      <c r="C105" s="111" t="s">
        <v>603</v>
      </c>
      <c r="D105" s="110" t="s">
        <v>4538</v>
      </c>
      <c r="E105" s="114" t="s">
        <v>42</v>
      </c>
      <c r="F105" s="113" t="s">
        <v>309</v>
      </c>
      <c r="G105" s="113" t="s">
        <v>4539</v>
      </c>
      <c r="H105" s="110">
        <f>IFERROR(VLOOKUP(B105,'📊 Problem Tracker'!$B$4:$F$1200,5,FALSE()),"")</f>
        <v>0</v>
      </c>
      <c r="I105" s="110"/>
      <c r="J105" s="110"/>
      <c r="K105" s="113"/>
      <c r="L105" s="267" t="s">
        <v>508</v>
      </c>
      <c r="M105" s="110" t="s">
        <v>24</v>
      </c>
      <c r="N105" s="179" t="s">
        <v>47</v>
      </c>
      <c r="O105" s="192" t="str">
        <f>HYPERLINK("https://leetcode.com/problems/best-time-to-buy-and-sell-stock-iii/","https://leetcode.com/problems/best-time-to-buy-and-sell-stock-iii/")</f>
        <v>https://leetcode.com/problems/best-time-to-buy-and-sell-stock-iii/</v>
      </c>
    </row>
    <row r="106" spans="1:15" ht="31.5" customHeight="1" x14ac:dyDescent="0.2">
      <c r="A106" s="7">
        <v>101</v>
      </c>
      <c r="B106" s="7">
        <v>124</v>
      </c>
      <c r="C106" s="13" t="s">
        <v>605</v>
      </c>
      <c r="D106" s="7" t="s">
        <v>4540</v>
      </c>
      <c r="E106" s="20" t="s">
        <v>42</v>
      </c>
      <c r="F106" s="3" t="s">
        <v>606</v>
      </c>
      <c r="G106" s="3" t="s">
        <v>4256</v>
      </c>
      <c r="H106" s="7">
        <f>IFERROR(VLOOKUP(B106,'📊 Problem Tracker'!$B$4:$F$1200,5,FALSE()),"")</f>
        <v>0</v>
      </c>
      <c r="I106" s="7"/>
      <c r="J106" s="7"/>
      <c r="K106" s="3"/>
      <c r="L106" s="228" t="s">
        <v>608</v>
      </c>
      <c r="M106" s="7" t="s">
        <v>24</v>
      </c>
      <c r="N106" s="176" t="s">
        <v>503</v>
      </c>
      <c r="O106" s="191" t="str">
        <f>HYPERLINK("https://leetcode.com/problems/binary-tree-maximum-path-sum/","https://leetcode.com/problems/binary-tree-maximum-path-sum/")</f>
        <v>https://leetcode.com/problems/binary-tree-maximum-path-sum/</v>
      </c>
    </row>
    <row r="107" spans="1:15" ht="31.5" customHeight="1" x14ac:dyDescent="0.2">
      <c r="A107" s="110">
        <v>102</v>
      </c>
      <c r="B107" s="110">
        <v>125</v>
      </c>
      <c r="C107" s="111" t="s">
        <v>610</v>
      </c>
      <c r="D107" s="110" t="s">
        <v>4486</v>
      </c>
      <c r="E107" s="115" t="s">
        <v>20</v>
      </c>
      <c r="F107" s="113" t="s">
        <v>611</v>
      </c>
      <c r="G107" s="113" t="s">
        <v>689</v>
      </c>
      <c r="H107" s="110">
        <f>IFERROR(VLOOKUP(B107,'📊 Problem Tracker'!$B$4:$F$1200,5,FALSE()),"")</f>
        <v>0</v>
      </c>
      <c r="I107" s="110"/>
      <c r="J107" s="110"/>
      <c r="K107" s="113"/>
      <c r="L107" s="267" t="s">
        <v>613</v>
      </c>
      <c r="M107" s="110" t="s">
        <v>24</v>
      </c>
      <c r="N107" s="179" t="s">
        <v>47</v>
      </c>
      <c r="O107" s="192" t="str">
        <f>HYPERLINK("https://leetcode.com/problems/valid-palindrome/","https://leetcode.com/problems/valid-palindrome/")</f>
        <v>https://leetcode.com/problems/valid-palindrome/</v>
      </c>
    </row>
    <row r="108" spans="1:15" ht="31.5" customHeight="1" x14ac:dyDescent="0.2">
      <c r="A108" s="7">
        <v>103</v>
      </c>
      <c r="B108" s="7">
        <v>126</v>
      </c>
      <c r="C108" s="13" t="s">
        <v>615</v>
      </c>
      <c r="D108" s="7" t="s">
        <v>4541</v>
      </c>
      <c r="E108" s="20" t="s">
        <v>42</v>
      </c>
      <c r="F108" s="3" t="s">
        <v>1142</v>
      </c>
      <c r="G108" s="3" t="s">
        <v>4542</v>
      </c>
      <c r="H108" s="7">
        <f>IFERROR(VLOOKUP(B108,'📊 Problem Tracker'!$B$4:$F$1200,5,FALSE()),"")</f>
        <v>0</v>
      </c>
      <c r="I108" s="7"/>
      <c r="J108" s="7"/>
      <c r="K108" s="3"/>
      <c r="L108" s="228" t="s">
        <v>302</v>
      </c>
      <c r="M108" s="7" t="s">
        <v>620</v>
      </c>
      <c r="N108" s="176" t="s">
        <v>621</v>
      </c>
      <c r="O108" s="191" t="str">
        <f>HYPERLINK("https://leetcode.com/problems/word-ladder-ii/","https://leetcode.com/problems/word-ladder-ii/")</f>
        <v>https://leetcode.com/problems/word-ladder-ii/</v>
      </c>
    </row>
    <row r="109" spans="1:15" ht="31.5" customHeight="1" x14ac:dyDescent="0.2">
      <c r="A109" s="110">
        <v>104</v>
      </c>
      <c r="B109" s="110">
        <v>127</v>
      </c>
      <c r="C109" s="111" t="s">
        <v>623</v>
      </c>
      <c r="D109" s="110" t="s">
        <v>4543</v>
      </c>
      <c r="E109" s="114" t="s">
        <v>42</v>
      </c>
      <c r="F109" s="113" t="s">
        <v>624</v>
      </c>
      <c r="G109" s="113" t="s">
        <v>4258</v>
      </c>
      <c r="H109" s="110">
        <f>IFERROR(VLOOKUP(B109,'📊 Problem Tracker'!$B$4:$F$1200,5,FALSE()),"")</f>
        <v>0</v>
      </c>
      <c r="I109" s="110"/>
      <c r="J109" s="110"/>
      <c r="K109" s="113"/>
      <c r="L109" s="267" t="s">
        <v>619</v>
      </c>
      <c r="M109" s="110" t="s">
        <v>625</v>
      </c>
      <c r="N109" s="179" t="s">
        <v>626</v>
      </c>
      <c r="O109" s="192" t="str">
        <f>HYPERLINK("https://leetcode.com/problems/word-ladder/","https://leetcode.com/problems/word-ladder/")</f>
        <v>https://leetcode.com/problems/word-ladder/</v>
      </c>
    </row>
    <row r="110" spans="1:15" ht="31.5" customHeight="1" x14ac:dyDescent="0.2">
      <c r="A110" s="7">
        <v>105</v>
      </c>
      <c r="B110" s="7">
        <v>128</v>
      </c>
      <c r="C110" s="13" t="s">
        <v>628</v>
      </c>
      <c r="D110" s="7" t="s">
        <v>4544</v>
      </c>
      <c r="E110" s="18" t="s">
        <v>28</v>
      </c>
      <c r="F110" s="3" t="s">
        <v>629</v>
      </c>
      <c r="G110" s="3" t="s">
        <v>4545</v>
      </c>
      <c r="H110" s="7">
        <f>IFERROR(VLOOKUP(B110,'📊 Problem Tracker'!$B$4:$F$1200,5,FALSE()),"")</f>
        <v>0</v>
      </c>
      <c r="I110" s="7"/>
      <c r="J110" s="7"/>
      <c r="K110" s="3"/>
      <c r="L110" s="228" t="s">
        <v>631</v>
      </c>
      <c r="M110" s="7" t="s">
        <v>24</v>
      </c>
      <c r="N110" s="176" t="s">
        <v>24</v>
      </c>
      <c r="O110" s="191" t="str">
        <f>HYPERLINK("https://leetcode.com/problems/longest-consecutive-sequence/","https://leetcode.com/problems/longest-consecutive-sequence/")</f>
        <v>https://leetcode.com/problems/longest-consecutive-sequence/</v>
      </c>
    </row>
    <row r="111" spans="1:15" ht="31.5" customHeight="1" x14ac:dyDescent="0.2">
      <c r="A111" s="110">
        <v>106</v>
      </c>
      <c r="B111" s="110">
        <v>129</v>
      </c>
      <c r="C111" s="111" t="s">
        <v>633</v>
      </c>
      <c r="D111" s="110" t="s">
        <v>4546</v>
      </c>
      <c r="E111" s="112" t="s">
        <v>28</v>
      </c>
      <c r="F111" s="113" t="s">
        <v>500</v>
      </c>
      <c r="G111" s="113" t="s">
        <v>4256</v>
      </c>
      <c r="H111" s="110">
        <f>IFERROR(VLOOKUP(B111,'📊 Problem Tracker'!$B$4:$F$1200,5,FALSE()),"")</f>
        <v>0</v>
      </c>
      <c r="I111" s="110"/>
      <c r="J111" s="110"/>
      <c r="K111" s="113"/>
      <c r="L111" s="267" t="s">
        <v>571</v>
      </c>
      <c r="M111" s="110" t="s">
        <v>24</v>
      </c>
      <c r="N111" s="179" t="s">
        <v>503</v>
      </c>
      <c r="O111" s="192" t="str">
        <f>HYPERLINK("https://leetcode.com/problems/sum-root-to-leaf-numbers/","https://leetcode.com/problems/sum-root-to-leaf-numbers/")</f>
        <v>https://leetcode.com/problems/sum-root-to-leaf-numbers/</v>
      </c>
    </row>
    <row r="112" spans="1:15" ht="31.5" customHeight="1" x14ac:dyDescent="0.2">
      <c r="A112" s="7">
        <v>107</v>
      </c>
      <c r="B112" s="7">
        <v>130</v>
      </c>
      <c r="C112" s="13" t="s">
        <v>636</v>
      </c>
      <c r="D112" s="7" t="s">
        <v>4547</v>
      </c>
      <c r="E112" s="18" t="s">
        <v>28</v>
      </c>
      <c r="F112" s="3" t="s">
        <v>637</v>
      </c>
      <c r="G112" s="3" t="s">
        <v>4548</v>
      </c>
      <c r="H112" s="7">
        <f>IFERROR(VLOOKUP(B112,'📊 Problem Tracker'!$B$4:$F$1200,5,FALSE()),"")</f>
        <v>0</v>
      </c>
      <c r="I112" s="7"/>
      <c r="J112" s="7"/>
      <c r="K112" s="3"/>
      <c r="L112" s="228" t="s">
        <v>619</v>
      </c>
      <c r="M112" s="7" t="s">
        <v>81</v>
      </c>
      <c r="N112" s="176" t="s">
        <v>81</v>
      </c>
      <c r="O112" s="191" t="str">
        <f>HYPERLINK("https://leetcode.com/problems/surrounded-regions/","https://leetcode.com/problems/surrounded-regions/")</f>
        <v>https://leetcode.com/problems/surrounded-regions/</v>
      </c>
    </row>
    <row r="113" spans="1:15" ht="31.5" customHeight="1" x14ac:dyDescent="0.2">
      <c r="A113" s="110">
        <v>108</v>
      </c>
      <c r="B113" s="110">
        <v>131</v>
      </c>
      <c r="C113" s="111" t="s">
        <v>640</v>
      </c>
      <c r="D113" s="110" t="s">
        <v>4549</v>
      </c>
      <c r="E113" s="112" t="s">
        <v>28</v>
      </c>
      <c r="F113" s="113" t="s">
        <v>641</v>
      </c>
      <c r="G113" s="113" t="s">
        <v>300</v>
      </c>
      <c r="H113" s="110">
        <f>IFERROR(VLOOKUP(B113,'📊 Problem Tracker'!$B$4:$F$1200,5,FALSE()),"")</f>
        <v>0</v>
      </c>
      <c r="I113" s="110"/>
      <c r="J113" s="110"/>
      <c r="K113" s="113"/>
      <c r="L113" s="267" t="s">
        <v>508</v>
      </c>
      <c r="M113" s="110" t="s">
        <v>643</v>
      </c>
      <c r="N113" s="179" t="s">
        <v>53</v>
      </c>
      <c r="O113" s="192" t="str">
        <f>HYPERLINK("https://leetcode.com/problems/palindrome-partitioning/","https://leetcode.com/problems/palindrome-partitioning/")</f>
        <v>https://leetcode.com/problems/palindrome-partitioning/</v>
      </c>
    </row>
    <row r="114" spans="1:15" ht="31.5" customHeight="1" x14ac:dyDescent="0.2">
      <c r="A114" s="7">
        <v>109</v>
      </c>
      <c r="B114" s="7">
        <v>134</v>
      </c>
      <c r="C114" s="13" t="s">
        <v>651</v>
      </c>
      <c r="D114" s="7" t="s">
        <v>4550</v>
      </c>
      <c r="E114" s="18" t="s">
        <v>28</v>
      </c>
      <c r="F114" s="3" t="s">
        <v>318</v>
      </c>
      <c r="G114" s="3" t="s">
        <v>3091</v>
      </c>
      <c r="H114" s="7">
        <f>IFERROR(VLOOKUP(B114,'📊 Problem Tracker'!$B$4:$F$1200,5,FALSE()),"")</f>
        <v>0</v>
      </c>
      <c r="I114" s="7"/>
      <c r="J114" s="7"/>
      <c r="K114" s="3"/>
      <c r="L114" s="228" t="s">
        <v>654</v>
      </c>
      <c r="M114" s="7" t="s">
        <v>24</v>
      </c>
      <c r="N114" s="176" t="s">
        <v>47</v>
      </c>
      <c r="O114" s="191" t="str">
        <f>HYPERLINK("https://leetcode.com/problems/gas-station/","https://leetcode.com/problems/gas-station/")</f>
        <v>https://leetcode.com/problems/gas-station/</v>
      </c>
    </row>
    <row r="115" spans="1:15" ht="31.5" customHeight="1" x14ac:dyDescent="0.2">
      <c r="A115" s="110">
        <v>110</v>
      </c>
      <c r="B115" s="110">
        <v>135</v>
      </c>
      <c r="C115" s="111" t="s">
        <v>656</v>
      </c>
      <c r="D115" s="110" t="s">
        <v>4433</v>
      </c>
      <c r="E115" s="114" t="s">
        <v>42</v>
      </c>
      <c r="F115" s="113" t="s">
        <v>318</v>
      </c>
      <c r="G115" s="113" t="s">
        <v>3091</v>
      </c>
      <c r="H115" s="110">
        <f>IFERROR(VLOOKUP(B115,'📊 Problem Tracker'!$B$4:$F$1200,5,FALSE()),"")</f>
        <v>0</v>
      </c>
      <c r="I115" s="110"/>
      <c r="J115" s="110"/>
      <c r="K115" s="113"/>
      <c r="L115" s="267" t="s">
        <v>654</v>
      </c>
      <c r="M115" s="110" t="s">
        <v>24</v>
      </c>
      <c r="N115" s="179" t="s">
        <v>24</v>
      </c>
      <c r="O115" s="192" t="str">
        <f>HYPERLINK("https://leetcode.com/problems/candy/","https://leetcode.com/problems/candy/")</f>
        <v>https://leetcode.com/problems/candy/</v>
      </c>
    </row>
    <row r="116" spans="1:15" ht="31.5" customHeight="1" x14ac:dyDescent="0.2">
      <c r="A116" s="7">
        <v>111</v>
      </c>
      <c r="B116" s="7">
        <v>136</v>
      </c>
      <c r="C116" s="13" t="s">
        <v>659</v>
      </c>
      <c r="D116" s="7" t="s">
        <v>4551</v>
      </c>
      <c r="E116" s="21" t="s">
        <v>20</v>
      </c>
      <c r="F116" s="3" t="s">
        <v>660</v>
      </c>
      <c r="G116" s="3" t="s">
        <v>666</v>
      </c>
      <c r="H116" s="7">
        <f>IFERROR(VLOOKUP(B116,'📊 Problem Tracker'!$B$4:$F$1200,5,FALSE()),"")</f>
        <v>0</v>
      </c>
      <c r="I116" s="7"/>
      <c r="J116" s="7"/>
      <c r="K116" s="3"/>
      <c r="L116" s="228" t="s">
        <v>663</v>
      </c>
      <c r="M116" s="7" t="s">
        <v>24</v>
      </c>
      <c r="N116" s="176" t="s">
        <v>47</v>
      </c>
      <c r="O116" s="191" t="str">
        <f>HYPERLINK("https://leetcode.com/problems/single-number/","https://leetcode.com/problems/single-number/")</f>
        <v>https://leetcode.com/problems/single-number/</v>
      </c>
    </row>
    <row r="117" spans="1:15" ht="31.5" customHeight="1" x14ac:dyDescent="0.2">
      <c r="A117" s="110">
        <v>112</v>
      </c>
      <c r="B117" s="110">
        <v>137</v>
      </c>
      <c r="C117" s="111" t="s">
        <v>665</v>
      </c>
      <c r="D117" s="110" t="s">
        <v>4522</v>
      </c>
      <c r="E117" s="112" t="s">
        <v>28</v>
      </c>
      <c r="F117" s="113" t="s">
        <v>666</v>
      </c>
      <c r="G117" s="113" t="s">
        <v>666</v>
      </c>
      <c r="H117" s="110">
        <f>IFERROR(VLOOKUP(B117,'📊 Problem Tracker'!$B$4:$F$1200,5,FALSE()),"")</f>
        <v>0</v>
      </c>
      <c r="I117" s="110"/>
      <c r="J117" s="110"/>
      <c r="K117" s="113"/>
      <c r="L117" s="267" t="s">
        <v>230</v>
      </c>
      <c r="M117" s="110" t="s">
        <v>24</v>
      </c>
      <c r="N117" s="179" t="s">
        <v>47</v>
      </c>
      <c r="O117" s="192" t="str">
        <f>HYPERLINK("https://leetcode.com/problems/single-number-ii/","https://leetcode.com/problems/single-number-ii/")</f>
        <v>https://leetcode.com/problems/single-number-ii/</v>
      </c>
    </row>
    <row r="118" spans="1:15" ht="31.5" customHeight="1" x14ac:dyDescent="0.2">
      <c r="A118" s="7">
        <v>113</v>
      </c>
      <c r="B118" s="7">
        <v>138</v>
      </c>
      <c r="C118" s="13" t="s">
        <v>668</v>
      </c>
      <c r="D118" s="7" t="s">
        <v>4472</v>
      </c>
      <c r="E118" s="18" t="s">
        <v>28</v>
      </c>
      <c r="F118" s="3" t="s">
        <v>669</v>
      </c>
      <c r="G118" s="3" t="s">
        <v>4552</v>
      </c>
      <c r="H118" s="7">
        <f>IFERROR(VLOOKUP(B118,'📊 Problem Tracker'!$B$4:$F$1200,5,FALSE()),"")</f>
        <v>0</v>
      </c>
      <c r="I118" s="7"/>
      <c r="J118" s="7"/>
      <c r="K118" s="3"/>
      <c r="L118" s="228" t="s">
        <v>461</v>
      </c>
      <c r="M118" s="7" t="s">
        <v>24</v>
      </c>
      <c r="N118" s="176" t="s">
        <v>24</v>
      </c>
      <c r="O118" s="191" t="str">
        <f>HYPERLINK("https://leetcode.com/problems/copy-list-with-random-pointer/","https://leetcode.com/problems/copy-list-with-random-pointer/")</f>
        <v>https://leetcode.com/problems/copy-list-with-random-pointer/</v>
      </c>
    </row>
    <row r="119" spans="1:15" ht="31.5" customHeight="1" x14ac:dyDescent="0.2">
      <c r="A119" s="110">
        <v>114</v>
      </c>
      <c r="B119" s="110">
        <v>139</v>
      </c>
      <c r="C119" s="111" t="s">
        <v>671</v>
      </c>
      <c r="D119" s="110" t="s">
        <v>4553</v>
      </c>
      <c r="E119" s="112" t="s">
        <v>28</v>
      </c>
      <c r="F119" s="113" t="s">
        <v>672</v>
      </c>
      <c r="G119" s="113" t="s">
        <v>1042</v>
      </c>
      <c r="H119" s="110">
        <f>IFERROR(VLOOKUP(B119,'📊 Problem Tracker'!$B$4:$F$1200,5,FALSE()),"")</f>
        <v>0</v>
      </c>
      <c r="I119" s="110"/>
      <c r="J119" s="110"/>
      <c r="K119" s="113"/>
      <c r="L119" s="267" t="s">
        <v>508</v>
      </c>
      <c r="M119" s="110" t="s">
        <v>53</v>
      </c>
      <c r="N119" s="179" t="s">
        <v>24</v>
      </c>
      <c r="O119" s="192" t="str">
        <f>HYPERLINK("https://leetcode.com/problems/word-break/","https://leetcode.com/problems/word-break/")</f>
        <v>https://leetcode.com/problems/word-break/</v>
      </c>
    </row>
    <row r="120" spans="1:15" ht="31.5" customHeight="1" x14ac:dyDescent="0.2">
      <c r="A120" s="7">
        <v>115</v>
      </c>
      <c r="B120" s="7">
        <v>141</v>
      </c>
      <c r="C120" s="13" t="s">
        <v>678</v>
      </c>
      <c r="D120" s="7" t="s">
        <v>4554</v>
      </c>
      <c r="E120" s="21" t="s">
        <v>20</v>
      </c>
      <c r="F120" s="3" t="s">
        <v>679</v>
      </c>
      <c r="G120" s="3" t="s">
        <v>4034</v>
      </c>
      <c r="H120" s="7">
        <f>IFERROR(VLOOKUP(B120,'📊 Problem Tracker'!$B$4:$F$1200,5,FALSE()),"")</f>
        <v>0</v>
      </c>
      <c r="I120" s="7"/>
      <c r="J120" s="7"/>
      <c r="K120" s="3"/>
      <c r="L120" s="228" t="s">
        <v>682</v>
      </c>
      <c r="M120" s="7" t="s">
        <v>24</v>
      </c>
      <c r="N120" s="176" t="s">
        <v>47</v>
      </c>
      <c r="O120" s="191" t="str">
        <f>HYPERLINK("https://leetcode.com/problems/linked-list-cycle/","https://leetcode.com/problems/linked-list-cycle/")</f>
        <v>https://leetcode.com/problems/linked-list-cycle/</v>
      </c>
    </row>
    <row r="121" spans="1:15" ht="31.5" customHeight="1" x14ac:dyDescent="0.2">
      <c r="A121" s="110">
        <v>116</v>
      </c>
      <c r="B121" s="110">
        <v>142</v>
      </c>
      <c r="C121" s="111" t="s">
        <v>684</v>
      </c>
      <c r="D121" s="110" t="s">
        <v>4555</v>
      </c>
      <c r="E121" s="112" t="s">
        <v>28</v>
      </c>
      <c r="F121" s="113" t="s">
        <v>679</v>
      </c>
      <c r="G121" s="113" t="s">
        <v>4034</v>
      </c>
      <c r="H121" s="110">
        <f>IFERROR(VLOOKUP(B121,'📊 Problem Tracker'!$B$4:$F$1200,5,FALSE()),"")</f>
        <v>0</v>
      </c>
      <c r="I121" s="110"/>
      <c r="J121" s="110"/>
      <c r="K121" s="113"/>
      <c r="L121" s="267" t="s">
        <v>686</v>
      </c>
      <c r="M121" s="110" t="s">
        <v>24</v>
      </c>
      <c r="N121" s="179" t="s">
        <v>47</v>
      </c>
      <c r="O121" s="192" t="str">
        <f>HYPERLINK("https://leetcode.com/problems/linked-list-cycle-ii/","https://leetcode.com/problems/linked-list-cycle-ii/")</f>
        <v>https://leetcode.com/problems/linked-list-cycle-ii/</v>
      </c>
    </row>
    <row r="122" spans="1:15" ht="31.5" customHeight="1" x14ac:dyDescent="0.2">
      <c r="A122" s="7">
        <v>117</v>
      </c>
      <c r="B122" s="7">
        <v>143</v>
      </c>
      <c r="C122" s="13" t="s">
        <v>688</v>
      </c>
      <c r="D122" s="7" t="s">
        <v>4556</v>
      </c>
      <c r="E122" s="18" t="s">
        <v>28</v>
      </c>
      <c r="F122" s="3" t="s">
        <v>679</v>
      </c>
      <c r="G122" s="3" t="s">
        <v>127</v>
      </c>
      <c r="H122" s="7">
        <f>IFERROR(VLOOKUP(B122,'📊 Problem Tracker'!$B$4:$F$1200,5,FALSE()),"")</f>
        <v>0</v>
      </c>
      <c r="I122" s="7"/>
      <c r="J122" s="7"/>
      <c r="K122" s="3"/>
      <c r="L122" s="228" t="s">
        <v>690</v>
      </c>
      <c r="M122" s="7" t="s">
        <v>24</v>
      </c>
      <c r="N122" s="176" t="s">
        <v>47</v>
      </c>
      <c r="O122" s="191" t="str">
        <f>HYPERLINK("https://leetcode.com/problems/reorder-list/","https://leetcode.com/problems/reorder-list/")</f>
        <v>https://leetcode.com/problems/reorder-list/</v>
      </c>
    </row>
    <row r="123" spans="1:15" ht="31.5" customHeight="1" x14ac:dyDescent="0.2">
      <c r="A123" s="110">
        <v>118</v>
      </c>
      <c r="B123" s="110">
        <v>146</v>
      </c>
      <c r="C123" s="111" t="s">
        <v>692</v>
      </c>
      <c r="D123" s="110" t="s">
        <v>4510</v>
      </c>
      <c r="E123" s="112" t="s">
        <v>28</v>
      </c>
      <c r="F123" s="113" t="s">
        <v>693</v>
      </c>
      <c r="G123" s="113" t="s">
        <v>4557</v>
      </c>
      <c r="H123" s="110">
        <f>IFERROR(VLOOKUP(B123,'📊 Problem Tracker'!$B$4:$F$1200,5,FALSE()),"")</f>
        <v>0</v>
      </c>
      <c r="I123" s="110"/>
      <c r="J123" s="110"/>
      <c r="K123" s="113"/>
      <c r="L123" s="267" t="s">
        <v>695</v>
      </c>
      <c r="M123" s="110" t="s">
        <v>696</v>
      </c>
      <c r="N123" s="179" t="s">
        <v>697</v>
      </c>
      <c r="O123" s="192" t="str">
        <f>HYPERLINK("https://leetcode.com/problems/lru-cache/","https://leetcode.com/problems/lru-cache/")</f>
        <v>https://leetcode.com/problems/lru-cache/</v>
      </c>
    </row>
    <row r="124" spans="1:15" ht="31.5" customHeight="1" x14ac:dyDescent="0.2">
      <c r="A124" s="7">
        <v>119</v>
      </c>
      <c r="B124" s="7">
        <v>148</v>
      </c>
      <c r="C124" s="13" t="s">
        <v>699</v>
      </c>
      <c r="D124" s="7" t="s">
        <v>4558</v>
      </c>
      <c r="E124" s="18" t="s">
        <v>28</v>
      </c>
      <c r="F124" s="3" t="s">
        <v>700</v>
      </c>
      <c r="G124" s="3" t="s">
        <v>4559</v>
      </c>
      <c r="H124" s="7">
        <f>IFERROR(VLOOKUP(B124,'📊 Problem Tracker'!$B$4:$F$1200,5,FALSE()),"")</f>
        <v>0</v>
      </c>
      <c r="I124" s="7"/>
      <c r="J124" s="7"/>
      <c r="K124" s="3"/>
      <c r="L124" s="228" t="s">
        <v>461</v>
      </c>
      <c r="M124" s="7" t="s">
        <v>326</v>
      </c>
      <c r="N124" s="176" t="s">
        <v>65</v>
      </c>
      <c r="O124" s="191" t="str">
        <f>HYPERLINK("https://leetcode.com/problems/sort-list/","https://leetcode.com/problems/sort-list/")</f>
        <v>https://leetcode.com/problems/sort-list/</v>
      </c>
    </row>
    <row r="125" spans="1:15" ht="31.5" customHeight="1" x14ac:dyDescent="0.2">
      <c r="A125" s="110">
        <v>120</v>
      </c>
      <c r="B125" s="110">
        <v>149</v>
      </c>
      <c r="C125" s="111" t="s">
        <v>702</v>
      </c>
      <c r="D125" s="110" t="s">
        <v>4560</v>
      </c>
      <c r="E125" s="114" t="s">
        <v>42</v>
      </c>
      <c r="F125" s="113" t="s">
        <v>703</v>
      </c>
      <c r="G125" s="113" t="s">
        <v>4561</v>
      </c>
      <c r="H125" s="110">
        <f>IFERROR(VLOOKUP(B125,'📊 Problem Tracker'!$B$4:$F$1200,5,FALSE()),"")</f>
        <v>0</v>
      </c>
      <c r="I125" s="110"/>
      <c r="J125" s="110"/>
      <c r="K125" s="113"/>
      <c r="L125" s="267" t="s">
        <v>705</v>
      </c>
      <c r="M125" s="110" t="s">
        <v>53</v>
      </c>
      <c r="N125" s="179" t="s">
        <v>24</v>
      </c>
      <c r="O125" s="192" t="str">
        <f>HYPERLINK("https://leetcode.com/problems/max-points-on-a-line/","https://leetcode.com/problems/max-points-on-a-line/")</f>
        <v>https://leetcode.com/problems/max-points-on-a-line/</v>
      </c>
    </row>
    <row r="126" spans="1:15" ht="31.5" customHeight="1" x14ac:dyDescent="0.2">
      <c r="A126" s="7">
        <v>121</v>
      </c>
      <c r="B126" s="7">
        <v>150</v>
      </c>
      <c r="C126" s="13" t="s">
        <v>707</v>
      </c>
      <c r="D126" s="7" t="s">
        <v>4562</v>
      </c>
      <c r="E126" s="18" t="s">
        <v>28</v>
      </c>
      <c r="F126" s="3" t="s">
        <v>708</v>
      </c>
      <c r="G126" s="3" t="s">
        <v>540</v>
      </c>
      <c r="H126" s="7">
        <f>IFERROR(VLOOKUP(B126,'📊 Problem Tracker'!$B$4:$F$1200,5,FALSE()),"")</f>
        <v>0</v>
      </c>
      <c r="I126" s="7"/>
      <c r="J126" s="7"/>
      <c r="K126" s="3"/>
      <c r="L126" s="228" t="s">
        <v>711</v>
      </c>
      <c r="M126" s="7" t="s">
        <v>24</v>
      </c>
      <c r="N126" s="176" t="s">
        <v>24</v>
      </c>
      <c r="O126" s="191" t="str">
        <f>HYPERLINK("https://leetcode.com/problems/evaluate-reverse-polish-notation/","https://leetcode.com/problems/evaluate-reverse-polish-notation/")</f>
        <v>https://leetcode.com/problems/evaluate-reverse-polish-notation/</v>
      </c>
    </row>
    <row r="127" spans="1:15" ht="31.5" customHeight="1" x14ac:dyDescent="0.2">
      <c r="A127" s="110">
        <v>122</v>
      </c>
      <c r="B127" s="110">
        <v>151</v>
      </c>
      <c r="C127" s="111" t="s">
        <v>713</v>
      </c>
      <c r="D127" s="110" t="s">
        <v>4563</v>
      </c>
      <c r="E127" s="112" t="s">
        <v>28</v>
      </c>
      <c r="F127" s="113" t="s">
        <v>611</v>
      </c>
      <c r="G127" s="113" t="s">
        <v>4564</v>
      </c>
      <c r="H127" s="110">
        <f>IFERROR(VLOOKUP(B127,'📊 Problem Tracker'!$B$4:$F$1200,5,FALSE()),"")</f>
        <v>0</v>
      </c>
      <c r="I127" s="110"/>
      <c r="J127" s="110"/>
      <c r="K127" s="113"/>
      <c r="L127" s="267" t="s">
        <v>690</v>
      </c>
      <c r="M127" s="110" t="s">
        <v>24</v>
      </c>
      <c r="N127" s="179" t="s">
        <v>24</v>
      </c>
      <c r="O127" s="192" t="str">
        <f>HYPERLINK("https://leetcode.com/problems/reverse-words-in-a-string/","https://leetcode.com/problems/reverse-words-in-a-string/")</f>
        <v>https://leetcode.com/problems/reverse-words-in-a-string/</v>
      </c>
    </row>
    <row r="128" spans="1:15" ht="31.5" customHeight="1" x14ac:dyDescent="0.2">
      <c r="A128" s="7">
        <v>123</v>
      </c>
      <c r="B128" s="7">
        <v>152</v>
      </c>
      <c r="C128" s="13" t="s">
        <v>715</v>
      </c>
      <c r="D128" s="7" t="s">
        <v>4565</v>
      </c>
      <c r="E128" s="18" t="s">
        <v>28</v>
      </c>
      <c r="F128" s="3" t="s">
        <v>309</v>
      </c>
      <c r="G128" s="3" t="s">
        <v>1042</v>
      </c>
      <c r="H128" s="7">
        <f>IFERROR(VLOOKUP(B128,'📊 Problem Tracker'!$B$4:$F$1200,5,FALSE()),"")</f>
        <v>0</v>
      </c>
      <c r="I128" s="7"/>
      <c r="J128" s="7"/>
      <c r="K128" s="3"/>
      <c r="L128" s="228" t="s">
        <v>718</v>
      </c>
      <c r="M128" s="7" t="s">
        <v>24</v>
      </c>
      <c r="N128" s="176" t="s">
        <v>47</v>
      </c>
      <c r="O128" s="191" t="str">
        <f>HYPERLINK("https://leetcode.com/problems/maximum-product-subarray/","https://leetcode.com/problems/maximum-product-subarray/")</f>
        <v>https://leetcode.com/problems/maximum-product-subarray/</v>
      </c>
    </row>
    <row r="129" spans="1:15" ht="31.5" customHeight="1" x14ac:dyDescent="0.2">
      <c r="A129" s="110">
        <v>124</v>
      </c>
      <c r="B129" s="110">
        <v>153</v>
      </c>
      <c r="C129" s="111" t="s">
        <v>720</v>
      </c>
      <c r="D129" s="110" t="s">
        <v>4566</v>
      </c>
      <c r="E129" s="112" t="s">
        <v>28</v>
      </c>
      <c r="F129" s="113" t="s">
        <v>41</v>
      </c>
      <c r="G129" s="113" t="s">
        <v>512</v>
      </c>
      <c r="H129" s="110">
        <f>IFERROR(VLOOKUP(B129,'📊 Problem Tracker'!$B$4:$F$1200,5,FALSE()),"")</f>
        <v>0</v>
      </c>
      <c r="I129" s="110"/>
      <c r="J129" s="110"/>
      <c r="K129" s="113"/>
      <c r="L129" s="267" t="s">
        <v>722</v>
      </c>
      <c r="M129" s="110" t="s">
        <v>65</v>
      </c>
      <c r="N129" s="179" t="s">
        <v>47</v>
      </c>
      <c r="O129" s="192" t="str">
        <f>HYPERLINK("https://leetcode.com/problems/find-minimum-in-rotated-sorted-array/","https://leetcode.com/problems/find-minimum-in-rotated-sorted-array/")</f>
        <v>https://leetcode.com/problems/find-minimum-in-rotated-sorted-array/</v>
      </c>
    </row>
    <row r="130" spans="1:15" ht="31.5" customHeight="1" x14ac:dyDescent="0.2">
      <c r="A130" s="7">
        <v>125</v>
      </c>
      <c r="B130" s="7">
        <v>155</v>
      </c>
      <c r="C130" s="13" t="s">
        <v>728</v>
      </c>
      <c r="D130" s="7" t="s">
        <v>4567</v>
      </c>
      <c r="E130" s="18" t="s">
        <v>28</v>
      </c>
      <c r="F130" s="3" t="s">
        <v>729</v>
      </c>
      <c r="G130" s="3" t="s">
        <v>4568</v>
      </c>
      <c r="H130" s="7">
        <f>IFERROR(VLOOKUP(B130,'📊 Problem Tracker'!$B$4:$F$1200,5,FALSE()),"")</f>
        <v>0</v>
      </c>
      <c r="I130" s="7"/>
      <c r="J130" s="7"/>
      <c r="K130" s="3"/>
      <c r="L130" s="228" t="s">
        <v>731</v>
      </c>
      <c r="M130" s="7" t="s">
        <v>732</v>
      </c>
      <c r="N130" s="176" t="s">
        <v>24</v>
      </c>
      <c r="O130" s="191" t="str">
        <f>HYPERLINK("https://leetcode.com/problems/min-stack/","https://leetcode.com/problems/min-stack/")</f>
        <v>https://leetcode.com/problems/min-stack/</v>
      </c>
    </row>
    <row r="131" spans="1:15" ht="31.5" customHeight="1" x14ac:dyDescent="0.2">
      <c r="A131" s="110">
        <v>126</v>
      </c>
      <c r="B131" s="110">
        <v>160</v>
      </c>
      <c r="C131" s="111" t="s">
        <v>743</v>
      </c>
      <c r="D131" s="110" t="s">
        <v>4525</v>
      </c>
      <c r="E131" s="115" t="s">
        <v>20</v>
      </c>
      <c r="F131" s="113" t="s">
        <v>679</v>
      </c>
      <c r="G131" s="113" t="s">
        <v>127</v>
      </c>
      <c r="H131" s="110">
        <f>IFERROR(VLOOKUP(B131,'📊 Problem Tracker'!$B$4:$F$1200,5,FALSE()),"")</f>
        <v>0</v>
      </c>
      <c r="I131" s="110"/>
      <c r="J131" s="110"/>
      <c r="K131" s="113"/>
      <c r="L131" s="267" t="s">
        <v>745</v>
      </c>
      <c r="M131" s="110" t="s">
        <v>259</v>
      </c>
      <c r="N131" s="179" t="s">
        <v>47</v>
      </c>
      <c r="O131" s="192" t="str">
        <f>HYPERLINK("https://leetcode.com/problems/intersection-of-two-linked-lists/","https://leetcode.com/problems/intersection-of-two-linked-lists/")</f>
        <v>https://leetcode.com/problems/intersection-of-two-linked-lists/</v>
      </c>
    </row>
    <row r="132" spans="1:15" ht="31.5" customHeight="1" x14ac:dyDescent="0.2">
      <c r="A132" s="7">
        <v>127</v>
      </c>
      <c r="B132" s="7">
        <v>162</v>
      </c>
      <c r="C132" s="13" t="s">
        <v>752</v>
      </c>
      <c r="D132" s="7" t="s">
        <v>4569</v>
      </c>
      <c r="E132" s="18" t="s">
        <v>28</v>
      </c>
      <c r="F132" s="3" t="s">
        <v>41</v>
      </c>
      <c r="G132" s="3" t="s">
        <v>512</v>
      </c>
      <c r="H132" s="7">
        <f>IFERROR(VLOOKUP(B132,'📊 Problem Tracker'!$B$4:$F$1200,5,FALSE()),"")</f>
        <v>0</v>
      </c>
      <c r="I132" s="7"/>
      <c r="J132" s="7"/>
      <c r="K132" s="3"/>
      <c r="L132" s="228" t="s">
        <v>513</v>
      </c>
      <c r="M132" s="7" t="s">
        <v>65</v>
      </c>
      <c r="N132" s="176" t="s">
        <v>47</v>
      </c>
      <c r="O132" s="191" t="str">
        <f>HYPERLINK("https://leetcode.com/problems/find-peak-element/","https://leetcode.com/problems/find-peak-element/")</f>
        <v>https://leetcode.com/problems/find-peak-element/</v>
      </c>
    </row>
    <row r="133" spans="1:15" ht="31.5" customHeight="1" x14ac:dyDescent="0.2">
      <c r="A133" s="110">
        <v>128</v>
      </c>
      <c r="B133" s="110">
        <v>167</v>
      </c>
      <c r="C133" s="111" t="s">
        <v>765</v>
      </c>
      <c r="D133" s="110" t="s">
        <v>4570</v>
      </c>
      <c r="E133" s="112" t="s">
        <v>28</v>
      </c>
      <c r="F133" s="113" t="s">
        <v>1110</v>
      </c>
      <c r="G133" s="113" t="s">
        <v>689</v>
      </c>
      <c r="H133" s="110">
        <f>IFERROR(VLOOKUP(B133,'📊 Problem Tracker'!$B$4:$F$1200,5,FALSE()),"")</f>
        <v>0</v>
      </c>
      <c r="I133" s="110"/>
      <c r="J133" s="110"/>
      <c r="K133" s="113"/>
      <c r="L133" s="267" t="s">
        <v>690</v>
      </c>
      <c r="M133" s="110" t="s">
        <v>24</v>
      </c>
      <c r="N133" s="179" t="s">
        <v>47</v>
      </c>
      <c r="O133" s="192" t="str">
        <f>HYPERLINK("https://leetcode.com/problems/two-sum-ii-input-array-is-sorted/","https://leetcode.com/problems/two-sum-ii-input-array-is-sorted/")</f>
        <v>https://leetcode.com/problems/two-sum-ii-input-array-is-sorted/</v>
      </c>
    </row>
    <row r="134" spans="1:15" ht="31.5" customHeight="1" x14ac:dyDescent="0.2">
      <c r="A134" s="7">
        <v>129</v>
      </c>
      <c r="B134" s="7">
        <v>168</v>
      </c>
      <c r="C134" s="13" t="s">
        <v>768</v>
      </c>
      <c r="D134" s="7" t="s">
        <v>4435</v>
      </c>
      <c r="E134" s="21" t="s">
        <v>20</v>
      </c>
      <c r="F134" s="3" t="s">
        <v>769</v>
      </c>
      <c r="G134" s="3"/>
      <c r="H134" s="7">
        <f>IFERROR(VLOOKUP(B134,'📊 Problem Tracker'!$B$4:$F$1200,5,FALSE()),"")</f>
        <v>0</v>
      </c>
      <c r="I134" s="7"/>
      <c r="J134" s="7"/>
      <c r="K134" s="3"/>
      <c r="L134" s="228" t="s">
        <v>4239</v>
      </c>
      <c r="M134" s="7" t="s">
        <v>24</v>
      </c>
      <c r="N134" s="176" t="s">
        <v>24</v>
      </c>
      <c r="O134" s="191" t="str">
        <f>HYPERLINK("https://leetcode.com/problems/excel-sheet-column-title/","https://leetcode.com/problems/excel-sheet-column-title/")</f>
        <v>https://leetcode.com/problems/excel-sheet-column-title/</v>
      </c>
    </row>
    <row r="135" spans="1:15" ht="31.5" customHeight="1" x14ac:dyDescent="0.2">
      <c r="A135" s="110">
        <v>130</v>
      </c>
      <c r="B135" s="110">
        <v>169</v>
      </c>
      <c r="C135" s="111" t="s">
        <v>773</v>
      </c>
      <c r="D135" s="110" t="s">
        <v>4571</v>
      </c>
      <c r="E135" s="115" t="s">
        <v>20</v>
      </c>
      <c r="F135" s="113" t="s">
        <v>166</v>
      </c>
      <c r="G135" s="113" t="s">
        <v>4572</v>
      </c>
      <c r="H135" s="110">
        <f>IFERROR(VLOOKUP(B135,'📊 Problem Tracker'!$B$4:$F$1200,5,FALSE()),"")</f>
        <v>0</v>
      </c>
      <c r="I135" s="110"/>
      <c r="J135" s="110"/>
      <c r="K135" s="113"/>
      <c r="L135" s="267" t="s">
        <v>776</v>
      </c>
      <c r="M135" s="110" t="s">
        <v>24</v>
      </c>
      <c r="N135" s="179" t="s">
        <v>47</v>
      </c>
      <c r="O135" s="192" t="str">
        <f>HYPERLINK("https://leetcode.com/problems/majority-element/","https://leetcode.com/problems/majority-element/")</f>
        <v>https://leetcode.com/problems/majority-element/</v>
      </c>
    </row>
    <row r="136" spans="1:15" ht="31.5" customHeight="1" x14ac:dyDescent="0.2">
      <c r="A136" s="7">
        <v>131</v>
      </c>
      <c r="B136" s="7">
        <v>176</v>
      </c>
      <c r="C136" s="13" t="s">
        <v>800</v>
      </c>
      <c r="D136" s="7" t="s">
        <v>4569</v>
      </c>
      <c r="E136" s="18" t="s">
        <v>28</v>
      </c>
      <c r="F136" s="3" t="s">
        <v>796</v>
      </c>
      <c r="G136" s="3"/>
      <c r="H136" s="7">
        <f>IFERROR(VLOOKUP(B136,'📊 Problem Tracker'!$B$4:$F$1200,5,FALSE()),"")</f>
        <v>0</v>
      </c>
      <c r="I136" s="7"/>
      <c r="J136" s="7"/>
      <c r="K136" s="3"/>
      <c r="L136" s="228" t="s">
        <v>4239</v>
      </c>
      <c r="M136" s="7" t="s">
        <v>24</v>
      </c>
      <c r="N136" s="176" t="s">
        <v>24</v>
      </c>
      <c r="O136" s="191" t="str">
        <f>HYPERLINK("https://leetcode.com/problems/second-highest-salary/","https://leetcode.com/problems/second-highest-salary/")</f>
        <v>https://leetcode.com/problems/second-highest-salary/</v>
      </c>
    </row>
    <row r="137" spans="1:15" ht="31.5" customHeight="1" x14ac:dyDescent="0.2">
      <c r="A137" s="110">
        <v>132</v>
      </c>
      <c r="B137" s="110">
        <v>181</v>
      </c>
      <c r="C137" s="111" t="s">
        <v>823</v>
      </c>
      <c r="D137" s="110" t="s">
        <v>4573</v>
      </c>
      <c r="E137" s="115" t="s">
        <v>20</v>
      </c>
      <c r="F137" s="113" t="s">
        <v>796</v>
      </c>
      <c r="G137" s="113"/>
      <c r="H137" s="110">
        <f>IFERROR(VLOOKUP(B137,'📊 Problem Tracker'!$B$4:$F$1200,5,FALSE()),"")</f>
        <v>0</v>
      </c>
      <c r="I137" s="110"/>
      <c r="J137" s="110"/>
      <c r="K137" s="113"/>
      <c r="L137" s="267" t="s">
        <v>4239</v>
      </c>
      <c r="M137" s="110" t="s">
        <v>24</v>
      </c>
      <c r="N137" s="179" t="s">
        <v>24</v>
      </c>
      <c r="O137" s="192" t="str">
        <f>HYPERLINK("https://leetcode.com/problems/employees-earning-more-than-their-managers/","https://leetcode.com/problems/employees-earning-more-than-their-managers/")</f>
        <v>https://leetcode.com/problems/employees-earning-more-than-their-managers/</v>
      </c>
    </row>
    <row r="138" spans="1:15" ht="31.5" customHeight="1" x14ac:dyDescent="0.2">
      <c r="A138" s="7">
        <v>133</v>
      </c>
      <c r="B138" s="7">
        <v>189</v>
      </c>
      <c r="C138" s="13" t="s">
        <v>852</v>
      </c>
      <c r="D138" s="7" t="s">
        <v>4574</v>
      </c>
      <c r="E138" s="18" t="s">
        <v>28</v>
      </c>
      <c r="F138" s="3" t="s">
        <v>853</v>
      </c>
      <c r="G138" s="3" t="s">
        <v>4575</v>
      </c>
      <c r="H138" s="7">
        <f>IFERROR(VLOOKUP(B138,'📊 Problem Tracker'!$B$4:$F$1200,5,FALSE()),"")</f>
        <v>0</v>
      </c>
      <c r="I138" s="7"/>
      <c r="J138" s="7"/>
      <c r="K138" s="3"/>
      <c r="L138" s="228" t="s">
        <v>690</v>
      </c>
      <c r="M138" s="7" t="s">
        <v>24</v>
      </c>
      <c r="N138" s="176" t="s">
        <v>47</v>
      </c>
      <c r="O138" s="191" t="str">
        <f>HYPERLINK("https://leetcode.com/problems/rotate-array/","https://leetcode.com/problems/rotate-array/")</f>
        <v>https://leetcode.com/problems/rotate-array/</v>
      </c>
    </row>
    <row r="139" spans="1:15" ht="31.5" customHeight="1" x14ac:dyDescent="0.2">
      <c r="A139" s="110">
        <v>134</v>
      </c>
      <c r="B139" s="110">
        <v>191</v>
      </c>
      <c r="C139" s="111" t="s">
        <v>858</v>
      </c>
      <c r="D139" s="110" t="s">
        <v>4576</v>
      </c>
      <c r="E139" s="115" t="s">
        <v>20</v>
      </c>
      <c r="F139" s="113" t="s">
        <v>666</v>
      </c>
      <c r="G139" s="113" t="s">
        <v>666</v>
      </c>
      <c r="H139" s="110">
        <f>IFERROR(VLOOKUP(B139,'📊 Problem Tracker'!$B$4:$F$1200,5,FALSE()),"")</f>
        <v>0</v>
      </c>
      <c r="I139" s="110"/>
      <c r="J139" s="110"/>
      <c r="K139" s="113"/>
      <c r="L139" s="267" t="s">
        <v>230</v>
      </c>
      <c r="M139" s="110" t="s">
        <v>47</v>
      </c>
      <c r="N139" s="179" t="s">
        <v>47</v>
      </c>
      <c r="O139" s="192" t="str">
        <f>HYPERLINK("https://leetcode.com/problems/number-of-1-bits/","https://leetcode.com/problems/number-of-1-bits/")</f>
        <v>https://leetcode.com/problems/number-of-1-bits/</v>
      </c>
    </row>
    <row r="140" spans="1:15" ht="31.5" customHeight="1" x14ac:dyDescent="0.2">
      <c r="A140" s="7">
        <v>135</v>
      </c>
      <c r="B140" s="7">
        <v>197</v>
      </c>
      <c r="C140" s="13" t="s">
        <v>870</v>
      </c>
      <c r="D140" s="7" t="s">
        <v>4577</v>
      </c>
      <c r="E140" s="21" t="s">
        <v>20</v>
      </c>
      <c r="F140" s="3" t="s">
        <v>796</v>
      </c>
      <c r="G140" s="3"/>
      <c r="H140" s="7">
        <f>IFERROR(VLOOKUP(B140,'📊 Problem Tracker'!$B$4:$F$1200,5,FALSE()),"")</f>
        <v>0</v>
      </c>
      <c r="I140" s="7"/>
      <c r="J140" s="7"/>
      <c r="K140" s="3"/>
      <c r="L140" s="228" t="s">
        <v>4239</v>
      </c>
      <c r="M140" s="7" t="s">
        <v>24</v>
      </c>
      <c r="N140" s="176" t="s">
        <v>24</v>
      </c>
      <c r="O140" s="191" t="str">
        <f>HYPERLINK("https://leetcode.com/problems/rising-temperature/","https://leetcode.com/problems/rising-temperature/")</f>
        <v>https://leetcode.com/problems/rising-temperature/</v>
      </c>
    </row>
    <row r="141" spans="1:15" ht="31.5" customHeight="1" x14ac:dyDescent="0.2">
      <c r="A141" s="110">
        <v>136</v>
      </c>
      <c r="B141" s="110">
        <v>198</v>
      </c>
      <c r="C141" s="111" t="s">
        <v>874</v>
      </c>
      <c r="D141" s="110" t="s">
        <v>4578</v>
      </c>
      <c r="E141" s="112" t="s">
        <v>28</v>
      </c>
      <c r="F141" s="113" t="s">
        <v>309</v>
      </c>
      <c r="G141" s="113" t="s">
        <v>1042</v>
      </c>
      <c r="H141" s="110">
        <f>IFERROR(VLOOKUP(B141,'📊 Problem Tracker'!$B$4:$F$1200,5,FALSE()),"")</f>
        <v>0</v>
      </c>
      <c r="I141" s="110"/>
      <c r="J141" s="110"/>
      <c r="K141" s="113"/>
      <c r="L141" s="267" t="s">
        <v>876</v>
      </c>
      <c r="M141" s="110" t="s">
        <v>24</v>
      </c>
      <c r="N141" s="179" t="s">
        <v>47</v>
      </c>
      <c r="O141" s="192" t="str">
        <f>HYPERLINK("https://leetcode.com/problems/house-robber/","https://leetcode.com/problems/house-robber/")</f>
        <v>https://leetcode.com/problems/house-robber/</v>
      </c>
    </row>
    <row r="142" spans="1:15" ht="31.5" customHeight="1" x14ac:dyDescent="0.2">
      <c r="A142" s="7">
        <v>137</v>
      </c>
      <c r="B142" s="7">
        <v>200</v>
      </c>
      <c r="C142" s="13" t="s">
        <v>882</v>
      </c>
      <c r="D142" s="7" t="s">
        <v>4558</v>
      </c>
      <c r="E142" s="18" t="s">
        <v>28</v>
      </c>
      <c r="F142" s="3" t="s">
        <v>4159</v>
      </c>
      <c r="G142" s="3" t="s">
        <v>4579</v>
      </c>
      <c r="H142" s="7">
        <f>IFERROR(VLOOKUP(B142,'📊 Problem Tracker'!$B$4:$F$1200,5,FALSE()),"")</f>
        <v>0</v>
      </c>
      <c r="I142" s="7"/>
      <c r="J142" s="7"/>
      <c r="K142" s="3"/>
      <c r="L142" s="228" t="s">
        <v>884</v>
      </c>
      <c r="M142" s="7" t="s">
        <v>81</v>
      </c>
      <c r="N142" s="176" t="s">
        <v>81</v>
      </c>
      <c r="O142" s="191" t="str">
        <f>HYPERLINK("https://leetcode.com/problems/number-of-islands/","https://leetcode.com/problems/number-of-islands/")</f>
        <v>https://leetcode.com/problems/number-of-islands/</v>
      </c>
    </row>
    <row r="143" spans="1:15" ht="31.5" customHeight="1" x14ac:dyDescent="0.2">
      <c r="A143" s="110">
        <v>138</v>
      </c>
      <c r="B143" s="110">
        <v>202</v>
      </c>
      <c r="C143" s="111" t="s">
        <v>886</v>
      </c>
      <c r="D143" s="110" t="s">
        <v>4521</v>
      </c>
      <c r="E143" s="115" t="s">
        <v>20</v>
      </c>
      <c r="F143" s="113" t="s">
        <v>887</v>
      </c>
      <c r="G143" s="113" t="s">
        <v>4034</v>
      </c>
      <c r="H143" s="110">
        <f>IFERROR(VLOOKUP(B143,'📊 Problem Tracker'!$B$4:$F$1200,5,FALSE()),"")</f>
        <v>0</v>
      </c>
      <c r="I143" s="110"/>
      <c r="J143" s="110"/>
      <c r="K143" s="113"/>
      <c r="L143" s="267" t="s">
        <v>889</v>
      </c>
      <c r="M143" s="110" t="s">
        <v>65</v>
      </c>
      <c r="N143" s="179" t="s">
        <v>47</v>
      </c>
      <c r="O143" s="192" t="str">
        <f>HYPERLINK("https://leetcode.com/problems/happy-number/","https://leetcode.com/problems/happy-number/")</f>
        <v>https://leetcode.com/problems/happy-number/</v>
      </c>
    </row>
    <row r="144" spans="1:15" ht="31.5" customHeight="1" x14ac:dyDescent="0.2">
      <c r="A144" s="7">
        <v>139</v>
      </c>
      <c r="B144" s="7">
        <v>204</v>
      </c>
      <c r="C144" s="13" t="s">
        <v>893</v>
      </c>
      <c r="D144" s="7" t="s">
        <v>4580</v>
      </c>
      <c r="E144" s="18" t="s">
        <v>28</v>
      </c>
      <c r="F144" s="3" t="s">
        <v>62</v>
      </c>
      <c r="G144" s="3" t="s">
        <v>4581</v>
      </c>
      <c r="H144" s="7">
        <f>IFERROR(VLOOKUP(B144,'📊 Problem Tracker'!$B$4:$F$1200,5,FALSE()),"")</f>
        <v>0</v>
      </c>
      <c r="I144" s="7"/>
      <c r="J144" s="7"/>
      <c r="K144" s="3"/>
      <c r="L144" s="228" t="s">
        <v>230</v>
      </c>
      <c r="M144" s="7" t="s">
        <v>894</v>
      </c>
      <c r="N144" s="176" t="s">
        <v>24</v>
      </c>
      <c r="O144" s="191" t="str">
        <f>HYPERLINK("https://leetcode.com/problems/count-primes/","https://leetcode.com/problems/count-primes/")</f>
        <v>https://leetcode.com/problems/count-primes/</v>
      </c>
    </row>
    <row r="145" spans="1:15" ht="31.5" customHeight="1" x14ac:dyDescent="0.2">
      <c r="A145" s="110">
        <v>140</v>
      </c>
      <c r="B145" s="110">
        <v>205</v>
      </c>
      <c r="C145" s="111" t="s">
        <v>896</v>
      </c>
      <c r="D145" s="110" t="s">
        <v>4433</v>
      </c>
      <c r="E145" s="115" t="s">
        <v>20</v>
      </c>
      <c r="F145" s="113" t="s">
        <v>897</v>
      </c>
      <c r="G145" s="113" t="s">
        <v>4244</v>
      </c>
      <c r="H145" s="110">
        <f>IFERROR(VLOOKUP(B145,'📊 Problem Tracker'!$B$4:$F$1200,5,FALSE()),"")</f>
        <v>0</v>
      </c>
      <c r="I145" s="110"/>
      <c r="J145" s="110"/>
      <c r="K145" s="113"/>
      <c r="L145" s="267" t="s">
        <v>705</v>
      </c>
      <c r="M145" s="110" t="s">
        <v>24</v>
      </c>
      <c r="N145" s="179" t="s">
        <v>47</v>
      </c>
      <c r="O145" s="192" t="str">
        <f>HYPERLINK("https://leetcode.com/problems/isomorphic-strings/","https://leetcode.com/problems/isomorphic-strings/")</f>
        <v>https://leetcode.com/problems/isomorphic-strings/</v>
      </c>
    </row>
    <row r="146" spans="1:15" ht="31.5" customHeight="1" x14ac:dyDescent="0.2">
      <c r="A146" s="7">
        <v>141</v>
      </c>
      <c r="B146" s="7">
        <v>206</v>
      </c>
      <c r="C146" s="13" t="s">
        <v>899</v>
      </c>
      <c r="D146" s="7" t="s">
        <v>4582</v>
      </c>
      <c r="E146" s="21" t="s">
        <v>20</v>
      </c>
      <c r="F146" s="3" t="s">
        <v>127</v>
      </c>
      <c r="G146" s="3" t="s">
        <v>127</v>
      </c>
      <c r="H146" s="7">
        <f>IFERROR(VLOOKUP(B146,'📊 Problem Tracker'!$B$4:$F$1200,5,FALSE()),"")</f>
        <v>0</v>
      </c>
      <c r="I146" s="7"/>
      <c r="J146" s="7"/>
      <c r="K146" s="3"/>
      <c r="L146" s="228" t="s">
        <v>901</v>
      </c>
      <c r="M146" s="7" t="s">
        <v>24</v>
      </c>
      <c r="N146" s="176" t="s">
        <v>47</v>
      </c>
      <c r="O146" s="191" t="str">
        <f>HYPERLINK("https://leetcode.com/problems/reverse-linked-list/","https://leetcode.com/problems/reverse-linked-list/")</f>
        <v>https://leetcode.com/problems/reverse-linked-list/</v>
      </c>
    </row>
    <row r="147" spans="1:15" ht="31.5" customHeight="1" x14ac:dyDescent="0.2">
      <c r="A147" s="110">
        <v>142</v>
      </c>
      <c r="B147" s="110">
        <v>207</v>
      </c>
      <c r="C147" s="111" t="s">
        <v>903</v>
      </c>
      <c r="D147" s="110" t="s">
        <v>4583</v>
      </c>
      <c r="E147" s="112" t="s">
        <v>28</v>
      </c>
      <c r="F147" s="113" t="s">
        <v>4156</v>
      </c>
      <c r="G147" s="113" t="s">
        <v>4282</v>
      </c>
      <c r="H147" s="110">
        <f>IFERROR(VLOOKUP(B147,'📊 Problem Tracker'!$B$4:$F$1200,5,FALSE()),"")</f>
        <v>0</v>
      </c>
      <c r="I147" s="110"/>
      <c r="J147" s="110"/>
      <c r="K147" s="113"/>
      <c r="L147" s="267" t="s">
        <v>906</v>
      </c>
      <c r="M147" s="110" t="s">
        <v>648</v>
      </c>
      <c r="N147" s="179" t="s">
        <v>648</v>
      </c>
      <c r="O147" s="192" t="str">
        <f>HYPERLINK("https://leetcode.com/problems/course-schedule/","https://leetcode.com/problems/course-schedule/")</f>
        <v>https://leetcode.com/problems/course-schedule/</v>
      </c>
    </row>
    <row r="148" spans="1:15" ht="31.5" customHeight="1" x14ac:dyDescent="0.2">
      <c r="A148" s="7">
        <v>143</v>
      </c>
      <c r="B148" s="7">
        <v>208</v>
      </c>
      <c r="C148" s="13" t="s">
        <v>908</v>
      </c>
      <c r="D148" s="7" t="s">
        <v>4456</v>
      </c>
      <c r="E148" s="18" t="s">
        <v>28</v>
      </c>
      <c r="F148" s="3" t="s">
        <v>909</v>
      </c>
      <c r="G148" s="3" t="s">
        <v>925</v>
      </c>
      <c r="H148" s="7">
        <f>IFERROR(VLOOKUP(B148,'📊 Problem Tracker'!$B$4:$F$1200,5,FALSE()),"")</f>
        <v>0</v>
      </c>
      <c r="I148" s="7"/>
      <c r="J148" s="7"/>
      <c r="K148" s="3"/>
      <c r="L148" s="228" t="s">
        <v>911</v>
      </c>
      <c r="M148" s="7" t="s">
        <v>912</v>
      </c>
      <c r="N148" s="176" t="s">
        <v>913</v>
      </c>
      <c r="O148" s="191" t="str">
        <f>HYPERLINK("https://leetcode.com/problems/implement-trie-prefix-tree/","https://leetcode.com/problems/implement-trie-prefix-tree/")</f>
        <v>https://leetcode.com/problems/implement-trie-prefix-tree/</v>
      </c>
    </row>
    <row r="149" spans="1:15" ht="31.5" customHeight="1" x14ac:dyDescent="0.2">
      <c r="A149" s="110">
        <v>144</v>
      </c>
      <c r="B149" s="110">
        <v>209</v>
      </c>
      <c r="C149" s="111" t="s">
        <v>915</v>
      </c>
      <c r="D149" s="110" t="s">
        <v>4450</v>
      </c>
      <c r="E149" s="112" t="s">
        <v>28</v>
      </c>
      <c r="F149" s="113" t="s">
        <v>4584</v>
      </c>
      <c r="G149" s="113" t="s">
        <v>917</v>
      </c>
      <c r="H149" s="110">
        <f>IFERROR(VLOOKUP(B149,'📊 Problem Tracker'!$B$4:$F$1200,5,FALSE()),"")</f>
        <v>0</v>
      </c>
      <c r="I149" s="110"/>
      <c r="J149" s="110"/>
      <c r="K149" s="113"/>
      <c r="L149" s="267" t="s">
        <v>919</v>
      </c>
      <c r="M149" s="110" t="s">
        <v>24</v>
      </c>
      <c r="N149" s="179" t="s">
        <v>47</v>
      </c>
      <c r="O149" s="192" t="str">
        <f>HYPERLINK("https://leetcode.com/problems/minimum-size-subarray-sum/","https://leetcode.com/problems/minimum-size-subarray-sum/")</f>
        <v>https://leetcode.com/problems/minimum-size-subarray-sum/</v>
      </c>
    </row>
    <row r="150" spans="1:15" ht="31.5" customHeight="1" x14ac:dyDescent="0.2">
      <c r="A150" s="7">
        <v>145</v>
      </c>
      <c r="B150" s="7">
        <v>210</v>
      </c>
      <c r="C150" s="13" t="s">
        <v>921</v>
      </c>
      <c r="D150" s="7" t="s">
        <v>4585</v>
      </c>
      <c r="E150" s="18" t="s">
        <v>28</v>
      </c>
      <c r="F150" s="3" t="s">
        <v>1167</v>
      </c>
      <c r="G150" s="3" t="s">
        <v>4282</v>
      </c>
      <c r="H150" s="7">
        <f>IFERROR(VLOOKUP(B150,'📊 Problem Tracker'!$B$4:$F$1200,5,FALSE()),"")</f>
        <v>0</v>
      </c>
      <c r="I150" s="7"/>
      <c r="J150" s="7"/>
      <c r="K150" s="3"/>
      <c r="L150" s="228" t="s">
        <v>619</v>
      </c>
      <c r="M150" s="7" t="s">
        <v>648</v>
      </c>
      <c r="N150" s="176" t="s">
        <v>648</v>
      </c>
      <c r="O150" s="191" t="str">
        <f>HYPERLINK("https://leetcode.com/problems/course-schedule-ii/","https://leetcode.com/problems/course-schedule-ii/")</f>
        <v>https://leetcode.com/problems/course-schedule-ii/</v>
      </c>
    </row>
    <row r="151" spans="1:15" ht="31.5" customHeight="1" x14ac:dyDescent="0.2">
      <c r="A151" s="110">
        <v>146</v>
      </c>
      <c r="B151" s="110">
        <v>212</v>
      </c>
      <c r="C151" s="111" t="s">
        <v>930</v>
      </c>
      <c r="D151" s="110" t="s">
        <v>4586</v>
      </c>
      <c r="E151" s="114" t="s">
        <v>42</v>
      </c>
      <c r="F151" s="113" t="s">
        <v>4227</v>
      </c>
      <c r="G151" s="113" t="s">
        <v>4587</v>
      </c>
      <c r="H151" s="110">
        <f>IFERROR(VLOOKUP(B151,'📊 Problem Tracker'!$B$4:$F$1200,5,FALSE()),"")</f>
        <v>0</v>
      </c>
      <c r="I151" s="110"/>
      <c r="J151" s="110"/>
      <c r="K151" s="113"/>
      <c r="L151" s="267" t="s">
        <v>302</v>
      </c>
      <c r="M151" s="110" t="s">
        <v>446</v>
      </c>
      <c r="N151" s="179" t="s">
        <v>913</v>
      </c>
      <c r="O151" s="192" t="str">
        <f>HYPERLINK("https://leetcode.com/problems/word-search-ii/","https://leetcode.com/problems/word-search-ii/")</f>
        <v>https://leetcode.com/problems/word-search-ii/</v>
      </c>
    </row>
    <row r="152" spans="1:15" ht="31.5" customHeight="1" x14ac:dyDescent="0.2">
      <c r="A152" s="7">
        <v>147</v>
      </c>
      <c r="B152" s="7">
        <v>213</v>
      </c>
      <c r="C152" s="13" t="s">
        <v>934</v>
      </c>
      <c r="D152" s="7" t="s">
        <v>4574</v>
      </c>
      <c r="E152" s="18" t="s">
        <v>28</v>
      </c>
      <c r="F152" s="3" t="s">
        <v>309</v>
      </c>
      <c r="G152" s="3" t="s">
        <v>1042</v>
      </c>
      <c r="H152" s="7">
        <f>IFERROR(VLOOKUP(B152,'📊 Problem Tracker'!$B$4:$F$1200,5,FALSE()),"")</f>
        <v>0</v>
      </c>
      <c r="I152" s="7"/>
      <c r="J152" s="7"/>
      <c r="K152" s="3"/>
      <c r="L152" s="228" t="s">
        <v>508</v>
      </c>
      <c r="M152" s="7" t="s">
        <v>24</v>
      </c>
      <c r="N152" s="176" t="s">
        <v>24</v>
      </c>
      <c r="O152" s="191" t="str">
        <f>HYPERLINK("https://leetcode.com/problems/house-robber-ii/","https://leetcode.com/problems/house-robber-ii/")</f>
        <v>https://leetcode.com/problems/house-robber-ii/</v>
      </c>
    </row>
    <row r="153" spans="1:15" ht="31.5" customHeight="1" x14ac:dyDescent="0.2">
      <c r="A153" s="110">
        <v>148</v>
      </c>
      <c r="B153" s="110">
        <v>214</v>
      </c>
      <c r="C153" s="111" t="s">
        <v>937</v>
      </c>
      <c r="D153" s="110" t="s">
        <v>4588</v>
      </c>
      <c r="E153" s="114" t="s">
        <v>42</v>
      </c>
      <c r="F153" s="113" t="s">
        <v>938</v>
      </c>
      <c r="G153" s="113" t="s">
        <v>4589</v>
      </c>
      <c r="H153" s="110">
        <f>IFERROR(VLOOKUP(B153,'📊 Problem Tracker'!$B$4:$F$1200,5,FALSE()),"")</f>
        <v>0</v>
      </c>
      <c r="I153" s="110"/>
      <c r="J153" s="110"/>
      <c r="K153" s="113"/>
      <c r="L153" s="267" t="s">
        <v>750</v>
      </c>
      <c r="M153" s="110" t="s">
        <v>24</v>
      </c>
      <c r="N153" s="179" t="s">
        <v>24</v>
      </c>
      <c r="O153" s="192" t="str">
        <f>HYPERLINK("https://leetcode.com/problems/shortest-palindrome/","https://leetcode.com/problems/shortest-palindrome/")</f>
        <v>https://leetcode.com/problems/shortest-palindrome/</v>
      </c>
    </row>
    <row r="154" spans="1:15" ht="31.5" customHeight="1" x14ac:dyDescent="0.2">
      <c r="A154" s="7">
        <v>149</v>
      </c>
      <c r="B154" s="7">
        <v>215</v>
      </c>
      <c r="C154" s="13" t="s">
        <v>940</v>
      </c>
      <c r="D154" s="7" t="s">
        <v>4590</v>
      </c>
      <c r="E154" s="18" t="s">
        <v>28</v>
      </c>
      <c r="F154" s="3" t="s">
        <v>4286</v>
      </c>
      <c r="G154" s="3" t="s">
        <v>4591</v>
      </c>
      <c r="H154" s="7">
        <f>IFERROR(VLOOKUP(B154,'📊 Problem Tracker'!$B$4:$F$1200,5,FALSE()),"")</f>
        <v>0</v>
      </c>
      <c r="I154" s="7"/>
      <c r="J154" s="7"/>
      <c r="K154" s="3"/>
      <c r="L154" s="228" t="s">
        <v>943</v>
      </c>
      <c r="M154" s="7" t="s">
        <v>944</v>
      </c>
      <c r="N154" s="176" t="s">
        <v>945</v>
      </c>
      <c r="O154" s="191" t="str">
        <f>HYPERLINK("https://leetcode.com/problems/kth-largest-element-in-an-array/","https://leetcode.com/problems/kth-largest-element-in-an-array/")</f>
        <v>https://leetcode.com/problems/kth-largest-element-in-an-array/</v>
      </c>
    </row>
    <row r="155" spans="1:15" ht="31.5" customHeight="1" x14ac:dyDescent="0.2">
      <c r="A155" s="110">
        <v>150</v>
      </c>
      <c r="B155" s="110">
        <v>217</v>
      </c>
      <c r="C155" s="111" t="s">
        <v>951</v>
      </c>
      <c r="D155" s="110" t="s">
        <v>4592</v>
      </c>
      <c r="E155" s="115" t="s">
        <v>20</v>
      </c>
      <c r="F155" s="113" t="s">
        <v>19</v>
      </c>
      <c r="G155" s="113" t="s">
        <v>4244</v>
      </c>
      <c r="H155" s="110">
        <f>IFERROR(VLOOKUP(B155,'📊 Problem Tracker'!$B$4:$F$1200,5,FALSE()),"")</f>
        <v>0</v>
      </c>
      <c r="I155" s="110"/>
      <c r="J155" s="110"/>
      <c r="K155" s="113"/>
      <c r="L155" s="267" t="s">
        <v>954</v>
      </c>
      <c r="M155" s="110" t="s">
        <v>24</v>
      </c>
      <c r="N155" s="179" t="s">
        <v>24</v>
      </c>
      <c r="O155" s="192" t="str">
        <f>HYPERLINK("https://leetcode.com/problems/contains-duplicate/","https://leetcode.com/problems/contains-duplicate/")</f>
        <v>https://leetcode.com/problems/contains-duplicate/</v>
      </c>
    </row>
    <row r="156" spans="1:15" ht="31.5" customHeight="1" x14ac:dyDescent="0.2">
      <c r="A156" s="7">
        <v>151</v>
      </c>
      <c r="B156" s="7">
        <v>218</v>
      </c>
      <c r="C156" s="13" t="s">
        <v>956</v>
      </c>
      <c r="D156" s="7" t="s">
        <v>4547</v>
      </c>
      <c r="E156" s="20" t="s">
        <v>42</v>
      </c>
      <c r="F156" s="3" t="s">
        <v>2575</v>
      </c>
      <c r="G156" s="3" t="s">
        <v>4593</v>
      </c>
      <c r="H156" s="7">
        <f>IFERROR(VLOOKUP(B156,'📊 Problem Tracker'!$B$4:$F$1200,5,FALSE()),"")</f>
        <v>0</v>
      </c>
      <c r="I156" s="7"/>
      <c r="J156" s="7"/>
      <c r="K156" s="3"/>
      <c r="L156" s="228" t="s">
        <v>959</v>
      </c>
      <c r="M156" s="7" t="s">
        <v>960</v>
      </c>
      <c r="N156" s="176" t="s">
        <v>153</v>
      </c>
      <c r="O156" s="191" t="str">
        <f>HYPERLINK("https://leetcode.com/problems/the-skyline-problem/","https://leetcode.com/problems/the-skyline-problem/")</f>
        <v>https://leetcode.com/problems/the-skyline-problem/</v>
      </c>
    </row>
    <row r="157" spans="1:15" ht="31.5" customHeight="1" x14ac:dyDescent="0.2">
      <c r="A157" s="110">
        <v>152</v>
      </c>
      <c r="B157" s="110">
        <v>219</v>
      </c>
      <c r="C157" s="111" t="s">
        <v>962</v>
      </c>
      <c r="D157" s="110" t="s">
        <v>4577</v>
      </c>
      <c r="E157" s="115" t="s">
        <v>20</v>
      </c>
      <c r="F157" s="113" t="s">
        <v>3181</v>
      </c>
      <c r="G157" s="113" t="s">
        <v>4594</v>
      </c>
      <c r="H157" s="110">
        <f>IFERROR(VLOOKUP(B157,'📊 Problem Tracker'!$B$4:$F$1200,5,FALSE()),"")</f>
        <v>0</v>
      </c>
      <c r="I157" s="110"/>
      <c r="J157" s="110"/>
      <c r="K157" s="113"/>
      <c r="L157" s="267" t="s">
        <v>919</v>
      </c>
      <c r="M157" s="110" t="s">
        <v>24</v>
      </c>
      <c r="N157" s="179" t="s">
        <v>153</v>
      </c>
      <c r="O157" s="192" t="str">
        <f>HYPERLINK("https://leetcode.com/problems/contains-duplicate-ii/","https://leetcode.com/problems/contains-duplicate-ii/")</f>
        <v>https://leetcode.com/problems/contains-duplicate-ii/</v>
      </c>
    </row>
    <row r="158" spans="1:15" ht="31.5" customHeight="1" x14ac:dyDescent="0.2">
      <c r="A158" s="7">
        <v>153</v>
      </c>
      <c r="B158" s="7">
        <v>221</v>
      </c>
      <c r="C158" s="13" t="s">
        <v>964</v>
      </c>
      <c r="D158" s="7" t="s">
        <v>4595</v>
      </c>
      <c r="E158" s="18" t="s">
        <v>28</v>
      </c>
      <c r="F158" s="3" t="s">
        <v>360</v>
      </c>
      <c r="G158" s="3" t="s">
        <v>1042</v>
      </c>
      <c r="H158" s="7">
        <f>IFERROR(VLOOKUP(B158,'📊 Problem Tracker'!$B$4:$F$1200,5,FALSE()),"")</f>
        <v>0</v>
      </c>
      <c r="I158" s="7"/>
      <c r="J158" s="7"/>
      <c r="K158" s="3"/>
      <c r="L158" s="228" t="s">
        <v>508</v>
      </c>
      <c r="M158" s="7" t="s">
        <v>81</v>
      </c>
      <c r="N158" s="176" t="s">
        <v>24</v>
      </c>
      <c r="O158" s="191" t="str">
        <f>HYPERLINK("https://leetcode.com/problems/maximal-square/","https://leetcode.com/problems/maximal-square/")</f>
        <v>https://leetcode.com/problems/maximal-square/</v>
      </c>
    </row>
    <row r="159" spans="1:15" ht="31.5" customHeight="1" x14ac:dyDescent="0.2">
      <c r="A159" s="110">
        <v>154</v>
      </c>
      <c r="B159" s="110">
        <v>224</v>
      </c>
      <c r="C159" s="111" t="s">
        <v>970</v>
      </c>
      <c r="D159" s="110" t="s">
        <v>4596</v>
      </c>
      <c r="E159" s="114" t="s">
        <v>42</v>
      </c>
      <c r="F159" s="113" t="s">
        <v>971</v>
      </c>
      <c r="G159" s="113" t="s">
        <v>540</v>
      </c>
      <c r="H159" s="110">
        <f>IFERROR(VLOOKUP(B159,'📊 Problem Tracker'!$B$4:$F$1200,5,FALSE()),"")</f>
        <v>0</v>
      </c>
      <c r="I159" s="110"/>
      <c r="J159" s="110"/>
      <c r="K159" s="113"/>
      <c r="L159" s="267" t="s">
        <v>542</v>
      </c>
      <c r="M159" s="110" t="s">
        <v>24</v>
      </c>
      <c r="N159" s="179" t="s">
        <v>24</v>
      </c>
      <c r="O159" s="192" t="str">
        <f>HYPERLINK("https://leetcode.com/problems/basic-calculator/","https://leetcode.com/problems/basic-calculator/")</f>
        <v>https://leetcode.com/problems/basic-calculator/</v>
      </c>
    </row>
    <row r="160" spans="1:15" ht="31.5" customHeight="1" x14ac:dyDescent="0.2">
      <c r="A160" s="7">
        <v>155</v>
      </c>
      <c r="B160" s="7">
        <v>225</v>
      </c>
      <c r="C160" s="13" t="s">
        <v>973</v>
      </c>
      <c r="D160" s="7" t="s">
        <v>4546</v>
      </c>
      <c r="E160" s="21" t="s">
        <v>20</v>
      </c>
      <c r="F160" s="3" t="s">
        <v>974</v>
      </c>
      <c r="G160" s="3" t="s">
        <v>4597</v>
      </c>
      <c r="H160" s="7">
        <f>IFERROR(VLOOKUP(B160,'📊 Problem Tracker'!$B$4:$F$1200,5,FALSE()),"")</f>
        <v>0</v>
      </c>
      <c r="I160" s="7"/>
      <c r="J160" s="7"/>
      <c r="K160" s="3"/>
      <c r="L160" s="228" t="s">
        <v>542</v>
      </c>
      <c r="M160" s="7" t="s">
        <v>24</v>
      </c>
      <c r="N160" s="176" t="s">
        <v>24</v>
      </c>
      <c r="O160" s="191" t="str">
        <f>HYPERLINK("https://leetcode.com/problems/implement-stack-using-queues/","https://leetcode.com/problems/implement-stack-using-queues/")</f>
        <v>https://leetcode.com/problems/implement-stack-using-queues/</v>
      </c>
    </row>
    <row r="161" spans="1:15" ht="31.5" customHeight="1" x14ac:dyDescent="0.2">
      <c r="A161" s="110">
        <v>156</v>
      </c>
      <c r="B161" s="110">
        <v>226</v>
      </c>
      <c r="C161" s="111" t="s">
        <v>976</v>
      </c>
      <c r="D161" s="110" t="s">
        <v>4481</v>
      </c>
      <c r="E161" s="115" t="s">
        <v>20</v>
      </c>
      <c r="F161" s="113" t="s">
        <v>500</v>
      </c>
      <c r="G161" s="113" t="s">
        <v>4256</v>
      </c>
      <c r="H161" s="110">
        <f>IFERROR(VLOOKUP(B161,'📊 Problem Tracker'!$B$4:$F$1200,5,FALSE()),"")</f>
        <v>0</v>
      </c>
      <c r="I161" s="110"/>
      <c r="J161" s="110"/>
      <c r="K161" s="113"/>
      <c r="L161" s="267" t="s">
        <v>978</v>
      </c>
      <c r="M161" s="110" t="s">
        <v>24</v>
      </c>
      <c r="N161" s="179" t="s">
        <v>503</v>
      </c>
      <c r="O161" s="192" t="str">
        <f>HYPERLINK("https://leetcode.com/problems/invert-binary-tree/","https://leetcode.com/problems/invert-binary-tree/")</f>
        <v>https://leetcode.com/problems/invert-binary-tree/</v>
      </c>
    </row>
    <row r="162" spans="1:15" ht="31.5" customHeight="1" x14ac:dyDescent="0.2">
      <c r="A162" s="7">
        <v>157</v>
      </c>
      <c r="B162" s="7">
        <v>227</v>
      </c>
      <c r="C162" s="13" t="s">
        <v>980</v>
      </c>
      <c r="D162" s="7" t="s">
        <v>4596</v>
      </c>
      <c r="E162" s="18" t="s">
        <v>28</v>
      </c>
      <c r="F162" s="3" t="s">
        <v>971</v>
      </c>
      <c r="G162" s="3" t="s">
        <v>540</v>
      </c>
      <c r="H162" s="7">
        <f>IFERROR(VLOOKUP(B162,'📊 Problem Tracker'!$B$4:$F$1200,5,FALSE()),"")</f>
        <v>0</v>
      </c>
      <c r="I162" s="7"/>
      <c r="J162" s="7"/>
      <c r="K162" s="3"/>
      <c r="L162" s="228" t="s">
        <v>542</v>
      </c>
      <c r="M162" s="7" t="s">
        <v>24</v>
      </c>
      <c r="N162" s="176" t="s">
        <v>24</v>
      </c>
      <c r="O162" s="191" t="str">
        <f>HYPERLINK("https://leetcode.com/problems/basic-calculator-ii/","https://leetcode.com/problems/basic-calculator-ii/")</f>
        <v>https://leetcode.com/problems/basic-calculator-ii/</v>
      </c>
    </row>
    <row r="163" spans="1:15" ht="31.5" customHeight="1" x14ac:dyDescent="0.2">
      <c r="A163" s="110">
        <v>158</v>
      </c>
      <c r="B163" s="110">
        <v>228</v>
      </c>
      <c r="C163" s="111" t="s">
        <v>983</v>
      </c>
      <c r="D163" s="110" t="s">
        <v>4598</v>
      </c>
      <c r="E163" s="115" t="s">
        <v>20</v>
      </c>
      <c r="F163" s="113" t="s">
        <v>84</v>
      </c>
      <c r="G163" s="113" t="s">
        <v>689</v>
      </c>
      <c r="H163" s="110">
        <f>IFERROR(VLOOKUP(B163,'📊 Problem Tracker'!$B$4:$F$1200,5,FALSE()),"")</f>
        <v>0</v>
      </c>
      <c r="I163" s="110"/>
      <c r="J163" s="110"/>
      <c r="K163" s="113"/>
      <c r="L163" s="267" t="s">
        <v>690</v>
      </c>
      <c r="M163" s="110" t="s">
        <v>24</v>
      </c>
      <c r="N163" s="179" t="s">
        <v>47</v>
      </c>
      <c r="O163" s="192" t="str">
        <f>HYPERLINK("https://leetcode.com/problems/summary-ranges/","https://leetcode.com/problems/summary-ranges/")</f>
        <v>https://leetcode.com/problems/summary-ranges/</v>
      </c>
    </row>
    <row r="164" spans="1:15" ht="31.5" customHeight="1" x14ac:dyDescent="0.2">
      <c r="A164" s="7">
        <v>159</v>
      </c>
      <c r="B164" s="7">
        <v>229</v>
      </c>
      <c r="C164" s="13" t="s">
        <v>987</v>
      </c>
      <c r="D164" s="7" t="s">
        <v>4599</v>
      </c>
      <c r="E164" s="18" t="s">
        <v>28</v>
      </c>
      <c r="F164" s="3" t="s">
        <v>19</v>
      </c>
      <c r="G164" s="3" t="s">
        <v>4244</v>
      </c>
      <c r="H164" s="7">
        <f>IFERROR(VLOOKUP(B164,'📊 Problem Tracker'!$B$4:$F$1200,5,FALSE()),"")</f>
        <v>0</v>
      </c>
      <c r="I164" s="7"/>
      <c r="J164" s="7"/>
      <c r="K164" s="3"/>
      <c r="L164" s="228" t="s">
        <v>705</v>
      </c>
      <c r="M164" s="7" t="s">
        <v>24</v>
      </c>
      <c r="N164" s="176" t="s">
        <v>47</v>
      </c>
      <c r="O164" s="191" t="str">
        <f>HYPERLINK("https://leetcode.com/problems/majority-element-ii/","https://leetcode.com/problems/majority-element-ii/")</f>
        <v>https://leetcode.com/problems/majority-element-ii/</v>
      </c>
    </row>
    <row r="165" spans="1:15" ht="31.5" customHeight="1" x14ac:dyDescent="0.2">
      <c r="A165" s="110">
        <v>160</v>
      </c>
      <c r="B165" s="110">
        <v>230</v>
      </c>
      <c r="C165" s="111" t="s">
        <v>989</v>
      </c>
      <c r="D165" s="110" t="s">
        <v>4576</v>
      </c>
      <c r="E165" s="112" t="s">
        <v>28</v>
      </c>
      <c r="F165" s="113" t="s">
        <v>518</v>
      </c>
      <c r="G165" s="113" t="s">
        <v>4287</v>
      </c>
      <c r="H165" s="110">
        <f>IFERROR(VLOOKUP(B165,'📊 Problem Tracker'!$B$4:$F$1200,5,FALSE()),"")</f>
        <v>0</v>
      </c>
      <c r="I165" s="110"/>
      <c r="J165" s="110"/>
      <c r="K165" s="113"/>
      <c r="L165" s="267" t="s">
        <v>571</v>
      </c>
      <c r="M165" s="110" t="s">
        <v>991</v>
      </c>
      <c r="N165" s="179" t="s">
        <v>503</v>
      </c>
      <c r="O165" s="192" t="str">
        <f>HYPERLINK("https://leetcode.com/problems/kth-smallest-element-in-a-bst/","https://leetcode.com/problems/kth-smallest-element-in-a-bst/")</f>
        <v>https://leetcode.com/problems/kth-smallest-element-in-a-bst/</v>
      </c>
    </row>
    <row r="166" spans="1:15" ht="31.5" customHeight="1" x14ac:dyDescent="0.2">
      <c r="A166" s="7">
        <v>161</v>
      </c>
      <c r="B166" s="7">
        <v>231</v>
      </c>
      <c r="C166" s="13" t="s">
        <v>993</v>
      </c>
      <c r="D166" s="7" t="s">
        <v>4600</v>
      </c>
      <c r="E166" s="21" t="s">
        <v>20</v>
      </c>
      <c r="F166" s="3" t="s">
        <v>181</v>
      </c>
      <c r="G166" s="3" t="s">
        <v>666</v>
      </c>
      <c r="H166" s="7">
        <f>IFERROR(VLOOKUP(B166,'📊 Problem Tracker'!$B$4:$F$1200,5,FALSE()),"")</f>
        <v>0</v>
      </c>
      <c r="I166" s="7"/>
      <c r="J166" s="7"/>
      <c r="K166" s="3"/>
      <c r="L166" s="228" t="s">
        <v>230</v>
      </c>
      <c r="M166" s="7" t="s">
        <v>47</v>
      </c>
      <c r="N166" s="176" t="s">
        <v>47</v>
      </c>
      <c r="O166" s="191" t="str">
        <f>HYPERLINK("https://leetcode.com/problems/power-of-two/","https://leetcode.com/problems/power-of-two/")</f>
        <v>https://leetcode.com/problems/power-of-two/</v>
      </c>
    </row>
    <row r="167" spans="1:15" ht="31.5" customHeight="1" x14ac:dyDescent="0.2">
      <c r="A167" s="110">
        <v>162</v>
      </c>
      <c r="B167" s="110">
        <v>232</v>
      </c>
      <c r="C167" s="111" t="s">
        <v>995</v>
      </c>
      <c r="D167" s="110" t="s">
        <v>4601</v>
      </c>
      <c r="E167" s="115" t="s">
        <v>20</v>
      </c>
      <c r="F167" s="113" t="s">
        <v>974</v>
      </c>
      <c r="G167" s="113" t="s">
        <v>540</v>
      </c>
      <c r="H167" s="110">
        <f>IFERROR(VLOOKUP(B167,'📊 Problem Tracker'!$B$4:$F$1200,5,FALSE()),"")</f>
        <v>0</v>
      </c>
      <c r="I167" s="110"/>
      <c r="J167" s="110"/>
      <c r="K167" s="113"/>
      <c r="L167" s="267" t="s">
        <v>542</v>
      </c>
      <c r="M167" s="110" t="s">
        <v>996</v>
      </c>
      <c r="N167" s="179" t="s">
        <v>24</v>
      </c>
      <c r="O167" s="192" t="str">
        <f>HYPERLINK("https://leetcode.com/problems/implement-queue-using-stacks/","https://leetcode.com/problems/implement-queue-using-stacks/")</f>
        <v>https://leetcode.com/problems/implement-queue-using-stacks/</v>
      </c>
    </row>
    <row r="168" spans="1:15" ht="31.5" customHeight="1" x14ac:dyDescent="0.2">
      <c r="A168" s="7">
        <v>163</v>
      </c>
      <c r="B168" s="7">
        <v>234</v>
      </c>
      <c r="C168" s="13" t="s">
        <v>998</v>
      </c>
      <c r="D168" s="7" t="s">
        <v>4555</v>
      </c>
      <c r="E168" s="21" t="s">
        <v>20</v>
      </c>
      <c r="F168" s="3" t="s">
        <v>4290</v>
      </c>
      <c r="G168" s="3" t="s">
        <v>4034</v>
      </c>
      <c r="H168" s="7">
        <f>IFERROR(VLOOKUP(B168,'📊 Problem Tracker'!$B$4:$F$1200,5,FALSE()),"")</f>
        <v>0</v>
      </c>
      <c r="I168" s="7"/>
      <c r="J168" s="7"/>
      <c r="K168" s="3"/>
      <c r="L168" s="228" t="s">
        <v>1000</v>
      </c>
      <c r="M168" s="7" t="s">
        <v>24</v>
      </c>
      <c r="N168" s="176" t="s">
        <v>47</v>
      </c>
      <c r="O168" s="191" t="str">
        <f>HYPERLINK("https://leetcode.com/problems/palindrome-linked-list/","https://leetcode.com/problems/palindrome-linked-list/")</f>
        <v>https://leetcode.com/problems/palindrome-linked-list/</v>
      </c>
    </row>
    <row r="169" spans="1:15" ht="31.5" customHeight="1" x14ac:dyDescent="0.2">
      <c r="A169" s="110">
        <v>164</v>
      </c>
      <c r="B169" s="110">
        <v>235</v>
      </c>
      <c r="C169" s="111" t="s">
        <v>1002</v>
      </c>
      <c r="D169" s="110" t="s">
        <v>4602</v>
      </c>
      <c r="E169" s="112" t="s">
        <v>28</v>
      </c>
      <c r="F169" s="113" t="s">
        <v>518</v>
      </c>
      <c r="G169" s="113" t="s">
        <v>4520</v>
      </c>
      <c r="H169" s="110">
        <f>IFERROR(VLOOKUP(B169,'📊 Problem Tracker'!$B$4:$F$1200,5,FALSE()),"")</f>
        <v>0</v>
      </c>
      <c r="I169" s="110"/>
      <c r="J169" s="110"/>
      <c r="K169" s="113"/>
      <c r="L169" s="267" t="s">
        <v>513</v>
      </c>
      <c r="M169" s="110" t="s">
        <v>503</v>
      </c>
      <c r="N169" s="179" t="s">
        <v>47</v>
      </c>
      <c r="O169" s="192" t="str">
        <f>HYPERLINK("https://leetcode.com/problems/lowest-common-ancestor-of-a-binary-search-tree/","https://leetcode.com/problems/lowest-common-ancestor-of-a-binary-search-tree/")</f>
        <v>https://leetcode.com/problems/lowest-common-ancestor-of-a-binary-search-tree/</v>
      </c>
    </row>
    <row r="170" spans="1:15" ht="31.5" customHeight="1" x14ac:dyDescent="0.2">
      <c r="A170" s="7">
        <v>165</v>
      </c>
      <c r="B170" s="7">
        <v>236</v>
      </c>
      <c r="C170" s="13" t="s">
        <v>1004</v>
      </c>
      <c r="D170" s="7" t="s">
        <v>4603</v>
      </c>
      <c r="E170" s="18" t="s">
        <v>28</v>
      </c>
      <c r="F170" s="3" t="s">
        <v>500</v>
      </c>
      <c r="G170" s="3" t="s">
        <v>4256</v>
      </c>
      <c r="H170" s="7">
        <f>IFERROR(VLOOKUP(B170,'📊 Problem Tracker'!$B$4:$F$1200,5,FALSE()),"")</f>
        <v>0</v>
      </c>
      <c r="I170" s="7"/>
      <c r="J170" s="7"/>
      <c r="K170" s="3"/>
      <c r="L170" s="228" t="s">
        <v>571</v>
      </c>
      <c r="M170" s="7" t="s">
        <v>24</v>
      </c>
      <c r="N170" s="176" t="s">
        <v>503</v>
      </c>
      <c r="O170" s="191" t="str">
        <f>HYPERLINK("https://leetcode.com/problems/lowest-common-ancestor-of-a-binary-tree/","https://leetcode.com/problems/lowest-common-ancestor-of-a-binary-tree/")</f>
        <v>https://leetcode.com/problems/lowest-common-ancestor-of-a-binary-tree/</v>
      </c>
    </row>
    <row r="171" spans="1:15" ht="31.5" customHeight="1" x14ac:dyDescent="0.2">
      <c r="A171" s="110">
        <v>166</v>
      </c>
      <c r="B171" s="110">
        <v>237</v>
      </c>
      <c r="C171" s="111" t="s">
        <v>1006</v>
      </c>
      <c r="D171" s="110" t="s">
        <v>4604</v>
      </c>
      <c r="E171" s="112" t="s">
        <v>28</v>
      </c>
      <c r="F171" s="113" t="s">
        <v>127</v>
      </c>
      <c r="G171" s="113" t="s">
        <v>127</v>
      </c>
      <c r="H171" s="110">
        <f>IFERROR(VLOOKUP(B171,'📊 Problem Tracker'!$B$4:$F$1200,5,FALSE()),"")</f>
        <v>0</v>
      </c>
      <c r="I171" s="110"/>
      <c r="J171" s="110"/>
      <c r="K171" s="113"/>
      <c r="L171" s="267" t="s">
        <v>461</v>
      </c>
      <c r="M171" s="110" t="s">
        <v>47</v>
      </c>
      <c r="N171" s="179" t="s">
        <v>47</v>
      </c>
      <c r="O171" s="192" t="str">
        <f>HYPERLINK("https://leetcode.com/problems/delete-node-in-a-linked-list/","https://leetcode.com/problems/delete-node-in-a-linked-list/")</f>
        <v>https://leetcode.com/problems/delete-node-in-a-linked-list/</v>
      </c>
    </row>
    <row r="172" spans="1:15" ht="31.5" customHeight="1" x14ac:dyDescent="0.2">
      <c r="A172" s="7">
        <v>167</v>
      </c>
      <c r="B172" s="7">
        <v>238</v>
      </c>
      <c r="C172" s="13" t="s">
        <v>1008</v>
      </c>
      <c r="D172" s="7" t="s">
        <v>4590</v>
      </c>
      <c r="E172" s="18" t="s">
        <v>28</v>
      </c>
      <c r="F172" s="3" t="s">
        <v>1009</v>
      </c>
      <c r="G172" s="3" t="s">
        <v>4316</v>
      </c>
      <c r="H172" s="7">
        <f>IFERROR(VLOOKUP(B172,'📊 Problem Tracker'!$B$4:$F$1200,5,FALSE()),"")</f>
        <v>0</v>
      </c>
      <c r="I172" s="7"/>
      <c r="J172" s="7"/>
      <c r="K172" s="3"/>
      <c r="L172" s="228" t="s">
        <v>1011</v>
      </c>
      <c r="M172" s="7" t="s">
        <v>24</v>
      </c>
      <c r="N172" s="176" t="s">
        <v>1012</v>
      </c>
      <c r="O172" s="191" t="str">
        <f>HYPERLINK("https://leetcode.com/problems/product-of-array-except-self/","https://leetcode.com/problems/product-of-array-except-self/")</f>
        <v>https://leetcode.com/problems/product-of-array-except-self/</v>
      </c>
    </row>
    <row r="173" spans="1:15" ht="31.5" customHeight="1" x14ac:dyDescent="0.2">
      <c r="A173" s="110">
        <v>168</v>
      </c>
      <c r="B173" s="110">
        <v>239</v>
      </c>
      <c r="C173" s="111" t="s">
        <v>1014</v>
      </c>
      <c r="D173" s="110" t="s">
        <v>4605</v>
      </c>
      <c r="E173" s="114" t="s">
        <v>42</v>
      </c>
      <c r="F173" s="113" t="s">
        <v>1015</v>
      </c>
      <c r="G173" s="113" t="s">
        <v>1016</v>
      </c>
      <c r="H173" s="110">
        <f>IFERROR(VLOOKUP(B173,'📊 Problem Tracker'!$B$4:$F$1200,5,FALSE()),"")</f>
        <v>0</v>
      </c>
      <c r="I173" s="110"/>
      <c r="J173" s="110"/>
      <c r="K173" s="113"/>
      <c r="L173" s="267" t="s">
        <v>1017</v>
      </c>
      <c r="M173" s="110" t="s">
        <v>24</v>
      </c>
      <c r="N173" s="179" t="s">
        <v>153</v>
      </c>
      <c r="O173" s="192" t="str">
        <f>HYPERLINK("https://leetcode.com/problems/sliding-window-maximum/","https://leetcode.com/problems/sliding-window-maximum/")</f>
        <v>https://leetcode.com/problems/sliding-window-maximum/</v>
      </c>
    </row>
    <row r="174" spans="1:15" ht="31.5" customHeight="1" x14ac:dyDescent="0.2">
      <c r="A174" s="7">
        <v>169</v>
      </c>
      <c r="B174" s="7">
        <v>240</v>
      </c>
      <c r="C174" s="13" t="s">
        <v>1019</v>
      </c>
      <c r="D174" s="7" t="s">
        <v>4606</v>
      </c>
      <c r="E174" s="18" t="s">
        <v>28</v>
      </c>
      <c r="F174" s="3" t="s">
        <v>416</v>
      </c>
      <c r="G174" s="3" t="s">
        <v>512</v>
      </c>
      <c r="H174" s="7">
        <f>IFERROR(VLOOKUP(B174,'📊 Problem Tracker'!$B$4:$F$1200,5,FALSE()),"")</f>
        <v>0</v>
      </c>
      <c r="I174" s="7"/>
      <c r="J174" s="7"/>
      <c r="K174" s="3"/>
      <c r="L174" s="228" t="s">
        <v>513</v>
      </c>
      <c r="M174" s="7" t="s">
        <v>259</v>
      </c>
      <c r="N174" s="176" t="s">
        <v>47</v>
      </c>
      <c r="O174" s="191" t="str">
        <f>HYPERLINK("https://leetcode.com/problems/search-a-2d-matrix-ii/","https://leetcode.com/problems/search-a-2d-matrix-ii/")</f>
        <v>https://leetcode.com/problems/search-a-2d-matrix-ii/</v>
      </c>
    </row>
    <row r="175" spans="1:15" ht="31.5" customHeight="1" x14ac:dyDescent="0.2">
      <c r="A175" s="110">
        <v>170</v>
      </c>
      <c r="B175" s="110">
        <v>242</v>
      </c>
      <c r="C175" s="111" t="s">
        <v>1022</v>
      </c>
      <c r="D175" s="110" t="s">
        <v>4607</v>
      </c>
      <c r="E175" s="115" t="s">
        <v>20</v>
      </c>
      <c r="F175" s="113" t="s">
        <v>897</v>
      </c>
      <c r="G175" s="113" t="s">
        <v>4244</v>
      </c>
      <c r="H175" s="110">
        <f>IFERROR(VLOOKUP(B175,'📊 Problem Tracker'!$B$4:$F$1200,5,FALSE()),"")</f>
        <v>0</v>
      </c>
      <c r="I175" s="110"/>
      <c r="J175" s="110"/>
      <c r="K175" s="113"/>
      <c r="L175" s="267" t="s">
        <v>1024</v>
      </c>
      <c r="M175" s="110" t="s">
        <v>24</v>
      </c>
      <c r="N175" s="179" t="s">
        <v>47</v>
      </c>
      <c r="O175" s="192" t="str">
        <f>HYPERLINK("https://leetcode.com/problems/valid-anagram/","https://leetcode.com/problems/valid-anagram/")</f>
        <v>https://leetcode.com/problems/valid-anagram/</v>
      </c>
    </row>
    <row r="176" spans="1:15" ht="31.5" customHeight="1" x14ac:dyDescent="0.2">
      <c r="A176" s="7">
        <v>171</v>
      </c>
      <c r="B176" s="7">
        <v>249</v>
      </c>
      <c r="C176" s="13" t="s">
        <v>1030</v>
      </c>
      <c r="D176" s="7" t="s">
        <v>4608</v>
      </c>
      <c r="E176" s="18" t="s">
        <v>28</v>
      </c>
      <c r="F176" s="3" t="s">
        <v>897</v>
      </c>
      <c r="G176" s="3" t="s">
        <v>4244</v>
      </c>
      <c r="H176" s="7">
        <f>IFERROR(VLOOKUP(B176,'📊 Problem Tracker'!$B$4:$F$1200,5,FALSE()),"")</f>
        <v>0</v>
      </c>
      <c r="I176" s="7"/>
      <c r="J176" s="7"/>
      <c r="K176" s="3"/>
      <c r="L176" s="228" t="s">
        <v>705</v>
      </c>
      <c r="M176" s="7" t="s">
        <v>24</v>
      </c>
      <c r="N176" s="176" t="s">
        <v>24</v>
      </c>
      <c r="O176" s="191" t="str">
        <f>HYPERLINK("https://leetcode.com/problems/group-shifted-strings/","https://leetcode.com/problems/group-shifted-strings/")</f>
        <v>https://leetcode.com/problems/group-shifted-strings/</v>
      </c>
    </row>
    <row r="177" spans="1:15" ht="31.5" customHeight="1" x14ac:dyDescent="0.2">
      <c r="A177" s="110">
        <v>172</v>
      </c>
      <c r="B177" s="110">
        <v>253</v>
      </c>
      <c r="C177" s="111" t="s">
        <v>1036</v>
      </c>
      <c r="D177" s="110" t="s">
        <v>4609</v>
      </c>
      <c r="E177" s="112" t="s">
        <v>28</v>
      </c>
      <c r="F177" s="113" t="s">
        <v>4174</v>
      </c>
      <c r="G177" s="113" t="s">
        <v>4353</v>
      </c>
      <c r="H177" s="110">
        <f>IFERROR(VLOOKUP(B177,'📊 Problem Tracker'!$B$4:$F$1200,5,FALSE()),"")</f>
        <v>0</v>
      </c>
      <c r="I177" s="110"/>
      <c r="J177" s="110"/>
      <c r="K177" s="113"/>
      <c r="L177" s="267" t="s">
        <v>959</v>
      </c>
      <c r="M177" s="110" t="s">
        <v>960</v>
      </c>
      <c r="N177" s="179" t="s">
        <v>153</v>
      </c>
      <c r="O177" s="192" t="str">
        <f>HYPERLINK("https://leetcode.com/problems/meeting-rooms-ii/","https://leetcode.com/problems/meeting-rooms-ii/")</f>
        <v>https://leetcode.com/problems/meeting-rooms-ii/</v>
      </c>
    </row>
    <row r="178" spans="1:15" ht="31.5" customHeight="1" x14ac:dyDescent="0.2">
      <c r="A178" s="7">
        <v>173</v>
      </c>
      <c r="B178" s="7">
        <v>257</v>
      </c>
      <c r="C178" s="13" t="s">
        <v>1045</v>
      </c>
      <c r="D178" s="7" t="s">
        <v>4610</v>
      </c>
      <c r="E178" s="21" t="s">
        <v>20</v>
      </c>
      <c r="F178" s="3" t="s">
        <v>500</v>
      </c>
      <c r="G178" s="3"/>
      <c r="H178" s="7">
        <f>IFERROR(VLOOKUP(B178,'📊 Problem Tracker'!$B$4:$F$1200,5,FALSE()),"")</f>
        <v>0</v>
      </c>
      <c r="I178" s="7"/>
      <c r="J178" s="7"/>
      <c r="K178" s="3"/>
      <c r="L178" s="228" t="s">
        <v>571</v>
      </c>
      <c r="M178" s="7" t="s">
        <v>53</v>
      </c>
      <c r="N178" s="176" t="s">
        <v>503</v>
      </c>
      <c r="O178" s="191" t="str">
        <f>HYPERLINK("https://leetcode.com/problems/binary-tree-paths/","https://leetcode.com/problems/binary-tree-paths/")</f>
        <v>https://leetcode.com/problems/binary-tree-paths/</v>
      </c>
    </row>
    <row r="179" spans="1:15" ht="31.5" customHeight="1" x14ac:dyDescent="0.2">
      <c r="A179" s="110">
        <v>174</v>
      </c>
      <c r="B179" s="110">
        <v>258</v>
      </c>
      <c r="C179" s="111" t="s">
        <v>1047</v>
      </c>
      <c r="D179" s="110" t="s">
        <v>4590</v>
      </c>
      <c r="E179" s="115" t="s">
        <v>20</v>
      </c>
      <c r="F179" s="113" t="s">
        <v>62</v>
      </c>
      <c r="G179" s="113" t="s">
        <v>62</v>
      </c>
      <c r="H179" s="110">
        <f>IFERROR(VLOOKUP(B179,'📊 Problem Tracker'!$B$4:$F$1200,5,FALSE()),"")</f>
        <v>0</v>
      </c>
      <c r="I179" s="110"/>
      <c r="J179" s="110"/>
      <c r="K179" s="113"/>
      <c r="L179" s="267" t="s">
        <v>230</v>
      </c>
      <c r="M179" s="110" t="s">
        <v>47</v>
      </c>
      <c r="N179" s="179" t="s">
        <v>47</v>
      </c>
      <c r="O179" s="192" t="str">
        <f>HYPERLINK("https://leetcode.com/problems/add-digits/","https://leetcode.com/problems/add-digits/")</f>
        <v>https://leetcode.com/problems/add-digits/</v>
      </c>
    </row>
    <row r="180" spans="1:15" ht="31.5" customHeight="1" x14ac:dyDescent="0.2">
      <c r="A180" s="7">
        <v>175</v>
      </c>
      <c r="B180" s="7">
        <v>263</v>
      </c>
      <c r="C180" s="13" t="s">
        <v>1053</v>
      </c>
      <c r="D180" s="7" t="s">
        <v>4611</v>
      </c>
      <c r="E180" s="21" t="s">
        <v>20</v>
      </c>
      <c r="F180" s="3" t="s">
        <v>62</v>
      </c>
      <c r="G180" s="3" t="s">
        <v>62</v>
      </c>
      <c r="H180" s="7">
        <f>IFERROR(VLOOKUP(B180,'📊 Problem Tracker'!$B$4:$F$1200,5,FALSE()),"")</f>
        <v>0</v>
      </c>
      <c r="I180" s="7"/>
      <c r="J180" s="7"/>
      <c r="K180" s="3"/>
      <c r="L180" s="228" t="s">
        <v>230</v>
      </c>
      <c r="M180" s="7" t="s">
        <v>65</v>
      </c>
      <c r="N180" s="176" t="s">
        <v>47</v>
      </c>
      <c r="O180" s="191" t="str">
        <f>HYPERLINK("https://leetcode.com/problems/ugly-number/","https://leetcode.com/problems/ugly-number/")</f>
        <v>https://leetcode.com/problems/ugly-number/</v>
      </c>
    </row>
    <row r="181" spans="1:15" ht="31.5" customHeight="1" x14ac:dyDescent="0.2">
      <c r="A181" s="110">
        <v>176</v>
      </c>
      <c r="B181" s="110">
        <v>268</v>
      </c>
      <c r="C181" s="111" t="s">
        <v>1057</v>
      </c>
      <c r="D181" s="110" t="s">
        <v>4612</v>
      </c>
      <c r="E181" s="115" t="s">
        <v>20</v>
      </c>
      <c r="F181" s="113" t="s">
        <v>1058</v>
      </c>
      <c r="G181" s="113" t="s">
        <v>666</v>
      </c>
      <c r="H181" s="110">
        <f>IFERROR(VLOOKUP(B181,'📊 Problem Tracker'!$B$4:$F$1200,5,FALSE()),"")</f>
        <v>0</v>
      </c>
      <c r="I181" s="110"/>
      <c r="J181" s="110"/>
      <c r="K181" s="113"/>
      <c r="L181" s="267" t="s">
        <v>1061</v>
      </c>
      <c r="M181" s="110" t="s">
        <v>24</v>
      </c>
      <c r="N181" s="179" t="s">
        <v>47</v>
      </c>
      <c r="O181" s="192" t="str">
        <f>HYPERLINK("https://leetcode.com/problems/missing-number/","https://leetcode.com/problems/missing-number/")</f>
        <v>https://leetcode.com/problems/missing-number/</v>
      </c>
    </row>
    <row r="182" spans="1:15" ht="31.5" customHeight="1" x14ac:dyDescent="0.2">
      <c r="A182" s="7">
        <v>177</v>
      </c>
      <c r="B182" s="7">
        <v>271</v>
      </c>
      <c r="C182" s="13" t="s">
        <v>1069</v>
      </c>
      <c r="D182" s="7" t="s">
        <v>4450</v>
      </c>
      <c r="E182" s="18" t="s">
        <v>28</v>
      </c>
      <c r="F182" s="3" t="s">
        <v>735</v>
      </c>
      <c r="G182" s="3" t="s">
        <v>4613</v>
      </c>
      <c r="H182" s="7">
        <f>IFERROR(VLOOKUP(B182,'📊 Problem Tracker'!$B$4:$F$1200,5,FALSE()),"")</f>
        <v>0</v>
      </c>
      <c r="I182" s="7"/>
      <c r="J182" s="7"/>
      <c r="K182" s="3"/>
      <c r="L182" s="228" t="s">
        <v>750</v>
      </c>
      <c r="M182" s="7" t="s">
        <v>24</v>
      </c>
      <c r="N182" s="176" t="s">
        <v>24</v>
      </c>
      <c r="O182" s="191" t="str">
        <f>HYPERLINK("https://leetcode.com/problems/encode-and-decode-strings/","https://leetcode.com/problems/encode-and-decode-strings/")</f>
        <v>https://leetcode.com/problems/encode-and-decode-strings/</v>
      </c>
    </row>
    <row r="183" spans="1:15" ht="31.5" customHeight="1" x14ac:dyDescent="0.2">
      <c r="A183" s="110">
        <v>178</v>
      </c>
      <c r="B183" s="110">
        <v>278</v>
      </c>
      <c r="C183" s="111" t="s">
        <v>1082</v>
      </c>
      <c r="D183" s="110" t="s">
        <v>4544</v>
      </c>
      <c r="E183" s="115" t="s">
        <v>20</v>
      </c>
      <c r="F183" s="113" t="s">
        <v>512</v>
      </c>
      <c r="G183" s="113" t="s">
        <v>512</v>
      </c>
      <c r="H183" s="110">
        <f>IFERROR(VLOOKUP(B183,'📊 Problem Tracker'!$B$4:$F$1200,5,FALSE()),"")</f>
        <v>0</v>
      </c>
      <c r="I183" s="110"/>
      <c r="J183" s="110"/>
      <c r="K183" s="113"/>
      <c r="L183" s="267" t="s">
        <v>513</v>
      </c>
      <c r="M183" s="110" t="s">
        <v>65</v>
      </c>
      <c r="N183" s="179" t="s">
        <v>47</v>
      </c>
      <c r="O183" s="192" t="str">
        <f>HYPERLINK("https://leetcode.com/problems/first-bad-version/","https://leetcode.com/problems/first-bad-version/")</f>
        <v>https://leetcode.com/problems/first-bad-version/</v>
      </c>
    </row>
    <row r="184" spans="1:15" ht="31.5" customHeight="1" x14ac:dyDescent="0.2">
      <c r="A184" s="7">
        <v>179</v>
      </c>
      <c r="B184" s="7">
        <v>279</v>
      </c>
      <c r="C184" s="13" t="s">
        <v>1085</v>
      </c>
      <c r="D184" s="7" t="s">
        <v>4614</v>
      </c>
      <c r="E184" s="18" t="s">
        <v>28</v>
      </c>
      <c r="F184" s="3" t="s">
        <v>1206</v>
      </c>
      <c r="G184" s="3" t="s">
        <v>4302</v>
      </c>
      <c r="H184" s="7">
        <f>IFERROR(VLOOKUP(B184,'📊 Problem Tracker'!$B$4:$F$1200,5,FALSE()),"")</f>
        <v>0</v>
      </c>
      <c r="I184" s="7"/>
      <c r="J184" s="7"/>
      <c r="K184" s="3"/>
      <c r="L184" s="228" t="s">
        <v>508</v>
      </c>
      <c r="M184" s="7" t="s">
        <v>1087</v>
      </c>
      <c r="N184" s="176" t="s">
        <v>24</v>
      </c>
      <c r="O184" s="191" t="str">
        <f>HYPERLINK("https://leetcode.com/problems/perfect-squares/","https://leetcode.com/problems/perfect-squares/")</f>
        <v>https://leetcode.com/problems/perfect-squares/</v>
      </c>
    </row>
    <row r="185" spans="1:15" ht="31.5" customHeight="1" x14ac:dyDescent="0.2">
      <c r="A185" s="110">
        <v>180</v>
      </c>
      <c r="B185" s="110">
        <v>282</v>
      </c>
      <c r="C185" s="111" t="s">
        <v>1089</v>
      </c>
      <c r="D185" s="110" t="s">
        <v>4615</v>
      </c>
      <c r="E185" s="114" t="s">
        <v>42</v>
      </c>
      <c r="F185" s="113" t="s">
        <v>1090</v>
      </c>
      <c r="G185" s="113" t="s">
        <v>300</v>
      </c>
      <c r="H185" s="110">
        <f>IFERROR(VLOOKUP(B185,'📊 Problem Tracker'!$B$4:$F$1200,5,FALSE()),"")</f>
        <v>0</v>
      </c>
      <c r="I185" s="110"/>
      <c r="J185" s="110"/>
      <c r="K185" s="113"/>
      <c r="L185" s="267" t="s">
        <v>302</v>
      </c>
      <c r="M185" s="110" t="s">
        <v>303</v>
      </c>
      <c r="N185" s="179" t="s">
        <v>304</v>
      </c>
      <c r="O185" s="192" t="str">
        <f>HYPERLINK("https://leetcode.com/problems/expression-add-operators/","https://leetcode.com/problems/expression-add-operators/")</f>
        <v>https://leetcode.com/problems/expression-add-operators/</v>
      </c>
    </row>
    <row r="186" spans="1:15" ht="31.5" customHeight="1" x14ac:dyDescent="0.2">
      <c r="A186" s="7">
        <v>181</v>
      </c>
      <c r="B186" s="7">
        <v>283</v>
      </c>
      <c r="C186" s="13" t="s">
        <v>1093</v>
      </c>
      <c r="D186" s="7" t="s">
        <v>4616</v>
      </c>
      <c r="E186" s="21" t="s">
        <v>20</v>
      </c>
      <c r="F186" s="3" t="s">
        <v>84</v>
      </c>
      <c r="G186" s="3" t="s">
        <v>689</v>
      </c>
      <c r="H186" s="7">
        <f>IFERROR(VLOOKUP(B186,'📊 Problem Tracker'!$B$4:$F$1200,5,FALSE()),"")</f>
        <v>0</v>
      </c>
      <c r="I186" s="7"/>
      <c r="J186" s="7"/>
      <c r="K186" s="3"/>
      <c r="L186" s="228" t="s">
        <v>1095</v>
      </c>
      <c r="M186" s="7" t="s">
        <v>24</v>
      </c>
      <c r="N186" s="176" t="s">
        <v>1096</v>
      </c>
      <c r="O186" s="191" t="str">
        <f>HYPERLINK("https://leetcode.com/problems/move-zeroes/","https://leetcode.com/problems/move-zeroes/")</f>
        <v>https://leetcode.com/problems/move-zeroes/</v>
      </c>
    </row>
    <row r="187" spans="1:15" ht="31.5" customHeight="1" x14ac:dyDescent="0.2">
      <c r="A187" s="110">
        <v>182</v>
      </c>
      <c r="B187" s="110">
        <v>286</v>
      </c>
      <c r="C187" s="111" t="s">
        <v>1105</v>
      </c>
      <c r="D187" s="110" t="s">
        <v>4617</v>
      </c>
      <c r="E187" s="112" t="s">
        <v>28</v>
      </c>
      <c r="F187" s="113" t="s">
        <v>1106</v>
      </c>
      <c r="G187" s="113" t="s">
        <v>4618</v>
      </c>
      <c r="H187" s="110">
        <f>IFERROR(VLOOKUP(B187,'📊 Problem Tracker'!$B$4:$F$1200,5,FALSE()),"")</f>
        <v>0</v>
      </c>
      <c r="I187" s="110"/>
      <c r="J187" s="110"/>
      <c r="K187" s="113"/>
      <c r="L187" s="267" t="s">
        <v>619</v>
      </c>
      <c r="M187" s="110" t="s">
        <v>81</v>
      </c>
      <c r="N187" s="179" t="s">
        <v>81</v>
      </c>
      <c r="O187" s="192" t="str">
        <f>HYPERLINK("https://leetcode.com/problems/walls-and-gates/","https://leetcode.com/problems/walls-and-gates/")</f>
        <v>https://leetcode.com/problems/walls-and-gates/</v>
      </c>
    </row>
    <row r="188" spans="1:15" ht="31.5" customHeight="1" x14ac:dyDescent="0.2">
      <c r="A188" s="7">
        <v>183</v>
      </c>
      <c r="B188" s="7">
        <v>287</v>
      </c>
      <c r="C188" s="13" t="s">
        <v>1109</v>
      </c>
      <c r="D188" s="7" t="s">
        <v>4592</v>
      </c>
      <c r="E188" s="18" t="s">
        <v>28</v>
      </c>
      <c r="F188" s="3" t="s">
        <v>1110</v>
      </c>
      <c r="G188" s="3" t="s">
        <v>4034</v>
      </c>
      <c r="H188" s="7">
        <f>IFERROR(VLOOKUP(B188,'📊 Problem Tracker'!$B$4:$F$1200,5,FALSE()),"")</f>
        <v>0</v>
      </c>
      <c r="I188" s="7"/>
      <c r="J188" s="7"/>
      <c r="K188" s="3"/>
      <c r="L188" s="228" t="s">
        <v>1112</v>
      </c>
      <c r="M188" s="7" t="s">
        <v>24</v>
      </c>
      <c r="N188" s="176" t="s">
        <v>47</v>
      </c>
      <c r="O188" s="191" t="str">
        <f>HYPERLINK("https://leetcode.com/problems/find-the-duplicate-number/","https://leetcode.com/problems/find-the-duplicate-number/")</f>
        <v>https://leetcode.com/problems/find-the-duplicate-number/</v>
      </c>
    </row>
    <row r="189" spans="1:15" ht="31.5" customHeight="1" x14ac:dyDescent="0.2">
      <c r="A189" s="110">
        <v>184</v>
      </c>
      <c r="B189" s="110">
        <v>295</v>
      </c>
      <c r="C189" s="111" t="s">
        <v>1120</v>
      </c>
      <c r="D189" s="110" t="s">
        <v>4619</v>
      </c>
      <c r="E189" s="114" t="s">
        <v>42</v>
      </c>
      <c r="F189" s="113" t="s">
        <v>4233</v>
      </c>
      <c r="G189" s="113" t="s">
        <v>4297</v>
      </c>
      <c r="H189" s="110">
        <f>IFERROR(VLOOKUP(B189,'📊 Problem Tracker'!$B$4:$F$1200,5,FALSE()),"")</f>
        <v>0</v>
      </c>
      <c r="I189" s="110"/>
      <c r="J189" s="110"/>
      <c r="K189" s="113"/>
      <c r="L189" s="267" t="s">
        <v>1123</v>
      </c>
      <c r="M189" s="110" t="s">
        <v>1124</v>
      </c>
      <c r="N189" s="179" t="s">
        <v>24</v>
      </c>
      <c r="O189" s="192" t="str">
        <f>HYPERLINK("https://leetcode.com/problems/find-median-from-data-stream/","https://leetcode.com/problems/find-median-from-data-stream/")</f>
        <v>https://leetcode.com/problems/find-median-from-data-stream/</v>
      </c>
    </row>
    <row r="190" spans="1:15" ht="31.5" customHeight="1" x14ac:dyDescent="0.2">
      <c r="A190" s="7">
        <v>185</v>
      </c>
      <c r="B190" s="7">
        <v>297</v>
      </c>
      <c r="C190" s="13" t="s">
        <v>1126</v>
      </c>
      <c r="D190" s="7" t="s">
        <v>4620</v>
      </c>
      <c r="E190" s="20" t="s">
        <v>42</v>
      </c>
      <c r="F190" s="3" t="s">
        <v>4215</v>
      </c>
      <c r="G190" s="3" t="s">
        <v>4621</v>
      </c>
      <c r="H190" s="7">
        <f>IFERROR(VLOOKUP(B190,'📊 Problem Tracker'!$B$4:$F$1200,5,FALSE()),"")</f>
        <v>0</v>
      </c>
      <c r="I190" s="7"/>
      <c r="J190" s="7"/>
      <c r="K190" s="3"/>
      <c r="L190" s="228" t="s">
        <v>571</v>
      </c>
      <c r="M190" s="7" t="s">
        <v>24</v>
      </c>
      <c r="N190" s="176" t="s">
        <v>24</v>
      </c>
      <c r="O190" s="191" t="str">
        <f>HYPERLINK("https://leetcode.com/problems/serialize-and-deserialize-binary-tree/","https://leetcode.com/problems/serialize-and-deserialize-binary-tree/")</f>
        <v>https://leetcode.com/problems/serialize-and-deserialize-binary-tree/</v>
      </c>
    </row>
    <row r="191" spans="1:15" ht="31.5" customHeight="1" x14ac:dyDescent="0.2">
      <c r="A191" s="110">
        <v>186</v>
      </c>
      <c r="B191" s="110">
        <v>300</v>
      </c>
      <c r="C191" s="111" t="s">
        <v>1135</v>
      </c>
      <c r="D191" s="110" t="s">
        <v>4474</v>
      </c>
      <c r="E191" s="112" t="s">
        <v>28</v>
      </c>
      <c r="F191" s="113" t="s">
        <v>1136</v>
      </c>
      <c r="G191" s="113" t="s">
        <v>4300</v>
      </c>
      <c r="H191" s="110">
        <f>IFERROR(VLOOKUP(B191,'📊 Problem Tracker'!$B$4:$F$1200,5,FALSE()),"")</f>
        <v>0</v>
      </c>
      <c r="I191" s="110"/>
      <c r="J191" s="110"/>
      <c r="K191" s="113"/>
      <c r="L191" s="267" t="s">
        <v>1139</v>
      </c>
      <c r="M191" s="110" t="s">
        <v>326</v>
      </c>
      <c r="N191" s="179" t="s">
        <v>24</v>
      </c>
      <c r="O191" s="192" t="str">
        <f>HYPERLINK("https://leetcode.com/problems/longest-increasing-subsequence/","https://leetcode.com/problems/longest-increasing-subsequence/")</f>
        <v>https://leetcode.com/problems/longest-increasing-subsequence/</v>
      </c>
    </row>
    <row r="192" spans="1:15" ht="31.5" customHeight="1" x14ac:dyDescent="0.2">
      <c r="A192" s="7">
        <v>187</v>
      </c>
      <c r="B192" s="7">
        <v>309</v>
      </c>
      <c r="C192" s="13" t="s">
        <v>1163</v>
      </c>
      <c r="D192" s="7" t="s">
        <v>4622</v>
      </c>
      <c r="E192" s="18" t="s">
        <v>28</v>
      </c>
      <c r="F192" s="3" t="s">
        <v>309</v>
      </c>
      <c r="G192" s="3" t="s">
        <v>4539</v>
      </c>
      <c r="H192" s="7">
        <f>IFERROR(VLOOKUP(B192,'📊 Problem Tracker'!$B$4:$F$1200,5,FALSE()),"")</f>
        <v>0</v>
      </c>
      <c r="I192" s="7"/>
      <c r="J192" s="7"/>
      <c r="K192" s="3"/>
      <c r="L192" s="228" t="s">
        <v>508</v>
      </c>
      <c r="M192" s="7" t="s">
        <v>24</v>
      </c>
      <c r="N192" s="176" t="s">
        <v>47</v>
      </c>
      <c r="O192" s="191" t="str">
        <f>HYPERLINK("https://leetcode.com/problems/best-time-to-buy-and-sell-stock-with-cooldown/","https://leetcode.com/problems/best-time-to-buy-and-sell-stock-with-cooldown/")</f>
        <v>https://leetcode.com/problems/best-time-to-buy-and-sell-stock-with-cooldown/</v>
      </c>
    </row>
    <row r="193" spans="1:15" ht="31.5" customHeight="1" x14ac:dyDescent="0.2">
      <c r="A193" s="110">
        <v>188</v>
      </c>
      <c r="B193" s="110">
        <v>312</v>
      </c>
      <c r="C193" s="111" t="s">
        <v>1173</v>
      </c>
      <c r="D193" s="110" t="s">
        <v>4623</v>
      </c>
      <c r="E193" s="114" t="s">
        <v>42</v>
      </c>
      <c r="F193" s="113" t="s">
        <v>309</v>
      </c>
      <c r="G193" s="113" t="s">
        <v>2531</v>
      </c>
      <c r="H193" s="110">
        <f>IFERROR(VLOOKUP(B193,'📊 Problem Tracker'!$B$4:$F$1200,5,FALSE()),"")</f>
        <v>0</v>
      </c>
      <c r="I193" s="110"/>
      <c r="J193" s="110"/>
      <c r="K193" s="113"/>
      <c r="L193" s="267" t="s">
        <v>508</v>
      </c>
      <c r="M193" s="110" t="s">
        <v>1175</v>
      </c>
      <c r="N193" s="179" t="s">
        <v>341</v>
      </c>
      <c r="O193" s="192" t="str">
        <f>HYPERLINK("https://leetcode.com/problems/burst-balloons/","https://leetcode.com/problems/burst-balloons/")</f>
        <v>https://leetcode.com/problems/burst-balloons/</v>
      </c>
    </row>
    <row r="194" spans="1:15" ht="31.5" customHeight="1" x14ac:dyDescent="0.2">
      <c r="A194" s="7">
        <v>189</v>
      </c>
      <c r="B194" s="7">
        <v>322</v>
      </c>
      <c r="C194" s="13" t="s">
        <v>1205</v>
      </c>
      <c r="D194" s="7" t="s">
        <v>4433</v>
      </c>
      <c r="E194" s="18" t="s">
        <v>28</v>
      </c>
      <c r="F194" s="3" t="s">
        <v>1206</v>
      </c>
      <c r="G194" s="3" t="s">
        <v>4302</v>
      </c>
      <c r="H194" s="7">
        <f>IFERROR(VLOOKUP(B194,'📊 Problem Tracker'!$B$4:$F$1200,5,FALSE()),"")</f>
        <v>0</v>
      </c>
      <c r="I194" s="7"/>
      <c r="J194" s="7"/>
      <c r="K194" s="3"/>
      <c r="L194" s="228" t="s">
        <v>1208</v>
      </c>
      <c r="M194" s="7" t="s">
        <v>1209</v>
      </c>
      <c r="N194" s="176" t="s">
        <v>1210</v>
      </c>
      <c r="O194" s="191" t="str">
        <f>HYPERLINK("https://leetcode.com/problems/coin-change/","https://leetcode.com/problems/coin-change/")</f>
        <v>https://leetcode.com/problems/coin-change/</v>
      </c>
    </row>
    <row r="195" spans="1:15" ht="31.5" customHeight="1" x14ac:dyDescent="0.2">
      <c r="A195" s="110">
        <v>190</v>
      </c>
      <c r="B195" s="110">
        <v>328</v>
      </c>
      <c r="C195" s="111" t="s">
        <v>1224</v>
      </c>
      <c r="D195" s="110" t="s">
        <v>4624</v>
      </c>
      <c r="E195" s="112" t="s">
        <v>28</v>
      </c>
      <c r="F195" s="113" t="s">
        <v>127</v>
      </c>
      <c r="G195" s="113"/>
      <c r="H195" s="110">
        <f>IFERROR(VLOOKUP(B195,'📊 Problem Tracker'!$B$4:$F$1200,5,FALSE()),"")</f>
        <v>0</v>
      </c>
      <c r="I195" s="110"/>
      <c r="J195" s="110"/>
      <c r="K195" s="113"/>
      <c r="L195" s="267" t="s">
        <v>461</v>
      </c>
      <c r="M195" s="110" t="s">
        <v>24</v>
      </c>
      <c r="N195" s="179" t="s">
        <v>47</v>
      </c>
      <c r="O195" s="192" t="str">
        <f>HYPERLINK("https://leetcode.com/problems/odd-even-linked-list/","https://leetcode.com/problems/odd-even-linked-list/")</f>
        <v>https://leetcode.com/problems/odd-even-linked-list/</v>
      </c>
    </row>
    <row r="196" spans="1:15" ht="31.5" customHeight="1" x14ac:dyDescent="0.2">
      <c r="A196" s="7">
        <v>191</v>
      </c>
      <c r="B196" s="7">
        <v>329</v>
      </c>
      <c r="C196" s="13" t="s">
        <v>1226</v>
      </c>
      <c r="D196" s="7" t="s">
        <v>4625</v>
      </c>
      <c r="E196" s="20" t="s">
        <v>42</v>
      </c>
      <c r="F196" s="3" t="s">
        <v>1227</v>
      </c>
      <c r="G196" s="3" t="s">
        <v>4304</v>
      </c>
      <c r="H196" s="7">
        <f>IFERROR(VLOOKUP(B196,'📊 Problem Tracker'!$B$4:$F$1200,5,FALSE()),"")</f>
        <v>0</v>
      </c>
      <c r="I196" s="7"/>
      <c r="J196" s="7"/>
      <c r="K196" s="3"/>
      <c r="L196" s="228" t="s">
        <v>508</v>
      </c>
      <c r="M196" s="7" t="s">
        <v>81</v>
      </c>
      <c r="N196" s="176" t="s">
        <v>81</v>
      </c>
      <c r="O196" s="191" t="str">
        <f>HYPERLINK("https://leetcode.com/problems/longest-increasing-path-in-a-matrix/","https://leetcode.com/problems/longest-increasing-path-in-a-matrix/")</f>
        <v>https://leetcode.com/problems/longest-increasing-path-in-a-matrix/</v>
      </c>
    </row>
    <row r="197" spans="1:15" ht="31.5" customHeight="1" x14ac:dyDescent="0.2">
      <c r="A197" s="110">
        <v>192</v>
      </c>
      <c r="B197" s="110">
        <v>337</v>
      </c>
      <c r="C197" s="111" t="s">
        <v>1245</v>
      </c>
      <c r="D197" s="110" t="s">
        <v>4626</v>
      </c>
      <c r="E197" s="112" t="s">
        <v>28</v>
      </c>
      <c r="F197" s="113" t="s">
        <v>606</v>
      </c>
      <c r="G197" s="113" t="s">
        <v>4627</v>
      </c>
      <c r="H197" s="110">
        <f>IFERROR(VLOOKUP(B197,'📊 Problem Tracker'!$B$4:$F$1200,5,FALSE()),"")</f>
        <v>0</v>
      </c>
      <c r="I197" s="110"/>
      <c r="J197" s="110"/>
      <c r="K197" s="113"/>
      <c r="L197" s="267" t="s">
        <v>508</v>
      </c>
      <c r="M197" s="110" t="s">
        <v>24</v>
      </c>
      <c r="N197" s="179" t="s">
        <v>503</v>
      </c>
      <c r="O197" s="192" t="str">
        <f>HYPERLINK("https://leetcode.com/problems/house-robber-iii/","https://leetcode.com/problems/house-robber-iii/")</f>
        <v>https://leetcode.com/problems/house-robber-iii/</v>
      </c>
    </row>
    <row r="198" spans="1:15" ht="31.5" customHeight="1" x14ac:dyDescent="0.2">
      <c r="A198" s="7">
        <v>193</v>
      </c>
      <c r="B198" s="7">
        <v>344</v>
      </c>
      <c r="C198" s="13" t="s">
        <v>1262</v>
      </c>
      <c r="D198" s="7" t="s">
        <v>4628</v>
      </c>
      <c r="E198" s="21" t="s">
        <v>20</v>
      </c>
      <c r="F198" s="3" t="s">
        <v>611</v>
      </c>
      <c r="G198" s="3" t="s">
        <v>689</v>
      </c>
      <c r="H198" s="7">
        <f>IFERROR(VLOOKUP(B198,'📊 Problem Tracker'!$B$4:$F$1200,5,FALSE()),"")</f>
        <v>0</v>
      </c>
      <c r="I198" s="7"/>
      <c r="J198" s="7"/>
      <c r="K198" s="3"/>
      <c r="L198" s="228" t="s">
        <v>690</v>
      </c>
      <c r="M198" s="7" t="s">
        <v>24</v>
      </c>
      <c r="N198" s="176" t="s">
        <v>1096</v>
      </c>
      <c r="O198" s="191" t="str">
        <f>HYPERLINK("https://leetcode.com/problems/reverse-string/","https://leetcode.com/problems/reverse-string/")</f>
        <v>https://leetcode.com/problems/reverse-string/</v>
      </c>
    </row>
    <row r="199" spans="1:15" ht="31.5" customHeight="1" x14ac:dyDescent="0.2">
      <c r="A199" s="110">
        <v>194</v>
      </c>
      <c r="B199" s="110">
        <v>345</v>
      </c>
      <c r="C199" s="111" t="s">
        <v>1264</v>
      </c>
      <c r="D199" s="110" t="s">
        <v>4523</v>
      </c>
      <c r="E199" s="115" t="s">
        <v>20</v>
      </c>
      <c r="F199" s="113" t="s">
        <v>611</v>
      </c>
      <c r="G199" s="113" t="s">
        <v>689</v>
      </c>
      <c r="H199" s="110">
        <f>IFERROR(VLOOKUP(B199,'📊 Problem Tracker'!$B$4:$F$1200,5,FALSE()),"")</f>
        <v>0</v>
      </c>
      <c r="I199" s="110"/>
      <c r="J199" s="110"/>
      <c r="K199" s="113"/>
      <c r="L199" s="267" t="s">
        <v>690</v>
      </c>
      <c r="M199" s="110" t="s">
        <v>24</v>
      </c>
      <c r="N199" s="179" t="s">
        <v>1096</v>
      </c>
      <c r="O199" s="192" t="str">
        <f>HYPERLINK("https://leetcode.com/problems/reverse-vowels-of-a-string/","https://leetcode.com/problems/reverse-vowels-of-a-string/")</f>
        <v>https://leetcode.com/problems/reverse-vowels-of-a-string/</v>
      </c>
    </row>
    <row r="200" spans="1:15" ht="31.5" customHeight="1" x14ac:dyDescent="0.2">
      <c r="A200" s="7">
        <v>195</v>
      </c>
      <c r="B200" s="7">
        <v>347</v>
      </c>
      <c r="C200" s="13" t="s">
        <v>1269</v>
      </c>
      <c r="D200" s="7" t="s">
        <v>4629</v>
      </c>
      <c r="E200" s="18" t="s">
        <v>28</v>
      </c>
      <c r="F200" s="3" t="s">
        <v>1270</v>
      </c>
      <c r="G200" s="3" t="s">
        <v>4280</v>
      </c>
      <c r="H200" s="7">
        <f>IFERROR(VLOOKUP(B200,'📊 Problem Tracker'!$B$4:$F$1200,5,FALSE()),"")</f>
        <v>0</v>
      </c>
      <c r="I200" s="7"/>
      <c r="J200" s="7"/>
      <c r="K200" s="3"/>
      <c r="L200" s="228" t="s">
        <v>1273</v>
      </c>
      <c r="M200" s="7" t="s">
        <v>24</v>
      </c>
      <c r="N200" s="176" t="s">
        <v>24</v>
      </c>
      <c r="O200" s="191" t="str">
        <f>HYPERLINK("https://leetcode.com/problems/top-k-frequent-elements/","https://leetcode.com/problems/top-k-frequent-elements/")</f>
        <v>https://leetcode.com/problems/top-k-frequent-elements/</v>
      </c>
    </row>
    <row r="201" spans="1:15" ht="31.5" customHeight="1" x14ac:dyDescent="0.2">
      <c r="A201" s="110">
        <v>196</v>
      </c>
      <c r="B201" s="110">
        <v>349</v>
      </c>
      <c r="C201" s="111" t="s">
        <v>1279</v>
      </c>
      <c r="D201" s="110" t="s">
        <v>4630</v>
      </c>
      <c r="E201" s="115" t="s">
        <v>20</v>
      </c>
      <c r="F201" s="113" t="s">
        <v>4631</v>
      </c>
      <c r="G201" s="113" t="s">
        <v>4244</v>
      </c>
      <c r="H201" s="110">
        <f>IFERROR(VLOOKUP(B201,'📊 Problem Tracker'!$B$4:$F$1200,5,FALSE()),"")</f>
        <v>0</v>
      </c>
      <c r="I201" s="110"/>
      <c r="J201" s="110"/>
      <c r="K201" s="113"/>
      <c r="L201" s="267" t="s">
        <v>690</v>
      </c>
      <c r="M201" s="110" t="s">
        <v>259</v>
      </c>
      <c r="N201" s="179" t="s">
        <v>1280</v>
      </c>
      <c r="O201" s="192" t="str">
        <f>HYPERLINK("https://leetcode.com/problems/intersection-of-two-arrays/","https://leetcode.com/problems/intersection-of-two-arrays/")</f>
        <v>https://leetcode.com/problems/intersection-of-two-arrays/</v>
      </c>
    </row>
    <row r="202" spans="1:15" ht="31.5" customHeight="1" x14ac:dyDescent="0.2">
      <c r="A202" s="7">
        <v>197</v>
      </c>
      <c r="B202" s="7">
        <v>354</v>
      </c>
      <c r="C202" s="13" t="s">
        <v>1288</v>
      </c>
      <c r="D202" s="7" t="s">
        <v>4632</v>
      </c>
      <c r="E202" s="20" t="s">
        <v>42</v>
      </c>
      <c r="F202" s="3" t="s">
        <v>1136</v>
      </c>
      <c r="G202" s="3" t="s">
        <v>4300</v>
      </c>
      <c r="H202" s="7">
        <f>IFERROR(VLOOKUP(B202,'📊 Problem Tracker'!$B$4:$F$1200,5,FALSE()),"")</f>
        <v>0</v>
      </c>
      <c r="I202" s="7"/>
      <c r="J202" s="7"/>
      <c r="K202" s="3"/>
      <c r="L202" s="228" t="s">
        <v>513</v>
      </c>
      <c r="M202" s="7" t="s">
        <v>65</v>
      </c>
      <c r="N202" s="176" t="s">
        <v>47</v>
      </c>
      <c r="O202" s="191" t="str">
        <f>HYPERLINK("https://leetcode.com/problems/russian-doll-envelopes/","https://leetcode.com/problems/russian-doll-envelopes/")</f>
        <v>https://leetcode.com/problems/russian-doll-envelopes/</v>
      </c>
    </row>
    <row r="203" spans="1:15" ht="31.5" customHeight="1" x14ac:dyDescent="0.2">
      <c r="A203" s="110">
        <v>198</v>
      </c>
      <c r="B203" s="110">
        <v>359</v>
      </c>
      <c r="C203" s="111" t="s">
        <v>1294</v>
      </c>
      <c r="D203" s="110" t="s">
        <v>4576</v>
      </c>
      <c r="E203" s="115" t="s">
        <v>20</v>
      </c>
      <c r="F203" s="113" t="s">
        <v>1295</v>
      </c>
      <c r="G203" s="113"/>
      <c r="H203" s="110">
        <f>IFERROR(VLOOKUP(B203,'📊 Problem Tracker'!$B$4:$F$1200,5,FALSE()),"")</f>
        <v>0</v>
      </c>
      <c r="I203" s="110"/>
      <c r="J203" s="110"/>
      <c r="K203" s="113"/>
      <c r="L203" s="267" t="s">
        <v>4239</v>
      </c>
      <c r="M203" s="110" t="s">
        <v>24</v>
      </c>
      <c r="N203" s="179" t="s">
        <v>24</v>
      </c>
      <c r="O203" s="192" t="str">
        <f>HYPERLINK("https://leetcode.com/problems/logger-rate-limiter/","https://leetcode.com/problems/logger-rate-limiter/")</f>
        <v>https://leetcode.com/problems/logger-rate-limiter/</v>
      </c>
    </row>
    <row r="204" spans="1:15" ht="31.5" customHeight="1" x14ac:dyDescent="0.2">
      <c r="A204" s="7">
        <v>199</v>
      </c>
      <c r="B204" s="7">
        <v>362</v>
      </c>
      <c r="C204" s="13" t="s">
        <v>1297</v>
      </c>
      <c r="D204" s="7" t="s">
        <v>4633</v>
      </c>
      <c r="E204" s="18" t="s">
        <v>28</v>
      </c>
      <c r="F204" s="3" t="s">
        <v>4306</v>
      </c>
      <c r="G204" s="3" t="s">
        <v>4634</v>
      </c>
      <c r="H204" s="7">
        <f>IFERROR(VLOOKUP(B204,'📊 Problem Tracker'!$B$4:$F$1200,5,FALSE()),"")</f>
        <v>0</v>
      </c>
      <c r="I204" s="7"/>
      <c r="J204" s="7"/>
      <c r="K204" s="3"/>
      <c r="L204" s="228" t="s">
        <v>919</v>
      </c>
      <c r="M204" s="7" t="s">
        <v>47</v>
      </c>
      <c r="N204" s="176" t="s">
        <v>1096</v>
      </c>
      <c r="O204" s="191" t="str">
        <f>HYPERLINK("https://leetcode.com/problems/design-hit-counter/","https://leetcode.com/problems/design-hit-counter/")</f>
        <v>https://leetcode.com/problems/design-hit-counter/</v>
      </c>
    </row>
    <row r="205" spans="1:15" ht="31.5" customHeight="1" x14ac:dyDescent="0.2">
      <c r="A205" s="110">
        <v>200</v>
      </c>
      <c r="B205" s="110">
        <v>368</v>
      </c>
      <c r="C205" s="111" t="s">
        <v>1313</v>
      </c>
      <c r="D205" s="110" t="s">
        <v>4635</v>
      </c>
      <c r="E205" s="112" t="s">
        <v>28</v>
      </c>
      <c r="F205" s="113" t="s">
        <v>4636</v>
      </c>
      <c r="G205" s="113" t="s">
        <v>4637</v>
      </c>
      <c r="H205" s="110">
        <f>IFERROR(VLOOKUP(B205,'📊 Problem Tracker'!$B$4:$F$1200,5,FALSE()),"")</f>
        <v>0</v>
      </c>
      <c r="I205" s="110"/>
      <c r="J205" s="110"/>
      <c r="K205" s="113"/>
      <c r="L205" s="267" t="s">
        <v>508</v>
      </c>
      <c r="M205" s="110" t="s">
        <v>24</v>
      </c>
      <c r="N205" s="179" t="s">
        <v>24</v>
      </c>
      <c r="O205" s="192" t="str">
        <f>HYPERLINK("https://leetcode.com/problems/largest-divisible-subset/","https://leetcode.com/problems/largest-divisible-subset/")</f>
        <v>https://leetcode.com/problems/largest-divisible-subset/</v>
      </c>
    </row>
    <row r="206" spans="1:15" ht="31.5" customHeight="1" x14ac:dyDescent="0.2">
      <c r="A206" s="7">
        <v>201</v>
      </c>
      <c r="B206" s="7">
        <v>371</v>
      </c>
      <c r="C206" s="13" t="s">
        <v>1316</v>
      </c>
      <c r="D206" s="7" t="s">
        <v>4585</v>
      </c>
      <c r="E206" s="18" t="s">
        <v>28</v>
      </c>
      <c r="F206" s="3" t="s">
        <v>1317</v>
      </c>
      <c r="G206" s="3" t="s">
        <v>666</v>
      </c>
      <c r="H206" s="7">
        <f>IFERROR(VLOOKUP(B206,'📊 Problem Tracker'!$B$4:$F$1200,5,FALSE()),"")</f>
        <v>0</v>
      </c>
      <c r="I206" s="7"/>
      <c r="J206" s="7"/>
      <c r="K206" s="3"/>
      <c r="L206" s="228" t="s">
        <v>1320</v>
      </c>
      <c r="M206" s="7" t="s">
        <v>47</v>
      </c>
      <c r="N206" s="176" t="s">
        <v>47</v>
      </c>
      <c r="O206" s="191" t="str">
        <f>HYPERLINK("https://leetcode.com/problems/sum-of-two-integers/","https://leetcode.com/problems/sum-of-two-integers/")</f>
        <v>https://leetcode.com/problems/sum-of-two-integers/</v>
      </c>
    </row>
    <row r="207" spans="1:15" ht="31.5" customHeight="1" x14ac:dyDescent="0.2">
      <c r="A207" s="110">
        <v>202</v>
      </c>
      <c r="B207" s="110">
        <v>373</v>
      </c>
      <c r="C207" s="111" t="s">
        <v>1322</v>
      </c>
      <c r="D207" s="110" t="s">
        <v>4638</v>
      </c>
      <c r="E207" s="112" t="s">
        <v>28</v>
      </c>
      <c r="F207" s="113" t="s">
        <v>4639</v>
      </c>
      <c r="G207" s="113" t="s">
        <v>4640</v>
      </c>
      <c r="H207" s="110">
        <f>IFERROR(VLOOKUP(B207,'📊 Problem Tracker'!$B$4:$F$1200,5,FALSE()),"")</f>
        <v>0</v>
      </c>
      <c r="I207" s="110"/>
      <c r="J207" s="110"/>
      <c r="K207" s="113"/>
      <c r="L207" s="267" t="s">
        <v>690</v>
      </c>
      <c r="M207" s="110" t="s">
        <v>960</v>
      </c>
      <c r="N207" s="179" t="s">
        <v>153</v>
      </c>
      <c r="O207" s="192" t="str">
        <f>HYPERLINK("https://leetcode.com/problems/find-k-pairs-with-smallest-sums/","https://leetcode.com/problems/find-k-pairs-with-smallest-sums/")</f>
        <v>https://leetcode.com/problems/find-k-pairs-with-smallest-sums/</v>
      </c>
    </row>
    <row r="208" spans="1:15" ht="31.5" customHeight="1" x14ac:dyDescent="0.2">
      <c r="A208" s="7">
        <v>203</v>
      </c>
      <c r="B208" s="7">
        <v>377</v>
      </c>
      <c r="C208" s="13" t="s">
        <v>1324</v>
      </c>
      <c r="D208" s="7" t="s">
        <v>4641</v>
      </c>
      <c r="E208" s="18" t="s">
        <v>28</v>
      </c>
      <c r="F208" s="3" t="s">
        <v>309</v>
      </c>
      <c r="G208" s="3" t="s">
        <v>1042</v>
      </c>
      <c r="H208" s="7">
        <f>IFERROR(VLOOKUP(B208,'📊 Problem Tracker'!$B$4:$F$1200,5,FALSE()),"")</f>
        <v>0</v>
      </c>
      <c r="I208" s="7"/>
      <c r="J208" s="7"/>
      <c r="K208" s="3"/>
      <c r="L208" s="228" t="s">
        <v>508</v>
      </c>
      <c r="M208" s="7" t="s">
        <v>1326</v>
      </c>
      <c r="N208" s="176" t="s">
        <v>1327</v>
      </c>
      <c r="O208" s="191" t="str">
        <f>HYPERLINK("https://leetcode.com/problems/combination-sum-iv/","https://leetcode.com/problems/combination-sum-iv/")</f>
        <v>https://leetcode.com/problems/combination-sum-iv/</v>
      </c>
    </row>
    <row r="209" spans="1:15" ht="31.5" customHeight="1" x14ac:dyDescent="0.2">
      <c r="A209" s="110">
        <v>204</v>
      </c>
      <c r="B209" s="110">
        <v>380</v>
      </c>
      <c r="C209" s="111" t="s">
        <v>1333</v>
      </c>
      <c r="D209" s="110" t="s">
        <v>4642</v>
      </c>
      <c r="E209" s="112" t="s">
        <v>28</v>
      </c>
      <c r="F209" s="113" t="s">
        <v>1334</v>
      </c>
      <c r="G209" s="113" t="s">
        <v>4557</v>
      </c>
      <c r="H209" s="110">
        <f>IFERROR(VLOOKUP(B209,'📊 Problem Tracker'!$B$4:$F$1200,5,FALSE()),"")</f>
        <v>0</v>
      </c>
      <c r="I209" s="110"/>
      <c r="J209" s="110"/>
      <c r="K209" s="113"/>
      <c r="L209" s="267" t="s">
        <v>705</v>
      </c>
      <c r="M209" s="110" t="s">
        <v>24</v>
      </c>
      <c r="N209" s="179" t="s">
        <v>24</v>
      </c>
      <c r="O209" s="192" t="str">
        <f>HYPERLINK("https://leetcode.com/problems/insert-delete-getrandom-o1/","https://leetcode.com/problems/insert-delete-getrandom-o1/")</f>
        <v>https://leetcode.com/problems/insert-delete-getrandom-o1/</v>
      </c>
    </row>
    <row r="210" spans="1:15" ht="31.5" customHeight="1" x14ac:dyDescent="0.2">
      <c r="A210" s="7">
        <v>205</v>
      </c>
      <c r="B210" s="7">
        <v>387</v>
      </c>
      <c r="C210" s="13" t="s">
        <v>1348</v>
      </c>
      <c r="D210" s="7" t="s">
        <v>4471</v>
      </c>
      <c r="E210" s="21" t="s">
        <v>20</v>
      </c>
      <c r="F210" s="3" t="s">
        <v>897</v>
      </c>
      <c r="G210" s="3" t="s">
        <v>4244</v>
      </c>
      <c r="H210" s="7">
        <f>IFERROR(VLOOKUP(B210,'📊 Problem Tracker'!$B$4:$F$1200,5,FALSE()),"")</f>
        <v>0</v>
      </c>
      <c r="I210" s="7"/>
      <c r="J210" s="7"/>
      <c r="K210" s="3"/>
      <c r="L210" s="228" t="s">
        <v>705</v>
      </c>
      <c r="M210" s="7" t="s">
        <v>24</v>
      </c>
      <c r="N210" s="176" t="s">
        <v>47</v>
      </c>
      <c r="O210" s="191" t="str">
        <f>HYPERLINK("https://leetcode.com/problems/first-unique-character-in-a-string/","https://leetcode.com/problems/first-unique-character-in-a-string/")</f>
        <v>https://leetcode.com/problems/first-unique-character-in-a-string/</v>
      </c>
    </row>
    <row r="211" spans="1:15" ht="31.5" customHeight="1" x14ac:dyDescent="0.2">
      <c r="A211" s="110">
        <v>206</v>
      </c>
      <c r="B211" s="110">
        <v>389</v>
      </c>
      <c r="C211" s="111" t="s">
        <v>1350</v>
      </c>
      <c r="D211" s="110" t="s">
        <v>4643</v>
      </c>
      <c r="E211" s="115" t="s">
        <v>20</v>
      </c>
      <c r="F211" s="113" t="s">
        <v>381</v>
      </c>
      <c r="G211" s="113" t="s">
        <v>666</v>
      </c>
      <c r="H211" s="110">
        <f>IFERROR(VLOOKUP(B211,'📊 Problem Tracker'!$B$4:$F$1200,5,FALSE()),"")</f>
        <v>0</v>
      </c>
      <c r="I211" s="110"/>
      <c r="J211" s="110"/>
      <c r="K211" s="113"/>
      <c r="L211" s="267" t="s">
        <v>230</v>
      </c>
      <c r="M211" s="110" t="s">
        <v>24</v>
      </c>
      <c r="N211" s="179" t="s">
        <v>24</v>
      </c>
      <c r="O211" s="192" t="str">
        <f>HYPERLINK("https://leetcode.com/problems/find-the-difference/","https://leetcode.com/problems/find-the-difference/")</f>
        <v>https://leetcode.com/problems/find-the-difference/</v>
      </c>
    </row>
    <row r="212" spans="1:15" ht="31.5" customHeight="1" x14ac:dyDescent="0.2">
      <c r="A212" s="7">
        <v>207</v>
      </c>
      <c r="B212" s="7">
        <v>392</v>
      </c>
      <c r="C212" s="13" t="s">
        <v>1360</v>
      </c>
      <c r="D212" s="7" t="s">
        <v>4644</v>
      </c>
      <c r="E212" s="21" t="s">
        <v>20</v>
      </c>
      <c r="F212" s="3" t="s">
        <v>1361</v>
      </c>
      <c r="G212" s="3"/>
      <c r="H212" s="7">
        <f>IFERROR(VLOOKUP(B212,'📊 Problem Tracker'!$B$4:$F$1200,5,FALSE()),"")</f>
        <v>0</v>
      </c>
      <c r="I212" s="7"/>
      <c r="J212" s="7"/>
      <c r="K212" s="3"/>
      <c r="L212" s="228" t="s">
        <v>4239</v>
      </c>
      <c r="M212" s="7" t="s">
        <v>24</v>
      </c>
      <c r="N212" s="176" t="s">
        <v>24</v>
      </c>
      <c r="O212" s="191" t="str">
        <f>HYPERLINK("https://leetcode.com/problems/is-subsequence/","https://leetcode.com/problems/is-subsequence/")</f>
        <v>https://leetcode.com/problems/is-subsequence/</v>
      </c>
    </row>
    <row r="213" spans="1:15" ht="31.5" customHeight="1" x14ac:dyDescent="0.2">
      <c r="A213" s="110">
        <v>208</v>
      </c>
      <c r="B213" s="110">
        <v>394</v>
      </c>
      <c r="C213" s="111" t="s">
        <v>1365</v>
      </c>
      <c r="D213" s="110" t="s">
        <v>4645</v>
      </c>
      <c r="E213" s="112" t="s">
        <v>28</v>
      </c>
      <c r="F213" s="113" t="s">
        <v>133</v>
      </c>
      <c r="G213" s="113" t="s">
        <v>540</v>
      </c>
      <c r="H213" s="110">
        <f>IFERROR(VLOOKUP(B213,'📊 Problem Tracker'!$B$4:$F$1200,5,FALSE()),"")</f>
        <v>0</v>
      </c>
      <c r="I213" s="110"/>
      <c r="J213" s="110"/>
      <c r="K213" s="113"/>
      <c r="L213" s="267" t="s">
        <v>542</v>
      </c>
      <c r="M213" s="110" t="s">
        <v>24</v>
      </c>
      <c r="N213" s="179" t="s">
        <v>24</v>
      </c>
      <c r="O213" s="192" t="str">
        <f>HYPERLINK("https://leetcode.com/problems/decode-string/","https://leetcode.com/problems/decode-string/")</f>
        <v>https://leetcode.com/problems/decode-string/</v>
      </c>
    </row>
    <row r="214" spans="1:15" ht="31.5" customHeight="1" x14ac:dyDescent="0.2">
      <c r="A214" s="7">
        <v>209</v>
      </c>
      <c r="B214" s="7">
        <v>399</v>
      </c>
      <c r="C214" s="13" t="s">
        <v>1377</v>
      </c>
      <c r="D214" s="7" t="s">
        <v>4646</v>
      </c>
      <c r="E214" s="18" t="s">
        <v>28</v>
      </c>
      <c r="F214" s="3" t="s">
        <v>4647</v>
      </c>
      <c r="G214" s="3" t="s">
        <v>4648</v>
      </c>
      <c r="H214" s="7">
        <f>IFERROR(VLOOKUP(B214,'📊 Problem Tracker'!$B$4:$F$1200,5,FALSE()),"")</f>
        <v>0</v>
      </c>
      <c r="I214" s="7"/>
      <c r="J214" s="7"/>
      <c r="K214" s="3"/>
      <c r="L214" s="228" t="s">
        <v>619</v>
      </c>
      <c r="M214" s="7" t="s">
        <v>648</v>
      </c>
      <c r="N214" s="176" t="s">
        <v>648</v>
      </c>
      <c r="O214" s="191" t="str">
        <f>HYPERLINK("https://leetcode.com/problems/evaluate-division/","https://leetcode.com/problems/evaluate-division/")</f>
        <v>https://leetcode.com/problems/evaluate-division/</v>
      </c>
    </row>
    <row r="215" spans="1:15" ht="31.5" customHeight="1" x14ac:dyDescent="0.2">
      <c r="A215" s="110">
        <v>210</v>
      </c>
      <c r="B215" s="110">
        <v>402</v>
      </c>
      <c r="C215" s="111" t="s">
        <v>1380</v>
      </c>
      <c r="D215" s="110" t="s">
        <v>4649</v>
      </c>
      <c r="E215" s="112" t="s">
        <v>28</v>
      </c>
      <c r="F215" s="113" t="s">
        <v>1381</v>
      </c>
      <c r="G215" s="113" t="s">
        <v>4351</v>
      </c>
      <c r="H215" s="110">
        <f>IFERROR(VLOOKUP(B215,'📊 Problem Tracker'!$B$4:$F$1200,5,FALSE()),"")</f>
        <v>0</v>
      </c>
      <c r="I215" s="110"/>
      <c r="J215" s="110"/>
      <c r="K215" s="113"/>
      <c r="L215" s="267" t="s">
        <v>542</v>
      </c>
      <c r="M215" s="110" t="s">
        <v>24</v>
      </c>
      <c r="N215" s="179" t="s">
        <v>24</v>
      </c>
      <c r="O215" s="192" t="str">
        <f>HYPERLINK("https://leetcode.com/problems/remove-k-digits/","https://leetcode.com/problems/remove-k-digits/")</f>
        <v>https://leetcode.com/problems/remove-k-digits/</v>
      </c>
    </row>
    <row r="216" spans="1:15" ht="31.5" customHeight="1" x14ac:dyDescent="0.2">
      <c r="A216" s="7">
        <v>211</v>
      </c>
      <c r="B216" s="7">
        <v>407</v>
      </c>
      <c r="C216" s="13" t="s">
        <v>1389</v>
      </c>
      <c r="D216" s="7" t="s">
        <v>4650</v>
      </c>
      <c r="E216" s="20" t="s">
        <v>42</v>
      </c>
      <c r="F216" s="3" t="s">
        <v>1390</v>
      </c>
      <c r="G216" s="3" t="s">
        <v>4651</v>
      </c>
      <c r="H216" s="7">
        <f>IFERROR(VLOOKUP(B216,'📊 Problem Tracker'!$B$4:$F$1200,5,FALSE()),"")</f>
        <v>0</v>
      </c>
      <c r="I216" s="7"/>
      <c r="J216" s="7"/>
      <c r="K216" s="3"/>
      <c r="L216" s="228" t="s">
        <v>959</v>
      </c>
      <c r="M216" s="7" t="s">
        <v>81</v>
      </c>
      <c r="N216" s="176" t="s">
        <v>81</v>
      </c>
      <c r="O216" s="191" t="str">
        <f>HYPERLINK("https://leetcode.com/problems/trapping-rain-water-ii/","https://leetcode.com/problems/trapping-rain-water-ii/")</f>
        <v>https://leetcode.com/problems/trapping-rain-water-ii/</v>
      </c>
    </row>
    <row r="217" spans="1:15" ht="31.5" customHeight="1" x14ac:dyDescent="0.2">
      <c r="A217" s="110">
        <v>212</v>
      </c>
      <c r="B217" s="110">
        <v>410</v>
      </c>
      <c r="C217" s="111" t="s">
        <v>1397</v>
      </c>
      <c r="D217" s="110" t="s">
        <v>4652</v>
      </c>
      <c r="E217" s="114" t="s">
        <v>42</v>
      </c>
      <c r="F217" s="113" t="s">
        <v>1136</v>
      </c>
      <c r="G217" s="113" t="s">
        <v>4653</v>
      </c>
      <c r="H217" s="110">
        <f>IFERROR(VLOOKUP(B217,'📊 Problem Tracker'!$B$4:$F$1200,5,FALSE()),"")</f>
        <v>0</v>
      </c>
      <c r="I217" s="110"/>
      <c r="J217" s="110"/>
      <c r="K217" s="113"/>
      <c r="L217" s="267" t="s">
        <v>513</v>
      </c>
      <c r="M217" s="110" t="s">
        <v>65</v>
      </c>
      <c r="N217" s="179" t="s">
        <v>47</v>
      </c>
      <c r="O217" s="192" t="str">
        <f>HYPERLINK("https://leetcode.com/problems/split-array-largest-sum/","https://leetcode.com/problems/split-array-largest-sum/")</f>
        <v>https://leetcode.com/problems/split-array-largest-sum/</v>
      </c>
    </row>
    <row r="218" spans="1:15" ht="31.5" customHeight="1" x14ac:dyDescent="0.2">
      <c r="A218" s="7">
        <v>213</v>
      </c>
      <c r="B218" s="7">
        <v>412</v>
      </c>
      <c r="C218" s="13" t="s">
        <v>1399</v>
      </c>
      <c r="D218" s="7" t="s">
        <v>4485</v>
      </c>
      <c r="E218" s="21" t="s">
        <v>20</v>
      </c>
      <c r="F218" s="3" t="s">
        <v>62</v>
      </c>
      <c r="G218" s="3" t="s">
        <v>62</v>
      </c>
      <c r="H218" s="7">
        <f>IFERROR(VLOOKUP(B218,'📊 Problem Tracker'!$B$4:$F$1200,5,FALSE()),"")</f>
        <v>0</v>
      </c>
      <c r="I218" s="7"/>
      <c r="J218" s="7"/>
      <c r="K218" s="3"/>
      <c r="L218" s="228" t="s">
        <v>230</v>
      </c>
      <c r="M218" s="7" t="s">
        <v>24</v>
      </c>
      <c r="N218" s="176" t="s">
        <v>24</v>
      </c>
      <c r="O218" s="191" t="str">
        <f>HYPERLINK("https://leetcode.com/problems/fizz-buzz/","https://leetcode.com/problems/fizz-buzz/")</f>
        <v>https://leetcode.com/problems/fizz-buzz/</v>
      </c>
    </row>
    <row r="219" spans="1:15" ht="31.5" customHeight="1" x14ac:dyDescent="0.2">
      <c r="A219" s="110">
        <v>214</v>
      </c>
      <c r="B219" s="110">
        <v>415</v>
      </c>
      <c r="C219" s="111" t="s">
        <v>1404</v>
      </c>
      <c r="D219" s="110" t="s">
        <v>4654</v>
      </c>
      <c r="E219" s="115" t="s">
        <v>20</v>
      </c>
      <c r="F219" s="113" t="s">
        <v>56</v>
      </c>
      <c r="G219" s="113" t="s">
        <v>4655</v>
      </c>
      <c r="H219" s="110">
        <f>IFERROR(VLOOKUP(B219,'📊 Problem Tracker'!$B$4:$F$1200,5,FALSE()),"")</f>
        <v>0</v>
      </c>
      <c r="I219" s="110"/>
      <c r="J219" s="110"/>
      <c r="K219" s="113"/>
      <c r="L219" s="267" t="s">
        <v>230</v>
      </c>
      <c r="M219" s="110" t="s">
        <v>24</v>
      </c>
      <c r="N219" s="179" t="s">
        <v>24</v>
      </c>
      <c r="O219" s="192" t="str">
        <f>HYPERLINK("https://leetcode.com/problems/add-strings/","https://leetcode.com/problems/add-strings/")</f>
        <v>https://leetcode.com/problems/add-strings/</v>
      </c>
    </row>
    <row r="220" spans="1:15" ht="31.5" customHeight="1" x14ac:dyDescent="0.2">
      <c r="A220" s="7">
        <v>215</v>
      </c>
      <c r="B220" s="7">
        <v>416</v>
      </c>
      <c r="C220" s="13" t="s">
        <v>1406</v>
      </c>
      <c r="D220" s="7" t="s">
        <v>4656</v>
      </c>
      <c r="E220" s="18" t="s">
        <v>28</v>
      </c>
      <c r="F220" s="3" t="s">
        <v>309</v>
      </c>
      <c r="G220" s="3" t="s">
        <v>4657</v>
      </c>
      <c r="H220" s="7">
        <f>IFERROR(VLOOKUP(B220,'📊 Problem Tracker'!$B$4:$F$1200,5,FALSE()),"")</f>
        <v>0</v>
      </c>
      <c r="I220" s="7"/>
      <c r="J220" s="7"/>
      <c r="K220" s="3"/>
      <c r="L220" s="228" t="s">
        <v>508</v>
      </c>
      <c r="M220" s="7" t="s">
        <v>1408</v>
      </c>
      <c r="N220" s="176" t="s">
        <v>1409</v>
      </c>
      <c r="O220" s="191" t="str">
        <f>HYPERLINK("https://leetcode.com/problems/partition-equal-subset-sum/","https://leetcode.com/problems/partition-equal-subset-sum/")</f>
        <v>https://leetcode.com/problems/partition-equal-subset-sum/</v>
      </c>
    </row>
    <row r="221" spans="1:15" ht="31.5" customHeight="1" x14ac:dyDescent="0.2">
      <c r="A221" s="110">
        <v>216</v>
      </c>
      <c r="B221" s="110">
        <v>417</v>
      </c>
      <c r="C221" s="111" t="s">
        <v>1411</v>
      </c>
      <c r="D221" s="110" t="s">
        <v>4658</v>
      </c>
      <c r="E221" s="112" t="s">
        <v>28</v>
      </c>
      <c r="F221" s="113" t="s">
        <v>637</v>
      </c>
      <c r="G221" s="113"/>
      <c r="H221" s="110">
        <f>IFERROR(VLOOKUP(B221,'📊 Problem Tracker'!$B$4:$F$1200,5,FALSE()),"")</f>
        <v>0</v>
      </c>
      <c r="I221" s="110"/>
      <c r="J221" s="110"/>
      <c r="K221" s="113"/>
      <c r="L221" s="267" t="s">
        <v>4239</v>
      </c>
      <c r="M221" s="110" t="s">
        <v>81</v>
      </c>
      <c r="N221" s="179" t="s">
        <v>81</v>
      </c>
      <c r="O221" s="192" t="str">
        <f>HYPERLINK("https://leetcode.com/problems/pacific-atlantic-water-flow/","https://leetcode.com/problems/pacific-atlantic-water-flow/")</f>
        <v>https://leetcode.com/problems/pacific-atlantic-water-flow/</v>
      </c>
    </row>
    <row r="222" spans="1:15" ht="31.5" customHeight="1" x14ac:dyDescent="0.2">
      <c r="A222" s="7">
        <v>217</v>
      </c>
      <c r="B222" s="7">
        <v>424</v>
      </c>
      <c r="C222" s="13" t="s">
        <v>1416</v>
      </c>
      <c r="D222" s="7" t="s">
        <v>4521</v>
      </c>
      <c r="E222" s="18" t="s">
        <v>28</v>
      </c>
      <c r="F222" s="3" t="s">
        <v>427</v>
      </c>
      <c r="G222" s="3" t="s">
        <v>917</v>
      </c>
      <c r="H222" s="7">
        <f>IFERROR(VLOOKUP(B222,'📊 Problem Tracker'!$B$4:$F$1200,5,FALSE()),"")</f>
        <v>0</v>
      </c>
      <c r="I222" s="7"/>
      <c r="J222" s="7"/>
      <c r="K222" s="3"/>
      <c r="L222" s="228" t="s">
        <v>1418</v>
      </c>
      <c r="M222" s="7" t="s">
        <v>24</v>
      </c>
      <c r="N222" s="176" t="s">
        <v>1096</v>
      </c>
      <c r="O222" s="191" t="str">
        <f>HYPERLINK("https://leetcode.com/problems/longest-repeating-character-replacement/","https://leetcode.com/problems/longest-repeating-character-replacement/")</f>
        <v>https://leetcode.com/problems/longest-repeating-character-replacement/</v>
      </c>
    </row>
    <row r="223" spans="1:15" ht="31.5" customHeight="1" x14ac:dyDescent="0.2">
      <c r="A223" s="110">
        <v>218</v>
      </c>
      <c r="B223" s="110">
        <v>435</v>
      </c>
      <c r="C223" s="111" t="s">
        <v>1430</v>
      </c>
      <c r="D223" s="110" t="s">
        <v>4659</v>
      </c>
      <c r="E223" s="112" t="s">
        <v>28</v>
      </c>
      <c r="F223" s="113" t="s">
        <v>1431</v>
      </c>
      <c r="G223" s="113"/>
      <c r="H223" s="110">
        <f>IFERROR(VLOOKUP(B223,'📊 Problem Tracker'!$B$4:$F$1200,5,FALSE()),"")</f>
        <v>0</v>
      </c>
      <c r="I223" s="110"/>
      <c r="J223" s="110"/>
      <c r="K223" s="113"/>
      <c r="L223" s="267" t="s">
        <v>4239</v>
      </c>
      <c r="M223" s="110" t="s">
        <v>326</v>
      </c>
      <c r="N223" s="179" t="s">
        <v>47</v>
      </c>
      <c r="O223" s="192" t="str">
        <f>HYPERLINK("https://leetcode.com/problems/non-overlapping-intervals/","https://leetcode.com/problems/non-overlapping-intervals/")</f>
        <v>https://leetcode.com/problems/non-overlapping-intervals/</v>
      </c>
    </row>
    <row r="224" spans="1:15" ht="31.5" customHeight="1" x14ac:dyDescent="0.2">
      <c r="A224" s="7">
        <v>219</v>
      </c>
      <c r="B224" s="7">
        <v>437</v>
      </c>
      <c r="C224" s="13" t="s">
        <v>1435</v>
      </c>
      <c r="D224" s="7" t="s">
        <v>4660</v>
      </c>
      <c r="E224" s="18" t="s">
        <v>28</v>
      </c>
      <c r="F224" s="3" t="s">
        <v>1436</v>
      </c>
      <c r="G224" s="3"/>
      <c r="H224" s="7">
        <f>IFERROR(VLOOKUP(B224,'📊 Problem Tracker'!$B$4:$F$1200,5,FALSE()),"")</f>
        <v>0</v>
      </c>
      <c r="I224" s="7"/>
      <c r="J224" s="7"/>
      <c r="K224" s="3"/>
      <c r="L224" s="228" t="s">
        <v>4239</v>
      </c>
      <c r="M224" s="7" t="s">
        <v>24</v>
      </c>
      <c r="N224" s="176" t="s">
        <v>24</v>
      </c>
      <c r="O224" s="191" t="str">
        <f>HYPERLINK("https://leetcode.com/problems/path-sum-iii/","https://leetcode.com/problems/path-sum-iii/")</f>
        <v>https://leetcode.com/problems/path-sum-iii/</v>
      </c>
    </row>
    <row r="225" spans="1:15" ht="31.5" customHeight="1" x14ac:dyDescent="0.2">
      <c r="A225" s="110">
        <v>220</v>
      </c>
      <c r="B225" s="110">
        <v>438</v>
      </c>
      <c r="C225" s="111" t="s">
        <v>1441</v>
      </c>
      <c r="D225" s="110" t="s">
        <v>4538</v>
      </c>
      <c r="E225" s="112" t="s">
        <v>28</v>
      </c>
      <c r="F225" s="113" t="s">
        <v>427</v>
      </c>
      <c r="G225" s="113" t="s">
        <v>917</v>
      </c>
      <c r="H225" s="110">
        <f>IFERROR(VLOOKUP(B225,'📊 Problem Tracker'!$B$4:$F$1200,5,FALSE()),"")</f>
        <v>0</v>
      </c>
      <c r="I225" s="110"/>
      <c r="J225" s="110"/>
      <c r="K225" s="113"/>
      <c r="L225" s="267" t="s">
        <v>1443</v>
      </c>
      <c r="M225" s="110" t="s">
        <v>24</v>
      </c>
      <c r="N225" s="179" t="s">
        <v>47</v>
      </c>
      <c r="O225" s="192" t="str">
        <f>HYPERLINK("https://leetcode.com/problems/find-all-anagrams-in-a-string/","https://leetcode.com/problems/find-all-anagrams-in-a-string/")</f>
        <v>https://leetcode.com/problems/find-all-anagrams-in-a-string/</v>
      </c>
    </row>
    <row r="226" spans="1:15" ht="31.5" customHeight="1" x14ac:dyDescent="0.2">
      <c r="A226" s="7">
        <v>221</v>
      </c>
      <c r="B226" s="7">
        <v>442</v>
      </c>
      <c r="C226" s="13" t="s">
        <v>1449</v>
      </c>
      <c r="D226" s="7" t="s">
        <v>4661</v>
      </c>
      <c r="E226" s="18" t="s">
        <v>28</v>
      </c>
      <c r="F226" s="3" t="s">
        <v>19</v>
      </c>
      <c r="G226" s="3" t="s">
        <v>4662</v>
      </c>
      <c r="H226" s="7">
        <f>IFERROR(VLOOKUP(B226,'📊 Problem Tracker'!$B$4:$F$1200,5,FALSE()),"")</f>
        <v>0</v>
      </c>
      <c r="I226" s="7"/>
      <c r="J226" s="7"/>
      <c r="K226" s="3"/>
      <c r="L226" s="228" t="s">
        <v>705</v>
      </c>
      <c r="M226" s="7" t="s">
        <v>24</v>
      </c>
      <c r="N226" s="176" t="s">
        <v>24</v>
      </c>
      <c r="O226" s="191" t="str">
        <f>HYPERLINK("https://leetcode.com/problems/find-all-duplicates-in-an-array/","https://leetcode.com/problems/find-all-duplicates-in-an-array/")</f>
        <v>https://leetcode.com/problems/find-all-duplicates-in-an-array/</v>
      </c>
    </row>
    <row r="227" spans="1:15" ht="31.5" customHeight="1" x14ac:dyDescent="0.2">
      <c r="A227" s="110">
        <v>222</v>
      </c>
      <c r="B227" s="110">
        <v>443</v>
      </c>
      <c r="C227" s="111" t="s">
        <v>1451</v>
      </c>
      <c r="D227" s="110" t="s">
        <v>4535</v>
      </c>
      <c r="E227" s="112" t="s">
        <v>28</v>
      </c>
      <c r="F227" s="113" t="s">
        <v>611</v>
      </c>
      <c r="G227" s="113" t="s">
        <v>689</v>
      </c>
      <c r="H227" s="110">
        <f>IFERROR(VLOOKUP(B227,'📊 Problem Tracker'!$B$4:$F$1200,5,FALSE()),"")</f>
        <v>0</v>
      </c>
      <c r="I227" s="110"/>
      <c r="J227" s="110"/>
      <c r="K227" s="113"/>
      <c r="L227" s="267" t="s">
        <v>690</v>
      </c>
      <c r="M227" s="110" t="s">
        <v>24</v>
      </c>
      <c r="N227" s="179" t="s">
        <v>1096</v>
      </c>
      <c r="O227" s="192" t="str">
        <f>HYPERLINK("https://leetcode.com/problems/string-compression/","https://leetcode.com/problems/string-compression/")</f>
        <v>https://leetcode.com/problems/string-compression/</v>
      </c>
    </row>
    <row r="228" spans="1:15" ht="31.5" customHeight="1" x14ac:dyDescent="0.2">
      <c r="A228" s="7">
        <v>223</v>
      </c>
      <c r="B228" s="7">
        <v>448</v>
      </c>
      <c r="C228" s="13" t="s">
        <v>1456</v>
      </c>
      <c r="D228" s="7" t="s">
        <v>4650</v>
      </c>
      <c r="E228" s="21" t="s">
        <v>20</v>
      </c>
      <c r="F228" s="3" t="s">
        <v>19</v>
      </c>
      <c r="G228" s="3" t="s">
        <v>4663</v>
      </c>
      <c r="H228" s="7">
        <f>IFERROR(VLOOKUP(B228,'📊 Problem Tracker'!$B$4:$F$1200,5,FALSE()),"")</f>
        <v>0</v>
      </c>
      <c r="I228" s="7"/>
      <c r="J228" s="7"/>
      <c r="K228" s="3"/>
      <c r="L228" s="228" t="s">
        <v>1077</v>
      </c>
      <c r="M228" s="7" t="s">
        <v>24</v>
      </c>
      <c r="N228" s="176" t="s">
        <v>47</v>
      </c>
      <c r="O228" s="191" t="str">
        <f>HYPERLINK("https://leetcode.com/problems/find-all-numbers-disappeared-in-an-array/","https://leetcode.com/problems/find-all-numbers-disappeared-in-an-array/")</f>
        <v>https://leetcode.com/problems/find-all-numbers-disappeared-in-an-array/</v>
      </c>
    </row>
    <row r="229" spans="1:15" ht="31.5" customHeight="1" x14ac:dyDescent="0.2">
      <c r="A229" s="110">
        <v>224</v>
      </c>
      <c r="B229" s="110">
        <v>450</v>
      </c>
      <c r="C229" s="111" t="s">
        <v>1463</v>
      </c>
      <c r="D229" s="110" t="s">
        <v>4566</v>
      </c>
      <c r="E229" s="112" t="s">
        <v>28</v>
      </c>
      <c r="F229" s="113" t="s">
        <v>518</v>
      </c>
      <c r="G229" s="113" t="s">
        <v>4269</v>
      </c>
      <c r="H229" s="110">
        <f>IFERROR(VLOOKUP(B229,'📊 Problem Tracker'!$B$4:$F$1200,5,FALSE()),"")</f>
        <v>0</v>
      </c>
      <c r="I229" s="110"/>
      <c r="J229" s="110"/>
      <c r="K229" s="113"/>
      <c r="L229" s="267" t="s">
        <v>571</v>
      </c>
      <c r="M229" s="110" t="s">
        <v>503</v>
      </c>
      <c r="N229" s="179" t="s">
        <v>503</v>
      </c>
      <c r="O229" s="192" t="str">
        <f>HYPERLINK("https://leetcode.com/problems/delete-node-in-a-bst/","https://leetcode.com/problems/delete-node-in-a-bst/")</f>
        <v>https://leetcode.com/problems/delete-node-in-a-bst/</v>
      </c>
    </row>
    <row r="230" spans="1:15" ht="31.5" customHeight="1" x14ac:dyDescent="0.2">
      <c r="A230" s="7">
        <v>225</v>
      </c>
      <c r="B230" s="7">
        <v>480</v>
      </c>
      <c r="C230" s="13" t="s">
        <v>1501</v>
      </c>
      <c r="D230" s="7" t="s">
        <v>4434</v>
      </c>
      <c r="E230" s="20" t="s">
        <v>42</v>
      </c>
      <c r="F230" s="3" t="s">
        <v>1502</v>
      </c>
      <c r="G230" s="3" t="s">
        <v>4664</v>
      </c>
      <c r="H230" s="7">
        <f>IFERROR(VLOOKUP(B230,'📊 Problem Tracker'!$B$4:$F$1200,5,FALSE()),"")</f>
        <v>0</v>
      </c>
      <c r="I230" s="7"/>
      <c r="J230" s="7"/>
      <c r="K230" s="3"/>
      <c r="L230" s="228" t="s">
        <v>919</v>
      </c>
      <c r="M230" s="7" t="s">
        <v>960</v>
      </c>
      <c r="N230" s="176" t="s">
        <v>153</v>
      </c>
      <c r="O230" s="191" t="str">
        <f>HYPERLINK("https://leetcode.com/problems/sliding-window-median/","https://leetcode.com/problems/sliding-window-median/")</f>
        <v>https://leetcode.com/problems/sliding-window-median/</v>
      </c>
    </row>
    <row r="231" spans="1:15" ht="31.5" customHeight="1" x14ac:dyDescent="0.2">
      <c r="A231" s="110">
        <v>226</v>
      </c>
      <c r="B231" s="110">
        <v>485</v>
      </c>
      <c r="C231" s="111" t="s">
        <v>1505</v>
      </c>
      <c r="D231" s="110" t="s">
        <v>4665</v>
      </c>
      <c r="E231" s="115" t="s">
        <v>20</v>
      </c>
      <c r="F231" s="113" t="s">
        <v>166</v>
      </c>
      <c r="G231" s="113" t="s">
        <v>166</v>
      </c>
      <c r="H231" s="110">
        <f>IFERROR(VLOOKUP(B231,'📊 Problem Tracker'!$B$4:$F$1200,5,FALSE()),"")</f>
        <v>0</v>
      </c>
      <c r="I231" s="110"/>
      <c r="J231" s="110"/>
      <c r="K231" s="113"/>
      <c r="L231" s="267" t="s">
        <v>654</v>
      </c>
      <c r="M231" s="110" t="s">
        <v>24</v>
      </c>
      <c r="N231" s="179" t="s">
        <v>1100</v>
      </c>
      <c r="O231" s="192" t="str">
        <f>HYPERLINK("https://leetcode.com/problems/max-consecutive-ones/","https://leetcode.com/problems/max-consecutive-ones/")</f>
        <v>https://leetcode.com/problems/max-consecutive-ones/</v>
      </c>
    </row>
    <row r="232" spans="1:15" ht="31.5" customHeight="1" x14ac:dyDescent="0.2">
      <c r="A232" s="7">
        <v>227</v>
      </c>
      <c r="B232" s="7">
        <v>493</v>
      </c>
      <c r="C232" s="13" t="s">
        <v>1514</v>
      </c>
      <c r="D232" s="7" t="s">
        <v>4666</v>
      </c>
      <c r="E232" s="20" t="s">
        <v>42</v>
      </c>
      <c r="F232" s="3" t="s">
        <v>1515</v>
      </c>
      <c r="G232" s="3" t="s">
        <v>4559</v>
      </c>
      <c r="H232" s="7">
        <f>IFERROR(VLOOKUP(B232,'📊 Problem Tracker'!$B$4:$F$1200,5,FALSE()),"")</f>
        <v>0</v>
      </c>
      <c r="I232" s="7"/>
      <c r="J232" s="7"/>
      <c r="K232" s="3"/>
      <c r="L232" s="228" t="s">
        <v>1077</v>
      </c>
      <c r="M232" s="7" t="s">
        <v>326</v>
      </c>
      <c r="N232" s="176" t="s">
        <v>24</v>
      </c>
      <c r="O232" s="191" t="str">
        <f>HYPERLINK("https://leetcode.com/problems/reverse-pairs/","https://leetcode.com/problems/reverse-pairs/")</f>
        <v>https://leetcode.com/problems/reverse-pairs/</v>
      </c>
    </row>
    <row r="233" spans="1:15" ht="31.5" customHeight="1" x14ac:dyDescent="0.2">
      <c r="A233" s="110">
        <v>228</v>
      </c>
      <c r="B233" s="110">
        <v>494</v>
      </c>
      <c r="C233" s="111" t="s">
        <v>1517</v>
      </c>
      <c r="D233" s="110" t="s">
        <v>4654</v>
      </c>
      <c r="E233" s="112" t="s">
        <v>28</v>
      </c>
      <c r="F233" s="113" t="s">
        <v>1518</v>
      </c>
      <c r="G233" s="113" t="s">
        <v>4345</v>
      </c>
      <c r="H233" s="110">
        <f>IFERROR(VLOOKUP(B233,'📊 Problem Tracker'!$B$4:$F$1200,5,FALSE()),"")</f>
        <v>0</v>
      </c>
      <c r="I233" s="110"/>
      <c r="J233" s="110"/>
      <c r="K233" s="113"/>
      <c r="L233" s="267" t="s">
        <v>508</v>
      </c>
      <c r="M233" s="110" t="s">
        <v>1520</v>
      </c>
      <c r="N233" s="179" t="s">
        <v>1327</v>
      </c>
      <c r="O233" s="192" t="str">
        <f>HYPERLINK("https://leetcode.com/problems/target-sum/","https://leetcode.com/problems/target-sum/")</f>
        <v>https://leetcode.com/problems/target-sum/</v>
      </c>
    </row>
    <row r="234" spans="1:15" ht="31.5" customHeight="1" x14ac:dyDescent="0.2">
      <c r="A234" s="7">
        <v>229</v>
      </c>
      <c r="B234" s="7">
        <v>496</v>
      </c>
      <c r="C234" s="13" t="s">
        <v>1522</v>
      </c>
      <c r="D234" s="7" t="s">
        <v>4667</v>
      </c>
      <c r="E234" s="21" t="s">
        <v>20</v>
      </c>
      <c r="F234" s="3" t="s">
        <v>466</v>
      </c>
      <c r="G234" s="3" t="s">
        <v>1473</v>
      </c>
      <c r="H234" s="7">
        <f>IFERROR(VLOOKUP(B234,'📊 Problem Tracker'!$B$4:$F$1200,5,FALSE()),"")</f>
        <v>0</v>
      </c>
      <c r="I234" s="7"/>
      <c r="J234" s="7"/>
      <c r="K234" s="3"/>
      <c r="L234" s="228" t="s">
        <v>542</v>
      </c>
      <c r="M234" s="7" t="s">
        <v>24</v>
      </c>
      <c r="N234" s="176" t="s">
        <v>24</v>
      </c>
      <c r="O234" s="191" t="str">
        <f>HYPERLINK("https://leetcode.com/problems/next-greater-element-i/","https://leetcode.com/problems/next-greater-element-i/")</f>
        <v>https://leetcode.com/problems/next-greater-element-i/</v>
      </c>
    </row>
    <row r="235" spans="1:15" ht="31.5" customHeight="1" x14ac:dyDescent="0.2">
      <c r="A235" s="110">
        <v>230</v>
      </c>
      <c r="B235" s="110">
        <v>498</v>
      </c>
      <c r="C235" s="111" t="s">
        <v>1524</v>
      </c>
      <c r="D235" s="110" t="s">
        <v>4532</v>
      </c>
      <c r="E235" s="112" t="s">
        <v>28</v>
      </c>
      <c r="F235" s="113" t="s">
        <v>283</v>
      </c>
      <c r="G235" s="113"/>
      <c r="H235" s="110">
        <f>IFERROR(VLOOKUP(B235,'📊 Problem Tracker'!$B$4:$F$1200,5,FALSE()),"")</f>
        <v>0</v>
      </c>
      <c r="I235" s="110"/>
      <c r="J235" s="110"/>
      <c r="K235" s="113"/>
      <c r="L235" s="267" t="s">
        <v>4239</v>
      </c>
      <c r="M235" s="110" t="s">
        <v>363</v>
      </c>
      <c r="N235" s="179" t="s">
        <v>47</v>
      </c>
      <c r="O235" s="192" t="str">
        <f>HYPERLINK("https://leetcode.com/problems/diagonal-traverse/","https://leetcode.com/problems/diagonal-traverse/")</f>
        <v>https://leetcode.com/problems/diagonal-traverse/</v>
      </c>
    </row>
    <row r="236" spans="1:15" ht="31.5" customHeight="1" x14ac:dyDescent="0.2">
      <c r="A236" s="7">
        <v>231</v>
      </c>
      <c r="B236" s="7">
        <v>503</v>
      </c>
      <c r="C236" s="13" t="s">
        <v>1535</v>
      </c>
      <c r="D236" s="7" t="s">
        <v>4452</v>
      </c>
      <c r="E236" s="18" t="s">
        <v>28</v>
      </c>
      <c r="F236" s="3" t="s">
        <v>466</v>
      </c>
      <c r="G236" s="3" t="s">
        <v>1473</v>
      </c>
      <c r="H236" s="7">
        <f>IFERROR(VLOOKUP(B236,'📊 Problem Tracker'!$B$4:$F$1200,5,FALSE()),"")</f>
        <v>0</v>
      </c>
      <c r="I236" s="7"/>
      <c r="J236" s="7"/>
      <c r="K236" s="3"/>
      <c r="L236" s="228" t="s">
        <v>542</v>
      </c>
      <c r="M236" s="7" t="s">
        <v>24</v>
      </c>
      <c r="N236" s="176" t="s">
        <v>24</v>
      </c>
      <c r="O236" s="191" t="str">
        <f>HYPERLINK("https://leetcode.com/problems/next-greater-element-ii/","https://leetcode.com/problems/next-greater-element-ii/")</f>
        <v>https://leetcode.com/problems/next-greater-element-ii/</v>
      </c>
    </row>
    <row r="237" spans="1:15" ht="31.5" customHeight="1" x14ac:dyDescent="0.2">
      <c r="A237" s="110">
        <v>232</v>
      </c>
      <c r="B237" s="110">
        <v>509</v>
      </c>
      <c r="C237" s="111" t="s">
        <v>1545</v>
      </c>
      <c r="D237" s="110" t="s">
        <v>4668</v>
      </c>
      <c r="E237" s="115" t="s">
        <v>20</v>
      </c>
      <c r="F237" s="113" t="s">
        <v>1258</v>
      </c>
      <c r="G237" s="113" t="s">
        <v>4637</v>
      </c>
      <c r="H237" s="110">
        <f>IFERROR(VLOOKUP(B237,'📊 Problem Tracker'!$B$4:$F$1200,5,FALSE()),"")</f>
        <v>0</v>
      </c>
      <c r="I237" s="110"/>
      <c r="J237" s="110"/>
      <c r="K237" s="113"/>
      <c r="L237" s="267" t="s">
        <v>508</v>
      </c>
      <c r="M237" s="110" t="s">
        <v>24</v>
      </c>
      <c r="N237" s="179" t="s">
        <v>24</v>
      </c>
      <c r="O237" s="192" t="str">
        <f>HYPERLINK("https://leetcode.com/problems/fibonacci-number/","https://leetcode.com/problems/fibonacci-number/")</f>
        <v>https://leetcode.com/problems/fibonacci-number/</v>
      </c>
    </row>
    <row r="238" spans="1:15" ht="31.5" customHeight="1" x14ac:dyDescent="0.2">
      <c r="A238" s="7">
        <v>233</v>
      </c>
      <c r="B238" s="7">
        <v>518</v>
      </c>
      <c r="C238" s="13" t="s">
        <v>1555</v>
      </c>
      <c r="D238" s="7" t="s">
        <v>4669</v>
      </c>
      <c r="E238" s="18" t="s">
        <v>28</v>
      </c>
      <c r="F238" s="3" t="s">
        <v>309</v>
      </c>
      <c r="G238" s="3" t="s">
        <v>4670</v>
      </c>
      <c r="H238" s="7">
        <f>IFERROR(VLOOKUP(B238,'📊 Problem Tracker'!$B$4:$F$1200,5,FALSE()),"")</f>
        <v>0</v>
      </c>
      <c r="I238" s="7"/>
      <c r="J238" s="7"/>
      <c r="K238" s="3"/>
      <c r="L238" s="228" t="s">
        <v>508</v>
      </c>
      <c r="M238" s="7" t="s">
        <v>1520</v>
      </c>
      <c r="N238" s="176" t="s">
        <v>1327</v>
      </c>
      <c r="O238" s="191" t="str">
        <f>HYPERLINK("https://leetcode.com/problems/coin-change-ii/","https://leetcode.com/problems/coin-change-ii/")</f>
        <v>https://leetcode.com/problems/coin-change-ii/</v>
      </c>
    </row>
    <row r="239" spans="1:15" ht="31.5" customHeight="1" x14ac:dyDescent="0.2">
      <c r="A239" s="110">
        <v>234</v>
      </c>
      <c r="B239" s="110">
        <v>525</v>
      </c>
      <c r="C239" s="111" t="s">
        <v>1561</v>
      </c>
      <c r="D239" s="110" t="s">
        <v>4577</v>
      </c>
      <c r="E239" s="112" t="s">
        <v>28</v>
      </c>
      <c r="F239" s="113" t="s">
        <v>1559</v>
      </c>
      <c r="G239" s="113" t="s">
        <v>4250</v>
      </c>
      <c r="H239" s="110">
        <f>IFERROR(VLOOKUP(B239,'📊 Problem Tracker'!$B$4:$F$1200,5,FALSE()),"")</f>
        <v>0</v>
      </c>
      <c r="I239" s="110"/>
      <c r="J239" s="110"/>
      <c r="K239" s="113"/>
      <c r="L239" s="267" t="s">
        <v>705</v>
      </c>
      <c r="M239" s="110" t="s">
        <v>24</v>
      </c>
      <c r="N239" s="179" t="s">
        <v>24</v>
      </c>
      <c r="O239" s="192" t="str">
        <f>HYPERLINK("https://leetcode.com/problems/contiguous-array/","https://leetcode.com/problems/contiguous-array/")</f>
        <v>https://leetcode.com/problems/contiguous-array/</v>
      </c>
    </row>
    <row r="240" spans="1:15" ht="31.5" customHeight="1" x14ac:dyDescent="0.2">
      <c r="A240" s="7">
        <v>235</v>
      </c>
      <c r="B240" s="7">
        <v>528</v>
      </c>
      <c r="C240" s="13" t="s">
        <v>1563</v>
      </c>
      <c r="D240" s="7" t="s">
        <v>4671</v>
      </c>
      <c r="E240" s="18" t="s">
        <v>28</v>
      </c>
      <c r="F240" s="3" t="s">
        <v>1564</v>
      </c>
      <c r="G240" s="3" t="s">
        <v>4672</v>
      </c>
      <c r="H240" s="7">
        <f>IFERROR(VLOOKUP(B240,'📊 Problem Tracker'!$B$4:$F$1200,5,FALSE()),"")</f>
        <v>0</v>
      </c>
      <c r="I240" s="7"/>
      <c r="J240" s="7"/>
      <c r="K240" s="3"/>
      <c r="L240" s="228" t="s">
        <v>513</v>
      </c>
      <c r="M240" s="7" t="s">
        <v>65</v>
      </c>
      <c r="N240" s="176" t="s">
        <v>47</v>
      </c>
      <c r="O240" s="191" t="str">
        <f>HYPERLINK("https://leetcode.com/problems/random-pick-with-weight/","https://leetcode.com/problems/random-pick-with-weight/")</f>
        <v>https://leetcode.com/problems/random-pick-with-weight/</v>
      </c>
    </row>
    <row r="241" spans="1:15" ht="31.5" customHeight="1" x14ac:dyDescent="0.2">
      <c r="A241" s="110">
        <v>236</v>
      </c>
      <c r="B241" s="110">
        <v>540</v>
      </c>
      <c r="C241" s="111" t="s">
        <v>1577</v>
      </c>
      <c r="D241" s="110" t="s">
        <v>4673</v>
      </c>
      <c r="E241" s="112" t="s">
        <v>28</v>
      </c>
      <c r="F241" s="113" t="s">
        <v>41</v>
      </c>
      <c r="G241" s="113" t="s">
        <v>512</v>
      </c>
      <c r="H241" s="110">
        <f>IFERROR(VLOOKUP(B241,'📊 Problem Tracker'!$B$4:$F$1200,5,FALSE()),"")</f>
        <v>0</v>
      </c>
      <c r="I241" s="110"/>
      <c r="J241" s="110"/>
      <c r="K241" s="113"/>
      <c r="L241" s="267" t="s">
        <v>513</v>
      </c>
      <c r="M241" s="110" t="s">
        <v>65</v>
      </c>
      <c r="N241" s="179" t="s">
        <v>47</v>
      </c>
      <c r="O241" s="192" t="str">
        <f>HYPERLINK("https://leetcode.com/problems/single-element-in-a-sorted-array/","https://leetcode.com/problems/single-element-in-a-sorted-array/")</f>
        <v>https://leetcode.com/problems/single-element-in-a-sorted-array/</v>
      </c>
    </row>
    <row r="242" spans="1:15" ht="31.5" customHeight="1" x14ac:dyDescent="0.2">
      <c r="A242" s="7">
        <v>237</v>
      </c>
      <c r="B242" s="7">
        <v>541</v>
      </c>
      <c r="C242" s="13" t="s">
        <v>1579</v>
      </c>
      <c r="D242" s="7" t="s">
        <v>4674</v>
      </c>
      <c r="E242" s="21" t="s">
        <v>20</v>
      </c>
      <c r="F242" s="3" t="s">
        <v>611</v>
      </c>
      <c r="G242" s="3" t="s">
        <v>689</v>
      </c>
      <c r="H242" s="7">
        <f>IFERROR(VLOOKUP(B242,'📊 Problem Tracker'!$B$4:$F$1200,5,FALSE()),"")</f>
        <v>0</v>
      </c>
      <c r="I242" s="7"/>
      <c r="J242" s="7"/>
      <c r="K242" s="3"/>
      <c r="L242" s="228" t="s">
        <v>690</v>
      </c>
      <c r="M242" s="7" t="s">
        <v>24</v>
      </c>
      <c r="N242" s="176" t="s">
        <v>1096</v>
      </c>
      <c r="O242" s="191" t="str">
        <f>HYPERLINK("https://leetcode.com/problems/reverse-string-ii/","https://leetcode.com/problems/reverse-string-ii/")</f>
        <v>https://leetcode.com/problems/reverse-string-ii/</v>
      </c>
    </row>
    <row r="243" spans="1:15" ht="31.5" customHeight="1" x14ac:dyDescent="0.2">
      <c r="A243" s="110">
        <v>238</v>
      </c>
      <c r="B243" s="110">
        <v>543</v>
      </c>
      <c r="C243" s="111" t="s">
        <v>1584</v>
      </c>
      <c r="D243" s="110" t="s">
        <v>4471</v>
      </c>
      <c r="E243" s="115" t="s">
        <v>20</v>
      </c>
      <c r="F243" s="113" t="s">
        <v>500</v>
      </c>
      <c r="G243" s="113" t="s">
        <v>4256</v>
      </c>
      <c r="H243" s="110">
        <f>IFERROR(VLOOKUP(B243,'📊 Problem Tracker'!$B$4:$F$1200,5,FALSE()),"")</f>
        <v>0</v>
      </c>
      <c r="I243" s="110"/>
      <c r="J243" s="110"/>
      <c r="K243" s="113"/>
      <c r="L243" s="267" t="s">
        <v>571</v>
      </c>
      <c r="M243" s="110" t="s">
        <v>24</v>
      </c>
      <c r="N243" s="179" t="s">
        <v>503</v>
      </c>
      <c r="O243" s="192" t="str">
        <f>HYPERLINK("https://leetcode.com/problems/diameter-of-binary-tree/","https://leetcode.com/problems/diameter-of-binary-tree/")</f>
        <v>https://leetcode.com/problems/diameter-of-binary-tree/</v>
      </c>
    </row>
    <row r="244" spans="1:15" ht="31.5" customHeight="1" x14ac:dyDescent="0.2">
      <c r="A244" s="7">
        <v>239</v>
      </c>
      <c r="B244" s="7">
        <v>547</v>
      </c>
      <c r="C244" s="13" t="s">
        <v>1589</v>
      </c>
      <c r="D244" s="7" t="s">
        <v>4675</v>
      </c>
      <c r="E244" s="18" t="s">
        <v>28</v>
      </c>
      <c r="F244" s="3" t="s">
        <v>1213</v>
      </c>
      <c r="G244" s="3" t="s">
        <v>1736</v>
      </c>
      <c r="H244" s="7">
        <f>IFERROR(VLOOKUP(B244,'📊 Problem Tracker'!$B$4:$F$1200,5,FALSE()),"")</f>
        <v>0</v>
      </c>
      <c r="I244" s="7"/>
      <c r="J244" s="7"/>
      <c r="K244" s="3"/>
      <c r="L244" s="228" t="s">
        <v>619</v>
      </c>
      <c r="M244" s="7" t="s">
        <v>648</v>
      </c>
      <c r="N244" s="176" t="s">
        <v>648</v>
      </c>
      <c r="O244" s="191" t="str">
        <f>HYPERLINK("https://leetcode.com/problems/number-of-provinces/","https://leetcode.com/problems/number-of-provinces/")</f>
        <v>https://leetcode.com/problems/number-of-provinces/</v>
      </c>
    </row>
    <row r="245" spans="1:15" ht="31.5" customHeight="1" x14ac:dyDescent="0.2">
      <c r="A245" s="110">
        <v>240</v>
      </c>
      <c r="B245" s="110">
        <v>560</v>
      </c>
      <c r="C245" s="111" t="s">
        <v>1610</v>
      </c>
      <c r="D245" s="110" t="s">
        <v>4510</v>
      </c>
      <c r="E245" s="112" t="s">
        <v>28</v>
      </c>
      <c r="F245" s="113" t="s">
        <v>1559</v>
      </c>
      <c r="G245" s="113" t="s">
        <v>4250</v>
      </c>
      <c r="H245" s="110">
        <f>IFERROR(VLOOKUP(B245,'📊 Problem Tracker'!$B$4:$F$1200,5,FALSE()),"")</f>
        <v>0</v>
      </c>
      <c r="I245" s="110"/>
      <c r="J245" s="110"/>
      <c r="K245" s="113"/>
      <c r="L245" s="267" t="s">
        <v>1612</v>
      </c>
      <c r="M245" s="110" t="s">
        <v>24</v>
      </c>
      <c r="N245" s="179" t="s">
        <v>24</v>
      </c>
      <c r="O245" s="192" t="str">
        <f>HYPERLINK("https://leetcode.com/problems/subarray-sum-equals-k/","https://leetcode.com/problems/subarray-sum-equals-k/")</f>
        <v>https://leetcode.com/problems/subarray-sum-equals-k/</v>
      </c>
    </row>
    <row r="246" spans="1:15" ht="31.5" customHeight="1" x14ac:dyDescent="0.2">
      <c r="A246" s="7">
        <v>241</v>
      </c>
      <c r="B246" s="7">
        <v>567</v>
      </c>
      <c r="C246" s="13" t="s">
        <v>1622</v>
      </c>
      <c r="D246" s="7" t="s">
        <v>4676</v>
      </c>
      <c r="E246" s="18" t="s">
        <v>28</v>
      </c>
      <c r="F246" s="3" t="s">
        <v>427</v>
      </c>
      <c r="G246" s="3" t="s">
        <v>917</v>
      </c>
      <c r="H246" s="7">
        <f>IFERROR(VLOOKUP(B246,'📊 Problem Tracker'!$B$4:$F$1200,5,FALSE()),"")</f>
        <v>0</v>
      </c>
      <c r="I246" s="7"/>
      <c r="J246" s="7"/>
      <c r="K246" s="3"/>
      <c r="L246" s="228" t="s">
        <v>1624</v>
      </c>
      <c r="M246" s="7" t="s">
        <v>24</v>
      </c>
      <c r="N246" s="176" t="s">
        <v>1096</v>
      </c>
      <c r="O246" s="191" t="str">
        <f>HYPERLINK("https://leetcode.com/problems/permutation-in-string/","https://leetcode.com/problems/permutation-in-string/")</f>
        <v>https://leetcode.com/problems/permutation-in-string/</v>
      </c>
    </row>
    <row r="247" spans="1:15" ht="31.5" customHeight="1" x14ac:dyDescent="0.2">
      <c r="A247" s="110">
        <v>242</v>
      </c>
      <c r="B247" s="110">
        <v>570</v>
      </c>
      <c r="C247" s="111" t="s">
        <v>1630</v>
      </c>
      <c r="D247" s="110" t="s">
        <v>4644</v>
      </c>
      <c r="E247" s="112" t="s">
        <v>28</v>
      </c>
      <c r="F247" s="113" t="s">
        <v>19</v>
      </c>
      <c r="G247" s="113" t="s">
        <v>4244</v>
      </c>
      <c r="H247" s="110">
        <f>IFERROR(VLOOKUP(B247,'📊 Problem Tracker'!$B$4:$F$1200,5,FALSE()),"")</f>
        <v>0</v>
      </c>
      <c r="I247" s="110"/>
      <c r="J247" s="110"/>
      <c r="K247" s="113"/>
      <c r="L247" s="267" t="s">
        <v>705</v>
      </c>
      <c r="M247" s="110" t="s">
        <v>24</v>
      </c>
      <c r="N247" s="179" t="s">
        <v>24</v>
      </c>
      <c r="O247" s="192" t="str">
        <f>HYPERLINK("https://leetcode.com/problems/managers-with-at-least-5-direct-reports/","https://leetcode.com/problems/managers-with-at-least-5-direct-reports/")</f>
        <v>https://leetcode.com/problems/managers-with-at-least-5-direct-reports/</v>
      </c>
    </row>
    <row r="248" spans="1:15" ht="31.5" customHeight="1" x14ac:dyDescent="0.2">
      <c r="A248" s="7">
        <v>243</v>
      </c>
      <c r="B248" s="7">
        <v>584</v>
      </c>
      <c r="C248" s="13" t="s">
        <v>1642</v>
      </c>
      <c r="D248" s="7" t="s">
        <v>4677</v>
      </c>
      <c r="E248" s="21" t="s">
        <v>20</v>
      </c>
      <c r="F248" s="3" t="s">
        <v>19</v>
      </c>
      <c r="G248" s="3" t="s">
        <v>4244</v>
      </c>
      <c r="H248" s="7">
        <f>IFERROR(VLOOKUP(B248,'📊 Problem Tracker'!$B$4:$F$1200,5,FALSE()),"")</f>
        <v>0</v>
      </c>
      <c r="I248" s="7"/>
      <c r="J248" s="7"/>
      <c r="K248" s="3"/>
      <c r="L248" s="228" t="s">
        <v>705</v>
      </c>
      <c r="M248" s="7" t="s">
        <v>24</v>
      </c>
      <c r="N248" s="176" t="s">
        <v>24</v>
      </c>
      <c r="O248" s="191" t="str">
        <f>HYPERLINK("https://leetcode.com/problems/find-customer-referee/","https://leetcode.com/problems/find-customer-referee/")</f>
        <v>https://leetcode.com/problems/find-customer-referee/</v>
      </c>
    </row>
    <row r="249" spans="1:15" ht="31.5" customHeight="1" x14ac:dyDescent="0.2">
      <c r="A249" s="110">
        <v>244</v>
      </c>
      <c r="B249" s="110">
        <v>595</v>
      </c>
      <c r="C249" s="111" t="s">
        <v>1649</v>
      </c>
      <c r="D249" s="110" t="s">
        <v>4678</v>
      </c>
      <c r="E249" s="115" t="s">
        <v>20</v>
      </c>
      <c r="F249" s="113" t="s">
        <v>166</v>
      </c>
      <c r="G249" s="113" t="s">
        <v>796</v>
      </c>
      <c r="H249" s="110">
        <f>IFERROR(VLOOKUP(B249,'📊 Problem Tracker'!$B$4:$F$1200,5,FALSE()),"")</f>
        <v>0</v>
      </c>
      <c r="I249" s="110"/>
      <c r="J249" s="110"/>
      <c r="K249" s="113"/>
      <c r="L249" s="267" t="s">
        <v>927</v>
      </c>
      <c r="M249" s="110" t="s">
        <v>912</v>
      </c>
      <c r="N249" s="179" t="s">
        <v>913</v>
      </c>
      <c r="O249" s="192" t="str">
        <f>HYPERLINK("https://leetcode.com/problems/big-countries/","https://leetcode.com/problems/big-countries/")</f>
        <v>https://leetcode.com/problems/big-countries/</v>
      </c>
    </row>
    <row r="250" spans="1:15" ht="31.5" customHeight="1" x14ac:dyDescent="0.2">
      <c r="A250" s="7">
        <v>245</v>
      </c>
      <c r="B250" s="7">
        <v>605</v>
      </c>
      <c r="C250" s="13" t="s">
        <v>1655</v>
      </c>
      <c r="D250" s="7" t="s">
        <v>4679</v>
      </c>
      <c r="E250" s="21" t="s">
        <v>20</v>
      </c>
      <c r="F250" s="3" t="s">
        <v>318</v>
      </c>
      <c r="G250" s="3" t="s">
        <v>3091</v>
      </c>
      <c r="H250" s="7">
        <f>IFERROR(VLOOKUP(B250,'📊 Problem Tracker'!$B$4:$F$1200,5,FALSE()),"")</f>
        <v>0</v>
      </c>
      <c r="I250" s="7"/>
      <c r="J250" s="7"/>
      <c r="K250" s="3"/>
      <c r="L250" s="228" t="s">
        <v>654</v>
      </c>
      <c r="M250" s="7" t="s">
        <v>24</v>
      </c>
      <c r="N250" s="176" t="s">
        <v>1100</v>
      </c>
      <c r="O250" s="191" t="str">
        <f>HYPERLINK("https://leetcode.com/problems/can-place-flowers/","https://leetcode.com/problems/can-place-flowers/")</f>
        <v>https://leetcode.com/problems/can-place-flowers/</v>
      </c>
    </row>
    <row r="251" spans="1:15" ht="31.5" customHeight="1" x14ac:dyDescent="0.2">
      <c r="A251" s="110">
        <v>246</v>
      </c>
      <c r="B251" s="110">
        <v>621</v>
      </c>
      <c r="C251" s="111" t="s">
        <v>1665</v>
      </c>
      <c r="D251" s="110" t="s">
        <v>4680</v>
      </c>
      <c r="E251" s="112" t="s">
        <v>28</v>
      </c>
      <c r="F251" s="113" t="s">
        <v>1531</v>
      </c>
      <c r="G251" s="113" t="s">
        <v>4272</v>
      </c>
      <c r="H251" s="110">
        <f>IFERROR(VLOOKUP(B251,'📊 Problem Tracker'!$B$4:$F$1200,5,FALSE()),"")</f>
        <v>0</v>
      </c>
      <c r="I251" s="110"/>
      <c r="J251" s="110"/>
      <c r="K251" s="113"/>
      <c r="L251" s="267" t="s">
        <v>959</v>
      </c>
      <c r="M251" s="110" t="s">
        <v>24</v>
      </c>
      <c r="N251" s="179" t="s">
        <v>47</v>
      </c>
      <c r="O251" s="192" t="str">
        <f>HYPERLINK("https://leetcode.com/problems/task-scheduler/","https://leetcode.com/problems/task-scheduler/")</f>
        <v>https://leetcode.com/problems/task-scheduler/</v>
      </c>
    </row>
    <row r="252" spans="1:15" ht="31.5" customHeight="1" x14ac:dyDescent="0.2">
      <c r="A252" s="7">
        <v>247</v>
      </c>
      <c r="B252" s="7">
        <v>636</v>
      </c>
      <c r="C252" s="13" t="s">
        <v>1690</v>
      </c>
      <c r="D252" s="7" t="s">
        <v>4681</v>
      </c>
      <c r="E252" s="18" t="s">
        <v>28</v>
      </c>
      <c r="F252" s="3" t="s">
        <v>1472</v>
      </c>
      <c r="G252" s="3" t="s">
        <v>540</v>
      </c>
      <c r="H252" s="7">
        <f>IFERROR(VLOOKUP(B252,'📊 Problem Tracker'!$B$4:$F$1200,5,FALSE()),"")</f>
        <v>0</v>
      </c>
      <c r="I252" s="7"/>
      <c r="J252" s="7"/>
      <c r="K252" s="3"/>
      <c r="L252" s="228" t="s">
        <v>542</v>
      </c>
      <c r="M252" s="7" t="s">
        <v>24</v>
      </c>
      <c r="N252" s="176" t="s">
        <v>24</v>
      </c>
      <c r="O252" s="191" t="str">
        <f>HYPERLINK("https://leetcode.com/problems/exclusive-time-of-functions/","https://leetcode.com/problems/exclusive-time-of-functions/")</f>
        <v>https://leetcode.com/problems/exclusive-time-of-functions/</v>
      </c>
    </row>
    <row r="253" spans="1:15" ht="31.5" customHeight="1" x14ac:dyDescent="0.2">
      <c r="A253" s="110">
        <v>248</v>
      </c>
      <c r="B253" s="110">
        <v>642</v>
      </c>
      <c r="C253" s="111" t="s">
        <v>1693</v>
      </c>
      <c r="D253" s="110" t="s">
        <v>4682</v>
      </c>
      <c r="E253" s="114" t="s">
        <v>42</v>
      </c>
      <c r="F253" s="113" t="s">
        <v>1694</v>
      </c>
      <c r="G253" s="113" t="s">
        <v>4266</v>
      </c>
      <c r="H253" s="110">
        <f>IFERROR(VLOOKUP(B253,'📊 Problem Tracker'!$B$4:$F$1200,5,FALSE()),"")</f>
        <v>0</v>
      </c>
      <c r="I253" s="110"/>
      <c r="J253" s="110"/>
      <c r="K253" s="113"/>
      <c r="L253" s="267" t="s">
        <v>959</v>
      </c>
      <c r="M253" s="110" t="s">
        <v>912</v>
      </c>
      <c r="N253" s="179" t="s">
        <v>913</v>
      </c>
      <c r="O253" s="192" t="str">
        <f>HYPERLINK("https://leetcode.com/problems/design-search-autocomplete-system/","https://leetcode.com/problems/design-search-autocomplete-system/")</f>
        <v>https://leetcode.com/problems/design-search-autocomplete-system/</v>
      </c>
    </row>
    <row r="254" spans="1:15" ht="31.5" customHeight="1" x14ac:dyDescent="0.2">
      <c r="A254" s="7">
        <v>249</v>
      </c>
      <c r="B254" s="7">
        <v>643</v>
      </c>
      <c r="C254" s="13" t="s">
        <v>1696</v>
      </c>
      <c r="D254" s="7" t="s">
        <v>4683</v>
      </c>
      <c r="E254" s="21" t="s">
        <v>20</v>
      </c>
      <c r="F254" s="3" t="s">
        <v>916</v>
      </c>
      <c r="G254" s="3" t="s">
        <v>917</v>
      </c>
      <c r="H254" s="7">
        <f>IFERROR(VLOOKUP(B254,'📊 Problem Tracker'!$B$4:$F$1200,5,FALSE()),"")</f>
        <v>0</v>
      </c>
      <c r="I254" s="7"/>
      <c r="J254" s="7"/>
      <c r="K254" s="3"/>
      <c r="L254" s="228" t="s">
        <v>919</v>
      </c>
      <c r="M254" s="7" t="s">
        <v>24</v>
      </c>
      <c r="N254" s="176" t="s">
        <v>1096</v>
      </c>
      <c r="O254" s="191" t="str">
        <f>HYPERLINK("https://leetcode.com/problems/maximum-average-subarray-i/","https://leetcode.com/problems/maximum-average-subarray-i/")</f>
        <v>https://leetcode.com/problems/maximum-average-subarray-i/</v>
      </c>
    </row>
    <row r="255" spans="1:15" ht="31.5" customHeight="1" x14ac:dyDescent="0.2">
      <c r="A255" s="110">
        <v>250</v>
      </c>
      <c r="B255" s="110">
        <v>658</v>
      </c>
      <c r="C255" s="111" t="s">
        <v>1712</v>
      </c>
      <c r="D255" s="110" t="s">
        <v>4684</v>
      </c>
      <c r="E255" s="112" t="s">
        <v>28</v>
      </c>
      <c r="F255" s="113" t="s">
        <v>4276</v>
      </c>
      <c r="G255" s="113" t="s">
        <v>512</v>
      </c>
      <c r="H255" s="110">
        <f>IFERROR(VLOOKUP(B255,'📊 Problem Tracker'!$B$4:$F$1200,5,FALSE()),"")</f>
        <v>0</v>
      </c>
      <c r="I255" s="110"/>
      <c r="J255" s="110"/>
      <c r="K255" s="113"/>
      <c r="L255" s="267" t="s">
        <v>919</v>
      </c>
      <c r="M255" s="110" t="s">
        <v>1713</v>
      </c>
      <c r="N255" s="179" t="s">
        <v>47</v>
      </c>
      <c r="O255" s="192" t="str">
        <f>HYPERLINK("https://leetcode.com/problems/find-k-closest-elements/","https://leetcode.com/problems/find-k-closest-elements/")</f>
        <v>https://leetcode.com/problems/find-k-closest-elements/</v>
      </c>
    </row>
    <row r="256" spans="1:15" ht="31.5" customHeight="1" x14ac:dyDescent="0.2">
      <c r="A256" s="7">
        <v>251</v>
      </c>
      <c r="B256" s="7">
        <v>662</v>
      </c>
      <c r="C256" s="13" t="s">
        <v>1721</v>
      </c>
      <c r="D256" s="7" t="s">
        <v>4685</v>
      </c>
      <c r="E256" s="18" t="s">
        <v>28</v>
      </c>
      <c r="F256" s="3" t="s">
        <v>534</v>
      </c>
      <c r="G256" s="3"/>
      <c r="H256" s="7">
        <f>IFERROR(VLOOKUP(B256,'📊 Problem Tracker'!$B$4:$F$1200,5,FALSE()),"")</f>
        <v>0</v>
      </c>
      <c r="I256" s="7"/>
      <c r="J256" s="7"/>
      <c r="K256" s="3"/>
      <c r="L256" s="228" t="s">
        <v>571</v>
      </c>
      <c r="M256" s="7" t="s">
        <v>24</v>
      </c>
      <c r="N256" s="176" t="s">
        <v>24</v>
      </c>
      <c r="O256" s="191" t="str">
        <f>HYPERLINK("https://leetcode.com/problems/maximum-width-of-binary-tree/","https://leetcode.com/problems/maximum-width-of-binary-tree/")</f>
        <v>https://leetcode.com/problems/maximum-width-of-binary-tree/</v>
      </c>
    </row>
    <row r="257" spans="1:15" ht="31.5" customHeight="1" x14ac:dyDescent="0.2">
      <c r="A257" s="110">
        <v>252</v>
      </c>
      <c r="B257" s="110">
        <v>678</v>
      </c>
      <c r="C257" s="111" t="s">
        <v>1726</v>
      </c>
      <c r="D257" s="110" t="s">
        <v>4686</v>
      </c>
      <c r="E257" s="112" t="s">
        <v>28</v>
      </c>
      <c r="F257" s="113" t="s">
        <v>1381</v>
      </c>
      <c r="G257" s="113"/>
      <c r="H257" s="110">
        <f>IFERROR(VLOOKUP(B257,'📊 Problem Tracker'!$B$4:$F$1200,5,FALSE()),"")</f>
        <v>0</v>
      </c>
      <c r="I257" s="110"/>
      <c r="J257" s="110"/>
      <c r="K257" s="113"/>
      <c r="L257" s="267" t="s">
        <v>750</v>
      </c>
      <c r="M257" s="110" t="s">
        <v>24</v>
      </c>
      <c r="N257" s="179" t="s">
        <v>24</v>
      </c>
      <c r="O257" s="192" t="str">
        <f>HYPERLINK("https://leetcode.com/problems/valid-parenthesis-string/","https://leetcode.com/problems/valid-parenthesis-string/")</f>
        <v>https://leetcode.com/problems/valid-parenthesis-string/</v>
      </c>
    </row>
    <row r="258" spans="1:15" ht="31.5" customHeight="1" x14ac:dyDescent="0.2">
      <c r="A258" s="7">
        <v>253</v>
      </c>
      <c r="B258" s="7">
        <v>680</v>
      </c>
      <c r="C258" s="13" t="s">
        <v>1728</v>
      </c>
      <c r="D258" s="7" t="s">
        <v>4451</v>
      </c>
      <c r="E258" s="21" t="s">
        <v>20</v>
      </c>
      <c r="F258" s="3" t="s">
        <v>611</v>
      </c>
      <c r="G258" s="3" t="s">
        <v>689</v>
      </c>
      <c r="H258" s="7">
        <f>IFERROR(VLOOKUP(B258,'📊 Problem Tracker'!$B$4:$F$1200,5,FALSE()),"")</f>
        <v>0</v>
      </c>
      <c r="I258" s="7"/>
      <c r="J258" s="7"/>
      <c r="K258" s="3"/>
      <c r="L258" s="228" t="s">
        <v>690</v>
      </c>
      <c r="M258" s="7" t="s">
        <v>24</v>
      </c>
      <c r="N258" s="176" t="s">
        <v>47</v>
      </c>
      <c r="O258" s="191" t="str">
        <f>HYPERLINK("https://leetcode.com/problems/valid-palindrome-ii/","https://leetcode.com/problems/valid-palindrome-ii/")</f>
        <v>https://leetcode.com/problems/valid-palindrome-ii/</v>
      </c>
    </row>
    <row r="259" spans="1:15" ht="31.5" customHeight="1" x14ac:dyDescent="0.2">
      <c r="A259" s="110">
        <v>254</v>
      </c>
      <c r="B259" s="110">
        <v>692</v>
      </c>
      <c r="C259" s="111" t="s">
        <v>1745</v>
      </c>
      <c r="D259" s="110" t="s">
        <v>4687</v>
      </c>
      <c r="E259" s="112" t="s">
        <v>28</v>
      </c>
      <c r="F259" s="113" t="s">
        <v>1746</v>
      </c>
      <c r="G259" s="113" t="s">
        <v>4229</v>
      </c>
      <c r="H259" s="110">
        <f>IFERROR(VLOOKUP(B259,'📊 Problem Tracker'!$B$4:$F$1200,5,FALSE()),"")</f>
        <v>0</v>
      </c>
      <c r="I259" s="110"/>
      <c r="J259" s="110"/>
      <c r="K259" s="113"/>
      <c r="L259" s="267" t="s">
        <v>959</v>
      </c>
      <c r="M259" s="110" t="s">
        <v>24</v>
      </c>
      <c r="N259" s="179" t="s">
        <v>24</v>
      </c>
      <c r="O259" s="192" t="str">
        <f>HYPERLINK("https://leetcode.com/problems/top-k-frequent-words/","https://leetcode.com/problems/top-k-frequent-words/")</f>
        <v>https://leetcode.com/problems/top-k-frequent-words/</v>
      </c>
    </row>
    <row r="260" spans="1:15" ht="31.5" customHeight="1" x14ac:dyDescent="0.2">
      <c r="A260" s="7">
        <v>255</v>
      </c>
      <c r="B260" s="7">
        <v>695</v>
      </c>
      <c r="C260" s="13" t="s">
        <v>1751</v>
      </c>
      <c r="D260" s="7" t="s">
        <v>4549</v>
      </c>
      <c r="E260" s="18" t="s">
        <v>28</v>
      </c>
      <c r="F260" s="3" t="s">
        <v>637</v>
      </c>
      <c r="G260" s="3" t="s">
        <v>4548</v>
      </c>
      <c r="H260" s="7">
        <f>IFERROR(VLOOKUP(B260,'📊 Problem Tracker'!$B$4:$F$1200,5,FALSE()),"")</f>
        <v>0</v>
      </c>
      <c r="I260" s="7"/>
      <c r="J260" s="7"/>
      <c r="K260" s="3"/>
      <c r="L260" s="228" t="s">
        <v>619</v>
      </c>
      <c r="M260" s="7" t="s">
        <v>81</v>
      </c>
      <c r="N260" s="176" t="s">
        <v>81</v>
      </c>
      <c r="O260" s="191" t="str">
        <f>HYPERLINK("https://leetcode.com/problems/max-area-of-island/","https://leetcode.com/problems/max-area-of-island/")</f>
        <v>https://leetcode.com/problems/max-area-of-island/</v>
      </c>
    </row>
    <row r="261" spans="1:15" ht="31.5" customHeight="1" x14ac:dyDescent="0.2">
      <c r="A261" s="110">
        <v>256</v>
      </c>
      <c r="B261" s="110">
        <v>704</v>
      </c>
      <c r="C261" s="111" t="s">
        <v>512</v>
      </c>
      <c r="D261" s="110" t="s">
        <v>4688</v>
      </c>
      <c r="E261" s="115" t="s">
        <v>20</v>
      </c>
      <c r="F261" s="113" t="s">
        <v>41</v>
      </c>
      <c r="G261" s="113" t="s">
        <v>512</v>
      </c>
      <c r="H261" s="110">
        <f>IFERROR(VLOOKUP(B261,'📊 Problem Tracker'!$B$4:$F$1200,5,FALSE()),"")</f>
        <v>0</v>
      </c>
      <c r="I261" s="110"/>
      <c r="J261" s="110"/>
      <c r="K261" s="113"/>
      <c r="L261" s="267" t="s">
        <v>1776</v>
      </c>
      <c r="M261" s="110" t="s">
        <v>65</v>
      </c>
      <c r="N261" s="179" t="s">
        <v>47</v>
      </c>
      <c r="O261" s="192" t="str">
        <f>HYPERLINK("https://leetcode.com/problems/binary-search/","https://leetcode.com/problems/binary-search/")</f>
        <v>https://leetcode.com/problems/binary-search/</v>
      </c>
    </row>
    <row r="262" spans="1:15" ht="31.5" customHeight="1" x14ac:dyDescent="0.2">
      <c r="A262" s="7">
        <v>257</v>
      </c>
      <c r="B262" s="7">
        <v>707</v>
      </c>
      <c r="C262" s="13" t="s">
        <v>1780</v>
      </c>
      <c r="D262" s="7" t="s">
        <v>4689</v>
      </c>
      <c r="E262" s="18" t="s">
        <v>28</v>
      </c>
      <c r="F262" s="3" t="s">
        <v>1781</v>
      </c>
      <c r="G262" s="3" t="s">
        <v>2570</v>
      </c>
      <c r="H262" s="7">
        <f>IFERROR(VLOOKUP(B262,'📊 Problem Tracker'!$B$4:$F$1200,5,FALSE()),"")</f>
        <v>0</v>
      </c>
      <c r="I262" s="7"/>
      <c r="J262" s="7"/>
      <c r="K262" s="3"/>
      <c r="L262" s="228" t="s">
        <v>461</v>
      </c>
      <c r="M262" s="7" t="s">
        <v>24</v>
      </c>
      <c r="N262" s="176" t="s">
        <v>47</v>
      </c>
      <c r="O262" s="191" t="str">
        <f>HYPERLINK("https://leetcode.com/problems/design-linked-list/","https://leetcode.com/problems/design-linked-list/")</f>
        <v>https://leetcode.com/problems/design-linked-list/</v>
      </c>
    </row>
    <row r="263" spans="1:15" ht="31.5" customHeight="1" x14ac:dyDescent="0.2">
      <c r="A263" s="110">
        <v>258</v>
      </c>
      <c r="B263" s="110">
        <v>715</v>
      </c>
      <c r="C263" s="111" t="s">
        <v>1797</v>
      </c>
      <c r="D263" s="110" t="s">
        <v>4690</v>
      </c>
      <c r="E263" s="114" t="s">
        <v>42</v>
      </c>
      <c r="F263" s="113" t="s">
        <v>1798</v>
      </c>
      <c r="G263" s="113" t="s">
        <v>4691</v>
      </c>
      <c r="H263" s="110">
        <f>IFERROR(VLOOKUP(B263,'📊 Problem Tracker'!$B$4:$F$1200,5,FALSE()),"")</f>
        <v>0</v>
      </c>
      <c r="I263" s="110"/>
      <c r="J263" s="110"/>
      <c r="K263" s="113"/>
      <c r="L263" s="267" t="s">
        <v>1077</v>
      </c>
      <c r="M263" s="110" t="s">
        <v>326</v>
      </c>
      <c r="N263" s="179" t="s">
        <v>24</v>
      </c>
      <c r="O263" s="192" t="str">
        <f>HYPERLINK("https://leetcode.com/problems/range-module/","https://leetcode.com/problems/range-module/")</f>
        <v>https://leetcode.com/problems/range-module/</v>
      </c>
    </row>
    <row r="264" spans="1:15" ht="31.5" customHeight="1" x14ac:dyDescent="0.2">
      <c r="A264" s="7">
        <v>259</v>
      </c>
      <c r="B264" s="7">
        <v>721</v>
      </c>
      <c r="C264" s="13" t="s">
        <v>1805</v>
      </c>
      <c r="D264" s="7" t="s">
        <v>4515</v>
      </c>
      <c r="E264" s="18" t="s">
        <v>28</v>
      </c>
      <c r="F264" s="3" t="s">
        <v>1806</v>
      </c>
      <c r="G264" s="3" t="s">
        <v>1736</v>
      </c>
      <c r="H264" s="7">
        <f>IFERROR(VLOOKUP(B264,'📊 Problem Tracker'!$B$4:$F$1200,5,FALSE()),"")</f>
        <v>0</v>
      </c>
      <c r="I264" s="7"/>
      <c r="J264" s="7"/>
      <c r="K264" s="3"/>
      <c r="L264" s="228" t="s">
        <v>619</v>
      </c>
      <c r="M264" s="7" t="s">
        <v>1807</v>
      </c>
      <c r="N264" s="176" t="s">
        <v>1808</v>
      </c>
      <c r="O264" s="191" t="str">
        <f>HYPERLINK("https://leetcode.com/problems/accounts-merge/","https://leetcode.com/problems/accounts-merge/")</f>
        <v>https://leetcode.com/problems/accounts-merge/</v>
      </c>
    </row>
    <row r="265" spans="1:15" ht="31.5" customHeight="1" x14ac:dyDescent="0.2">
      <c r="A265" s="110">
        <v>260</v>
      </c>
      <c r="B265" s="110">
        <v>733</v>
      </c>
      <c r="C265" s="111" t="s">
        <v>1828</v>
      </c>
      <c r="D265" s="110" t="s">
        <v>4496</v>
      </c>
      <c r="E265" s="115" t="s">
        <v>20</v>
      </c>
      <c r="F265" s="113" t="s">
        <v>637</v>
      </c>
      <c r="G265" s="113" t="s">
        <v>4548</v>
      </c>
      <c r="H265" s="110">
        <f>IFERROR(VLOOKUP(B265,'📊 Problem Tracker'!$B$4:$F$1200,5,FALSE()),"")</f>
        <v>0</v>
      </c>
      <c r="I265" s="110"/>
      <c r="J265" s="110"/>
      <c r="K265" s="113"/>
      <c r="L265" s="267" t="s">
        <v>1830</v>
      </c>
      <c r="M265" s="110" t="s">
        <v>81</v>
      </c>
      <c r="N265" s="179" t="s">
        <v>81</v>
      </c>
      <c r="O265" s="192" t="str">
        <f>HYPERLINK("https://leetcode.com/problems/flood-fill/","https://leetcode.com/problems/flood-fill/")</f>
        <v>https://leetcode.com/problems/flood-fill/</v>
      </c>
    </row>
    <row r="266" spans="1:15" ht="31.5" customHeight="1" x14ac:dyDescent="0.2">
      <c r="A266" s="7">
        <v>261</v>
      </c>
      <c r="B266" s="7">
        <v>735</v>
      </c>
      <c r="C266" s="13" t="s">
        <v>1832</v>
      </c>
      <c r="D266" s="7" t="s">
        <v>4692</v>
      </c>
      <c r="E266" s="18" t="s">
        <v>28</v>
      </c>
      <c r="F266" s="3" t="s">
        <v>1472</v>
      </c>
      <c r="G266" s="3" t="s">
        <v>540</v>
      </c>
      <c r="H266" s="7">
        <f>IFERROR(VLOOKUP(B266,'📊 Problem Tracker'!$B$4:$F$1200,5,FALSE()),"")</f>
        <v>0</v>
      </c>
      <c r="I266" s="7"/>
      <c r="J266" s="7"/>
      <c r="K266" s="3"/>
      <c r="L266" s="228" t="s">
        <v>542</v>
      </c>
      <c r="M266" s="7" t="s">
        <v>24</v>
      </c>
      <c r="N266" s="176" t="s">
        <v>24</v>
      </c>
      <c r="O266" s="191" t="str">
        <f>HYPERLINK("https://leetcode.com/problems/asteroid-collision/","https://leetcode.com/problems/asteroid-collision/")</f>
        <v>https://leetcode.com/problems/asteroid-collision/</v>
      </c>
    </row>
    <row r="267" spans="1:15" ht="31.5" customHeight="1" x14ac:dyDescent="0.2">
      <c r="A267" s="110">
        <v>262</v>
      </c>
      <c r="B267" s="110">
        <v>739</v>
      </c>
      <c r="C267" s="111" t="s">
        <v>1836</v>
      </c>
      <c r="D267" s="110" t="s">
        <v>4693</v>
      </c>
      <c r="E267" s="112" t="s">
        <v>28</v>
      </c>
      <c r="F267" s="113" t="s">
        <v>1837</v>
      </c>
      <c r="G267" s="113" t="s">
        <v>1473</v>
      </c>
      <c r="H267" s="110">
        <f>IFERROR(VLOOKUP(B267,'📊 Problem Tracker'!$B$4:$F$1200,5,FALSE()),"")</f>
        <v>0</v>
      </c>
      <c r="I267" s="110"/>
      <c r="J267" s="110"/>
      <c r="K267" s="113"/>
      <c r="L267" s="267" t="s">
        <v>1839</v>
      </c>
      <c r="M267" s="110" t="s">
        <v>24</v>
      </c>
      <c r="N267" s="179" t="s">
        <v>24</v>
      </c>
      <c r="O267" s="192" t="str">
        <f>HYPERLINK("https://leetcode.com/problems/daily-temperatures/","https://leetcode.com/problems/daily-temperatures/")</f>
        <v>https://leetcode.com/problems/daily-temperatures/</v>
      </c>
    </row>
    <row r="268" spans="1:15" ht="31.5" customHeight="1" x14ac:dyDescent="0.2">
      <c r="A268" s="7">
        <v>263</v>
      </c>
      <c r="B268" s="7">
        <v>743</v>
      </c>
      <c r="C268" s="13" t="s">
        <v>1843</v>
      </c>
      <c r="D268" s="7" t="s">
        <v>4652</v>
      </c>
      <c r="E268" s="18" t="s">
        <v>28</v>
      </c>
      <c r="F268" s="3" t="s">
        <v>1844</v>
      </c>
      <c r="G268" s="3" t="s">
        <v>3339</v>
      </c>
      <c r="H268" s="7">
        <f>IFERROR(VLOOKUP(B268,'📊 Problem Tracker'!$B$4:$F$1200,5,FALSE()),"")</f>
        <v>0</v>
      </c>
      <c r="I268" s="7"/>
      <c r="J268" s="7"/>
      <c r="K268" s="3"/>
      <c r="L268" s="228" t="s">
        <v>959</v>
      </c>
      <c r="M268" s="7" t="s">
        <v>1845</v>
      </c>
      <c r="N268" s="176" t="s">
        <v>648</v>
      </c>
      <c r="O268" s="191" t="str">
        <f>HYPERLINK("https://leetcode.com/problems/network-delay-time/","https://leetcode.com/problems/network-delay-time/")</f>
        <v>https://leetcode.com/problems/network-delay-time/</v>
      </c>
    </row>
    <row r="269" spans="1:15" ht="31.5" customHeight="1" x14ac:dyDescent="0.2">
      <c r="A269" s="110">
        <v>264</v>
      </c>
      <c r="B269" s="110">
        <v>759</v>
      </c>
      <c r="C269" s="111" t="s">
        <v>1864</v>
      </c>
      <c r="D269" s="110" t="s">
        <v>4694</v>
      </c>
      <c r="E269" s="114" t="s">
        <v>42</v>
      </c>
      <c r="F269" s="113" t="s">
        <v>1037</v>
      </c>
      <c r="G269" s="113" t="s">
        <v>4353</v>
      </c>
      <c r="H269" s="110">
        <f>IFERROR(VLOOKUP(B269,'📊 Problem Tracker'!$B$4:$F$1200,5,FALSE()),"")</f>
        <v>0</v>
      </c>
      <c r="I269" s="110"/>
      <c r="J269" s="110"/>
      <c r="K269" s="113"/>
      <c r="L269" s="267" t="s">
        <v>959</v>
      </c>
      <c r="M269" s="110" t="s">
        <v>960</v>
      </c>
      <c r="N269" s="179" t="s">
        <v>153</v>
      </c>
      <c r="O269" s="192" t="str">
        <f>HYPERLINK("https://leetcode.com/problems/employee-free-time/","https://leetcode.com/problems/employee-free-time/")</f>
        <v>https://leetcode.com/problems/employee-free-time/</v>
      </c>
    </row>
    <row r="270" spans="1:15" ht="31.5" customHeight="1" x14ac:dyDescent="0.2">
      <c r="A270" s="7">
        <v>265</v>
      </c>
      <c r="B270" s="7">
        <v>767</v>
      </c>
      <c r="C270" s="13" t="s">
        <v>1879</v>
      </c>
      <c r="D270" s="7" t="s">
        <v>4659</v>
      </c>
      <c r="E270" s="18" t="s">
        <v>28</v>
      </c>
      <c r="F270" s="3" t="s">
        <v>1880</v>
      </c>
      <c r="G270" s="3" t="s">
        <v>4272</v>
      </c>
      <c r="H270" s="7">
        <f>IFERROR(VLOOKUP(B270,'📊 Problem Tracker'!$B$4:$F$1200,5,FALSE()),"")</f>
        <v>0</v>
      </c>
      <c r="I270" s="7"/>
      <c r="J270" s="7"/>
      <c r="K270" s="3"/>
      <c r="L270" s="228" t="s">
        <v>959</v>
      </c>
      <c r="M270" s="7" t="s">
        <v>24</v>
      </c>
      <c r="N270" s="176" t="s">
        <v>24</v>
      </c>
      <c r="O270" s="191" t="str">
        <f>HYPERLINK("https://leetcode.com/problems/reorganize-string/","https://leetcode.com/problems/reorganize-string/")</f>
        <v>https://leetcode.com/problems/reorganize-string/</v>
      </c>
    </row>
    <row r="271" spans="1:15" ht="31.5" customHeight="1" x14ac:dyDescent="0.2">
      <c r="A271" s="110">
        <v>266</v>
      </c>
      <c r="B271" s="110">
        <v>771</v>
      </c>
      <c r="C271" s="111" t="s">
        <v>1884</v>
      </c>
      <c r="D271" s="110" t="s">
        <v>4695</v>
      </c>
      <c r="E271" s="115" t="s">
        <v>20</v>
      </c>
      <c r="F271" s="113" t="s">
        <v>897</v>
      </c>
      <c r="G271" s="113" t="s">
        <v>4244</v>
      </c>
      <c r="H271" s="110">
        <f>IFERROR(VLOOKUP(B271,'📊 Problem Tracker'!$B$4:$F$1200,5,FALSE()),"")</f>
        <v>0</v>
      </c>
      <c r="I271" s="110"/>
      <c r="J271" s="110"/>
      <c r="K271" s="113"/>
      <c r="L271" s="267" t="s">
        <v>705</v>
      </c>
      <c r="M271" s="110" t="s">
        <v>259</v>
      </c>
      <c r="N271" s="179" t="s">
        <v>47</v>
      </c>
      <c r="O271" s="192" t="str">
        <f>HYPERLINK("https://leetcode.com/problems/jewels-and-stones/","https://leetcode.com/problems/jewels-and-stones/")</f>
        <v>https://leetcode.com/problems/jewels-and-stones/</v>
      </c>
    </row>
    <row r="272" spans="1:15" ht="31.5" customHeight="1" x14ac:dyDescent="0.2">
      <c r="A272" s="7">
        <v>267</v>
      </c>
      <c r="B272" s="7">
        <v>777</v>
      </c>
      <c r="C272" s="13" t="s">
        <v>1890</v>
      </c>
      <c r="D272" s="7" t="s">
        <v>4696</v>
      </c>
      <c r="E272" s="18" t="s">
        <v>28</v>
      </c>
      <c r="F272" s="3" t="s">
        <v>611</v>
      </c>
      <c r="G272" s="3" t="s">
        <v>689</v>
      </c>
      <c r="H272" s="7">
        <f>IFERROR(VLOOKUP(B272,'📊 Problem Tracker'!$B$4:$F$1200,5,FALSE()),"")</f>
        <v>0</v>
      </c>
      <c r="I272" s="7"/>
      <c r="J272" s="7"/>
      <c r="K272" s="3"/>
      <c r="L272" s="228" t="s">
        <v>690</v>
      </c>
      <c r="M272" s="7" t="s">
        <v>24</v>
      </c>
      <c r="N272" s="176" t="s">
        <v>47</v>
      </c>
      <c r="O272" s="191" t="str">
        <f>HYPERLINK("https://leetcode.com/problems/swap-adjacent-in-lr-string/","https://leetcode.com/problems/swap-adjacent-in-lr-string/")</f>
        <v>https://leetcode.com/problems/swap-adjacent-in-lr-string/</v>
      </c>
    </row>
    <row r="273" spans="1:15" ht="31.5" customHeight="1" x14ac:dyDescent="0.2">
      <c r="A273" s="110">
        <v>268</v>
      </c>
      <c r="B273" s="110">
        <v>778</v>
      </c>
      <c r="C273" s="111" t="s">
        <v>1892</v>
      </c>
      <c r="D273" s="110" t="s">
        <v>4608</v>
      </c>
      <c r="E273" s="114" t="s">
        <v>42</v>
      </c>
      <c r="F273" s="113" t="s">
        <v>1893</v>
      </c>
      <c r="G273" s="113"/>
      <c r="H273" s="110">
        <f>IFERROR(VLOOKUP(B273,'📊 Problem Tracker'!$B$4:$F$1200,5,FALSE()),"")</f>
        <v>0</v>
      </c>
      <c r="I273" s="110"/>
      <c r="J273" s="110"/>
      <c r="K273" s="113"/>
      <c r="L273" s="267" t="s">
        <v>4239</v>
      </c>
      <c r="M273" s="110" t="s">
        <v>1894</v>
      </c>
      <c r="N273" s="179" t="s">
        <v>341</v>
      </c>
      <c r="O273" s="192" t="str">
        <f>HYPERLINK("https://leetcode.com/problems/swim-in-rising-water/","https://leetcode.com/problems/swim-in-rising-water/")</f>
        <v>https://leetcode.com/problems/swim-in-rising-water/</v>
      </c>
    </row>
    <row r="274" spans="1:15" ht="31.5" customHeight="1" x14ac:dyDescent="0.2">
      <c r="A274" s="7">
        <v>269</v>
      </c>
      <c r="B274" s="7">
        <v>787</v>
      </c>
      <c r="C274" s="13" t="s">
        <v>1898</v>
      </c>
      <c r="D274" s="7" t="s">
        <v>4501</v>
      </c>
      <c r="E274" s="18" t="s">
        <v>28</v>
      </c>
      <c r="F274" s="3" t="s">
        <v>1899</v>
      </c>
      <c r="G274" s="3" t="s">
        <v>4302</v>
      </c>
      <c r="H274" s="7">
        <f>IFERROR(VLOOKUP(B274,'📊 Problem Tracker'!$B$4:$F$1200,5,FALSE()),"")</f>
        <v>0</v>
      </c>
      <c r="I274" s="7"/>
      <c r="J274" s="7"/>
      <c r="K274" s="3"/>
      <c r="L274" s="228" t="s">
        <v>508</v>
      </c>
      <c r="M274" s="7" t="s">
        <v>648</v>
      </c>
      <c r="N274" s="176" t="s">
        <v>648</v>
      </c>
      <c r="O274" s="191" t="str">
        <f>HYPERLINK("https://leetcode.com/problems/cheapest-flights-within-k-stops/","https://leetcode.com/problems/cheapest-flights-within-k-stops/")</f>
        <v>https://leetcode.com/problems/cheapest-flights-within-k-stops/</v>
      </c>
    </row>
    <row r="275" spans="1:15" ht="31.5" customHeight="1" x14ac:dyDescent="0.2">
      <c r="A275" s="110">
        <v>270</v>
      </c>
      <c r="B275" s="110">
        <v>802</v>
      </c>
      <c r="C275" s="111" t="s">
        <v>1930</v>
      </c>
      <c r="D275" s="110" t="s">
        <v>4697</v>
      </c>
      <c r="E275" s="112" t="s">
        <v>28</v>
      </c>
      <c r="F275" s="113" t="s">
        <v>1232</v>
      </c>
      <c r="G275" s="113" t="s">
        <v>4698</v>
      </c>
      <c r="H275" s="110">
        <f>IFERROR(VLOOKUP(B275,'📊 Problem Tracker'!$B$4:$F$1200,5,FALSE()),"")</f>
        <v>0</v>
      </c>
      <c r="I275" s="110"/>
      <c r="J275" s="110"/>
      <c r="K275" s="113"/>
      <c r="L275" s="267" t="s">
        <v>619</v>
      </c>
      <c r="M275" s="110" t="s">
        <v>648</v>
      </c>
      <c r="N275" s="179" t="s">
        <v>648</v>
      </c>
      <c r="O275" s="192" t="str">
        <f>HYPERLINK("https://leetcode.com/problems/find-eventual-safe-states/","https://leetcode.com/problems/find-eventual-safe-states/")</f>
        <v>https://leetcode.com/problems/find-eventual-safe-states/</v>
      </c>
    </row>
    <row r="276" spans="1:15" ht="31.5" customHeight="1" x14ac:dyDescent="0.2">
      <c r="A276" s="7">
        <v>271</v>
      </c>
      <c r="B276" s="7">
        <v>843</v>
      </c>
      <c r="C276" s="13" t="s">
        <v>1969</v>
      </c>
      <c r="D276" s="7" t="s">
        <v>4649</v>
      </c>
      <c r="E276" s="20" t="s">
        <v>42</v>
      </c>
      <c r="F276" s="3" t="s">
        <v>4699</v>
      </c>
      <c r="G276" s="3" t="s">
        <v>4700</v>
      </c>
      <c r="H276" s="7">
        <f>IFERROR(VLOOKUP(B276,'📊 Problem Tracker'!$B$4:$F$1200,5,FALSE()),"")</f>
        <v>0</v>
      </c>
      <c r="I276" s="7"/>
      <c r="J276" s="7"/>
      <c r="K276" s="3"/>
      <c r="L276" s="228" t="s">
        <v>705</v>
      </c>
      <c r="M276" s="7" t="s">
        <v>341</v>
      </c>
      <c r="N276" s="176" t="s">
        <v>24</v>
      </c>
      <c r="O276" s="191" t="str">
        <f>HYPERLINK("https://leetcode.com/problems/guess-the-word/","https://leetcode.com/problems/guess-the-word/")</f>
        <v>https://leetcode.com/problems/guess-the-word/</v>
      </c>
    </row>
    <row r="277" spans="1:15" ht="31.5" customHeight="1" x14ac:dyDescent="0.2">
      <c r="A277" s="110">
        <v>272</v>
      </c>
      <c r="B277" s="110">
        <v>844</v>
      </c>
      <c r="C277" s="111" t="s">
        <v>1972</v>
      </c>
      <c r="D277" s="110" t="s">
        <v>4497</v>
      </c>
      <c r="E277" s="115" t="s">
        <v>20</v>
      </c>
      <c r="F277" s="113" t="s">
        <v>4308</v>
      </c>
      <c r="G277" s="113" t="s">
        <v>4307</v>
      </c>
      <c r="H277" s="110">
        <f>IFERROR(VLOOKUP(B277,'📊 Problem Tracker'!$B$4:$F$1200,5,FALSE()),"")</f>
        <v>0</v>
      </c>
      <c r="I277" s="110"/>
      <c r="J277" s="110"/>
      <c r="K277" s="113"/>
      <c r="L277" s="267" t="s">
        <v>690</v>
      </c>
      <c r="M277" s="110" t="s">
        <v>24</v>
      </c>
      <c r="N277" s="179" t="s">
        <v>1096</v>
      </c>
      <c r="O277" s="192" t="str">
        <f>HYPERLINK("https://leetcode.com/problems/backspace-string-compare/","https://leetcode.com/problems/backspace-string-compare/")</f>
        <v>https://leetcode.com/problems/backspace-string-compare/</v>
      </c>
    </row>
    <row r="278" spans="1:15" ht="31.5" customHeight="1" x14ac:dyDescent="0.2">
      <c r="A278" s="7">
        <v>273</v>
      </c>
      <c r="B278" s="7">
        <v>852</v>
      </c>
      <c r="C278" s="13" t="s">
        <v>1981</v>
      </c>
      <c r="D278" s="7" t="s">
        <v>4495</v>
      </c>
      <c r="E278" s="18" t="s">
        <v>28</v>
      </c>
      <c r="F278" s="3" t="s">
        <v>41</v>
      </c>
      <c r="G278" s="3" t="s">
        <v>512</v>
      </c>
      <c r="H278" s="7">
        <f>IFERROR(VLOOKUP(B278,'📊 Problem Tracker'!$B$4:$F$1200,5,FALSE()),"")</f>
        <v>0</v>
      </c>
      <c r="I278" s="7"/>
      <c r="J278" s="7"/>
      <c r="K278" s="3"/>
      <c r="L278" s="228" t="s">
        <v>513</v>
      </c>
      <c r="M278" s="7" t="s">
        <v>65</v>
      </c>
      <c r="N278" s="176" t="s">
        <v>47</v>
      </c>
      <c r="O278" s="191" t="str">
        <f>HYPERLINK("https://leetcode.com/problems/peak-index-in-a-mountain-array/","https://leetcode.com/problems/peak-index-in-a-mountain-array/")</f>
        <v>https://leetcode.com/problems/peak-index-in-a-mountain-array/</v>
      </c>
    </row>
    <row r="279" spans="1:15" ht="31.5" customHeight="1" x14ac:dyDescent="0.2">
      <c r="A279" s="110">
        <v>274</v>
      </c>
      <c r="B279" s="110">
        <v>867</v>
      </c>
      <c r="C279" s="111" t="s">
        <v>2000</v>
      </c>
      <c r="D279" s="110" t="s">
        <v>4701</v>
      </c>
      <c r="E279" s="115" t="s">
        <v>20</v>
      </c>
      <c r="F279" s="113" t="s">
        <v>283</v>
      </c>
      <c r="G279" s="113" t="s">
        <v>4187</v>
      </c>
      <c r="H279" s="110">
        <f>IFERROR(VLOOKUP(B279,'📊 Problem Tracker'!$B$4:$F$1200,5,FALSE()),"")</f>
        <v>0</v>
      </c>
      <c r="I279" s="110"/>
      <c r="J279" s="110"/>
      <c r="K279" s="113"/>
      <c r="L279" s="267" t="s">
        <v>654</v>
      </c>
      <c r="M279" s="110" t="s">
        <v>81</v>
      </c>
      <c r="N279" s="179" t="s">
        <v>81</v>
      </c>
      <c r="O279" s="192" t="str">
        <f>HYPERLINK("https://leetcode.com/problems/transpose-matrix/","https://leetcode.com/problems/transpose-matrix/")</f>
        <v>https://leetcode.com/problems/transpose-matrix/</v>
      </c>
    </row>
    <row r="280" spans="1:15" ht="31.5" customHeight="1" x14ac:dyDescent="0.2">
      <c r="A280" s="7">
        <v>275</v>
      </c>
      <c r="B280" s="7">
        <v>875</v>
      </c>
      <c r="C280" s="13" t="s">
        <v>2014</v>
      </c>
      <c r="D280" s="7" t="s">
        <v>4682</v>
      </c>
      <c r="E280" s="18" t="s">
        <v>28</v>
      </c>
      <c r="F280" s="3" t="s">
        <v>41</v>
      </c>
      <c r="G280" s="3" t="s">
        <v>1801</v>
      </c>
      <c r="H280" s="7">
        <f>IFERROR(VLOOKUP(B280,'📊 Problem Tracker'!$B$4:$F$1200,5,FALSE()),"")</f>
        <v>0</v>
      </c>
      <c r="I280" s="7"/>
      <c r="J280" s="7"/>
      <c r="K280" s="3"/>
      <c r="L280" s="228" t="s">
        <v>513</v>
      </c>
      <c r="M280" s="7" t="s">
        <v>65</v>
      </c>
      <c r="N280" s="176" t="s">
        <v>47</v>
      </c>
      <c r="O280" s="191" t="str">
        <f>HYPERLINK("https://leetcode.com/problems/koko-eating-bananas/","https://leetcode.com/problems/koko-eating-bananas/")</f>
        <v>https://leetcode.com/problems/koko-eating-bananas/</v>
      </c>
    </row>
    <row r="281" spans="1:15" ht="31.5" customHeight="1" x14ac:dyDescent="0.2">
      <c r="A281" s="110">
        <v>276</v>
      </c>
      <c r="B281" s="110">
        <v>876</v>
      </c>
      <c r="C281" s="111" t="s">
        <v>2017</v>
      </c>
      <c r="D281" s="110" t="s">
        <v>4702</v>
      </c>
      <c r="E281" s="115" t="s">
        <v>20</v>
      </c>
      <c r="F281" s="113" t="s">
        <v>679</v>
      </c>
      <c r="G281" s="113" t="s">
        <v>4034</v>
      </c>
      <c r="H281" s="110">
        <f>IFERROR(VLOOKUP(B281,'📊 Problem Tracker'!$B$4:$F$1200,5,FALSE()),"")</f>
        <v>0</v>
      </c>
      <c r="I281" s="110"/>
      <c r="J281" s="110"/>
      <c r="K281" s="113"/>
      <c r="L281" s="267" t="s">
        <v>690</v>
      </c>
      <c r="M281" s="110" t="s">
        <v>24</v>
      </c>
      <c r="N281" s="179" t="s">
        <v>47</v>
      </c>
      <c r="O281" s="192" t="str">
        <f>HYPERLINK("https://leetcode.com/problems/middle-of-the-linked-list/","https://leetcode.com/problems/middle-of-the-linked-list/")</f>
        <v>https://leetcode.com/problems/middle-of-the-linked-list/</v>
      </c>
    </row>
    <row r="282" spans="1:15" ht="31.5" customHeight="1" x14ac:dyDescent="0.2">
      <c r="A282" s="7">
        <v>277</v>
      </c>
      <c r="B282" s="7">
        <v>901</v>
      </c>
      <c r="C282" s="13" t="s">
        <v>2045</v>
      </c>
      <c r="D282" s="7" t="s">
        <v>4703</v>
      </c>
      <c r="E282" s="18" t="s">
        <v>28</v>
      </c>
      <c r="F282" s="3" t="s">
        <v>466</v>
      </c>
      <c r="G282" s="3" t="s">
        <v>1473</v>
      </c>
      <c r="H282" s="7">
        <f>IFERROR(VLOOKUP(B282,'📊 Problem Tracker'!$B$4:$F$1200,5,FALSE()),"")</f>
        <v>0</v>
      </c>
      <c r="I282" s="7"/>
      <c r="J282" s="7"/>
      <c r="K282" s="3"/>
      <c r="L282" s="228" t="s">
        <v>542</v>
      </c>
      <c r="M282" s="7" t="s">
        <v>24</v>
      </c>
      <c r="N282" s="176" t="s">
        <v>24</v>
      </c>
      <c r="O282" s="191" t="str">
        <f>HYPERLINK("https://leetcode.com/problems/online-stock-span/","https://leetcode.com/problems/online-stock-span/")</f>
        <v>https://leetcode.com/problems/online-stock-span/</v>
      </c>
    </row>
    <row r="283" spans="1:15" ht="31.5" customHeight="1" x14ac:dyDescent="0.2">
      <c r="A283" s="110">
        <v>278</v>
      </c>
      <c r="B283" s="110">
        <v>904</v>
      </c>
      <c r="C283" s="111" t="s">
        <v>2047</v>
      </c>
      <c r="D283" s="110" t="s">
        <v>4499</v>
      </c>
      <c r="E283" s="112" t="s">
        <v>28</v>
      </c>
      <c r="F283" s="113" t="s">
        <v>2956</v>
      </c>
      <c r="G283" s="113" t="s">
        <v>917</v>
      </c>
      <c r="H283" s="110">
        <f>IFERROR(VLOOKUP(B283,'📊 Problem Tracker'!$B$4:$F$1200,5,FALSE()),"")</f>
        <v>0</v>
      </c>
      <c r="I283" s="110"/>
      <c r="J283" s="110"/>
      <c r="K283" s="113"/>
      <c r="L283" s="267" t="s">
        <v>919</v>
      </c>
      <c r="M283" s="110" t="s">
        <v>24</v>
      </c>
      <c r="N283" s="179" t="s">
        <v>1096</v>
      </c>
      <c r="O283" s="192" t="str">
        <f>HYPERLINK("https://leetcode.com/problems/fruit-into-baskets/","https://leetcode.com/problems/fruit-into-baskets/")</f>
        <v>https://leetcode.com/problems/fruit-into-baskets/</v>
      </c>
    </row>
    <row r="284" spans="1:15" ht="31.5" customHeight="1" x14ac:dyDescent="0.2">
      <c r="A284" s="7">
        <v>279</v>
      </c>
      <c r="B284" s="7">
        <v>907</v>
      </c>
      <c r="C284" s="13" t="s">
        <v>2054</v>
      </c>
      <c r="D284" s="7" t="s">
        <v>4483</v>
      </c>
      <c r="E284" s="18" t="s">
        <v>28</v>
      </c>
      <c r="F284" s="3" t="s">
        <v>466</v>
      </c>
      <c r="G284" s="3" t="s">
        <v>1473</v>
      </c>
      <c r="H284" s="7">
        <f>IFERROR(VLOOKUP(B284,'📊 Problem Tracker'!$B$4:$F$1200,5,FALSE()),"")</f>
        <v>0</v>
      </c>
      <c r="I284" s="7"/>
      <c r="J284" s="7"/>
      <c r="K284" s="3"/>
      <c r="L284" s="228" t="s">
        <v>542</v>
      </c>
      <c r="M284" s="7" t="s">
        <v>24</v>
      </c>
      <c r="N284" s="176" t="s">
        <v>24</v>
      </c>
      <c r="O284" s="191" t="str">
        <f>HYPERLINK("https://leetcode.com/problems/sum-of-subarray-minimums/","https://leetcode.com/problems/sum-of-subarray-minimums/")</f>
        <v>https://leetcode.com/problems/sum-of-subarray-minimums/</v>
      </c>
    </row>
    <row r="285" spans="1:15" ht="31.5" customHeight="1" x14ac:dyDescent="0.2">
      <c r="A285" s="110">
        <v>280</v>
      </c>
      <c r="B285" s="110">
        <v>912</v>
      </c>
      <c r="C285" s="111" t="s">
        <v>2058</v>
      </c>
      <c r="D285" s="110" t="s">
        <v>4626</v>
      </c>
      <c r="E285" s="112" t="s">
        <v>28</v>
      </c>
      <c r="F285" s="113" t="s">
        <v>1075</v>
      </c>
      <c r="G285" s="113" t="s">
        <v>4249</v>
      </c>
      <c r="H285" s="110">
        <f>IFERROR(VLOOKUP(B285,'📊 Problem Tracker'!$B$4:$F$1200,5,FALSE()),"")</f>
        <v>0</v>
      </c>
      <c r="I285" s="110"/>
      <c r="J285" s="110"/>
      <c r="K285" s="113"/>
      <c r="L285" s="267" t="s">
        <v>1077</v>
      </c>
      <c r="M285" s="110" t="s">
        <v>326</v>
      </c>
      <c r="N285" s="179" t="s">
        <v>24</v>
      </c>
      <c r="O285" s="192" t="str">
        <f>HYPERLINK("https://leetcode.com/problems/sort-an-array/","https://leetcode.com/problems/sort-an-array/")</f>
        <v>https://leetcode.com/problems/sort-an-array/</v>
      </c>
    </row>
    <row r="286" spans="1:15" ht="31.5" customHeight="1" x14ac:dyDescent="0.2">
      <c r="A286" s="7">
        <v>281</v>
      </c>
      <c r="B286" s="7">
        <v>934</v>
      </c>
      <c r="C286" s="13" t="s">
        <v>2074</v>
      </c>
      <c r="D286" s="7" t="s">
        <v>4454</v>
      </c>
      <c r="E286" s="18" t="s">
        <v>28</v>
      </c>
      <c r="F286" s="3" t="s">
        <v>2075</v>
      </c>
      <c r="G286" s="3" t="s">
        <v>4704</v>
      </c>
      <c r="H286" s="7">
        <f>IFERROR(VLOOKUP(B286,'📊 Problem Tracker'!$B$4:$F$1200,5,FALSE()),"")</f>
        <v>0</v>
      </c>
      <c r="I286" s="7"/>
      <c r="J286" s="7"/>
      <c r="K286" s="3"/>
      <c r="L286" s="228" t="s">
        <v>619</v>
      </c>
      <c r="M286" s="7" t="s">
        <v>81</v>
      </c>
      <c r="N286" s="176" t="s">
        <v>81</v>
      </c>
      <c r="O286" s="191" t="str">
        <f>HYPERLINK("https://leetcode.com/problems/shortest-bridge/","https://leetcode.com/problems/shortest-bridge/")</f>
        <v>https://leetcode.com/problems/shortest-bridge/</v>
      </c>
    </row>
    <row r="287" spans="1:15" ht="31.5" customHeight="1" x14ac:dyDescent="0.2">
      <c r="A287" s="110">
        <v>282</v>
      </c>
      <c r="B287" s="110">
        <v>962</v>
      </c>
      <c r="C287" s="111" t="s">
        <v>2106</v>
      </c>
      <c r="D287" s="110" t="s">
        <v>4626</v>
      </c>
      <c r="E287" s="112" t="s">
        <v>28</v>
      </c>
      <c r="F287" s="113" t="s">
        <v>1837</v>
      </c>
      <c r="G287" s="113" t="s">
        <v>1473</v>
      </c>
      <c r="H287" s="110">
        <f>IFERROR(VLOOKUP(B287,'📊 Problem Tracker'!$B$4:$F$1200,5,FALSE()),"")</f>
        <v>0</v>
      </c>
      <c r="I287" s="110"/>
      <c r="J287" s="110"/>
      <c r="K287" s="113"/>
      <c r="L287" s="267" t="s">
        <v>542</v>
      </c>
      <c r="M287" s="110" t="s">
        <v>24</v>
      </c>
      <c r="N287" s="179" t="s">
        <v>24</v>
      </c>
      <c r="O287" s="192" t="str">
        <f>HYPERLINK("https://leetcode.com/problems/maximum-width-ramp/","https://leetcode.com/problems/maximum-width-ramp/")</f>
        <v>https://leetcode.com/problems/maximum-width-ramp/</v>
      </c>
    </row>
    <row r="288" spans="1:15" ht="31.5" customHeight="1" x14ac:dyDescent="0.2">
      <c r="A288" s="7">
        <v>283</v>
      </c>
      <c r="B288" s="7">
        <v>977</v>
      </c>
      <c r="C288" s="13" t="s">
        <v>2122</v>
      </c>
      <c r="D288" s="7" t="s">
        <v>4705</v>
      </c>
      <c r="E288" s="21" t="s">
        <v>20</v>
      </c>
      <c r="F288" s="3" t="s">
        <v>2050</v>
      </c>
      <c r="G288" s="3" t="s">
        <v>689</v>
      </c>
      <c r="H288" s="7">
        <f>IFERROR(VLOOKUP(B288,'📊 Problem Tracker'!$B$4:$F$1200,5,FALSE()),"")</f>
        <v>0</v>
      </c>
      <c r="I288" s="7"/>
      <c r="J288" s="7"/>
      <c r="K288" s="3"/>
      <c r="L288" s="228" t="s">
        <v>690</v>
      </c>
      <c r="M288" s="7" t="s">
        <v>326</v>
      </c>
      <c r="N288" s="176" t="s">
        <v>24</v>
      </c>
      <c r="O288" s="191" t="str">
        <f>HYPERLINK("https://leetcode.com/problems/squares-of-a-sorted-array/","https://leetcode.com/problems/squares-of-a-sorted-array/")</f>
        <v>https://leetcode.com/problems/squares-of-a-sorted-array/</v>
      </c>
    </row>
    <row r="289" spans="1:15" ht="31.5" customHeight="1" x14ac:dyDescent="0.2">
      <c r="A289" s="110">
        <v>284</v>
      </c>
      <c r="B289" s="110">
        <v>981</v>
      </c>
      <c r="C289" s="111" t="s">
        <v>2132</v>
      </c>
      <c r="D289" s="110" t="s">
        <v>4497</v>
      </c>
      <c r="E289" s="112" t="s">
        <v>28</v>
      </c>
      <c r="F289" s="113" t="s">
        <v>2133</v>
      </c>
      <c r="G289" s="113" t="s">
        <v>4706</v>
      </c>
      <c r="H289" s="110">
        <f>IFERROR(VLOOKUP(B289,'📊 Problem Tracker'!$B$4:$F$1200,5,FALSE()),"")</f>
        <v>0</v>
      </c>
      <c r="I289" s="110"/>
      <c r="J289" s="110"/>
      <c r="K289" s="113"/>
      <c r="L289" s="267" t="s">
        <v>513</v>
      </c>
      <c r="M289" s="110" t="s">
        <v>2134</v>
      </c>
      <c r="N289" s="179" t="s">
        <v>24</v>
      </c>
      <c r="O289" s="192" t="str">
        <f>HYPERLINK("https://leetcode.com/problems/time-based-key-value-store/","https://leetcode.com/problems/time-based-key-value-store/")</f>
        <v>https://leetcode.com/problems/time-based-key-value-store/</v>
      </c>
    </row>
    <row r="290" spans="1:15" ht="31.5" customHeight="1" x14ac:dyDescent="0.2">
      <c r="A290" s="7">
        <v>285</v>
      </c>
      <c r="B290" s="7">
        <v>994</v>
      </c>
      <c r="C290" s="13" t="s">
        <v>2153</v>
      </c>
      <c r="D290" s="7" t="s">
        <v>4707</v>
      </c>
      <c r="E290" s="18" t="s">
        <v>28</v>
      </c>
      <c r="F290" s="3" t="s">
        <v>1106</v>
      </c>
      <c r="G290" s="3" t="s">
        <v>4618</v>
      </c>
      <c r="H290" s="7">
        <f>IFERROR(VLOOKUP(B290,'📊 Problem Tracker'!$B$4:$F$1200,5,FALSE()),"")</f>
        <v>0</v>
      </c>
      <c r="I290" s="7"/>
      <c r="J290" s="7"/>
      <c r="K290" s="3"/>
      <c r="L290" s="228" t="s">
        <v>2155</v>
      </c>
      <c r="M290" s="7" t="s">
        <v>81</v>
      </c>
      <c r="N290" s="176" t="s">
        <v>81</v>
      </c>
      <c r="O290" s="191" t="str">
        <f>HYPERLINK("https://leetcode.com/problems/rotting-oranges/","https://leetcode.com/problems/rotting-oranges/")</f>
        <v>https://leetcode.com/problems/rotting-oranges/</v>
      </c>
    </row>
    <row r="291" spans="1:15" ht="31.5" customHeight="1" x14ac:dyDescent="0.2">
      <c r="A291" s="110">
        <v>286</v>
      </c>
      <c r="B291" s="110">
        <v>1004</v>
      </c>
      <c r="C291" s="111" t="s">
        <v>2159</v>
      </c>
      <c r="D291" s="110" t="s">
        <v>4708</v>
      </c>
      <c r="E291" s="112" t="s">
        <v>28</v>
      </c>
      <c r="F291" s="113" t="s">
        <v>916</v>
      </c>
      <c r="G291" s="113" t="s">
        <v>917</v>
      </c>
      <c r="H291" s="110">
        <f>IFERROR(VLOOKUP(B291,'📊 Problem Tracker'!$B$4:$F$1200,5,FALSE()),"")</f>
        <v>0</v>
      </c>
      <c r="I291" s="110"/>
      <c r="J291" s="110"/>
      <c r="K291" s="113"/>
      <c r="L291" s="267" t="s">
        <v>919</v>
      </c>
      <c r="M291" s="110" t="s">
        <v>24</v>
      </c>
      <c r="N291" s="179" t="s">
        <v>1096</v>
      </c>
      <c r="O291" s="192" t="str">
        <f>HYPERLINK("https://leetcode.com/problems/max-consecutive-ones-iii/","https://leetcode.com/problems/max-consecutive-ones-iii/")</f>
        <v>https://leetcode.com/problems/max-consecutive-ones-iii/</v>
      </c>
    </row>
    <row r="292" spans="1:15" ht="31.5" customHeight="1" x14ac:dyDescent="0.2">
      <c r="A292" s="7">
        <v>287</v>
      </c>
      <c r="B292" s="7">
        <v>1011</v>
      </c>
      <c r="C292" s="13" t="s">
        <v>2165</v>
      </c>
      <c r="D292" s="7" t="s">
        <v>4709</v>
      </c>
      <c r="E292" s="18" t="s">
        <v>28</v>
      </c>
      <c r="F292" s="3" t="s">
        <v>41</v>
      </c>
      <c r="G292" s="3" t="s">
        <v>1801</v>
      </c>
      <c r="H292" s="7">
        <f>IFERROR(VLOOKUP(B292,'📊 Problem Tracker'!$B$4:$F$1200,5,FALSE()),"")</f>
        <v>0</v>
      </c>
      <c r="I292" s="7"/>
      <c r="J292" s="7"/>
      <c r="K292" s="3"/>
      <c r="L292" s="228" t="s">
        <v>513</v>
      </c>
      <c r="M292" s="7" t="s">
        <v>65</v>
      </c>
      <c r="N292" s="176" t="s">
        <v>47</v>
      </c>
      <c r="O292" s="191" t="str">
        <f>HYPERLINK("https://leetcode.com/problems/capacity-to-ship-packages-within-d-days/","https://leetcode.com/problems/capacity-to-ship-packages-within-d-days/")</f>
        <v>https://leetcode.com/problems/capacity-to-ship-packages-within-d-days/</v>
      </c>
    </row>
    <row r="293" spans="1:15" ht="31.5" customHeight="1" x14ac:dyDescent="0.2">
      <c r="A293" s="110">
        <v>288</v>
      </c>
      <c r="B293" s="110">
        <v>1071</v>
      </c>
      <c r="C293" s="111" t="s">
        <v>2219</v>
      </c>
      <c r="D293" s="110" t="s">
        <v>4538</v>
      </c>
      <c r="E293" s="115" t="s">
        <v>20</v>
      </c>
      <c r="F293" s="113" t="s">
        <v>56</v>
      </c>
      <c r="G293" s="113"/>
      <c r="H293" s="110">
        <f>IFERROR(VLOOKUP(B293,'📊 Problem Tracker'!$B$4:$F$1200,5,FALSE()),"")</f>
        <v>0</v>
      </c>
      <c r="I293" s="110"/>
      <c r="J293" s="110"/>
      <c r="K293" s="113"/>
      <c r="L293" s="267" t="s">
        <v>750</v>
      </c>
      <c r="M293" s="110" t="s">
        <v>24</v>
      </c>
      <c r="N293" s="179" t="s">
        <v>24</v>
      </c>
      <c r="O293" s="192" t="str">
        <f>HYPERLINK("https://leetcode.com/problems/greatest-common-divisor-of-strings/","https://leetcode.com/problems/greatest-common-divisor-of-strings/")</f>
        <v>https://leetcode.com/problems/greatest-common-divisor-of-strings/</v>
      </c>
    </row>
    <row r="294" spans="1:15" ht="31.5" customHeight="1" x14ac:dyDescent="0.2">
      <c r="A294" s="7">
        <v>289</v>
      </c>
      <c r="B294" s="7">
        <v>1091</v>
      </c>
      <c r="C294" s="13" t="s">
        <v>2223</v>
      </c>
      <c r="D294" s="7" t="s">
        <v>4517</v>
      </c>
      <c r="E294" s="18" t="s">
        <v>28</v>
      </c>
      <c r="F294" s="3" t="s">
        <v>1106</v>
      </c>
      <c r="G294" s="3" t="s">
        <v>4258</v>
      </c>
      <c r="H294" s="7">
        <f>IFERROR(VLOOKUP(B294,'📊 Problem Tracker'!$B$4:$F$1200,5,FALSE()),"")</f>
        <v>0</v>
      </c>
      <c r="I294" s="7"/>
      <c r="J294" s="7"/>
      <c r="K294" s="3"/>
      <c r="L294" s="228" t="s">
        <v>619</v>
      </c>
      <c r="M294" s="7" t="s">
        <v>81</v>
      </c>
      <c r="N294" s="176" t="s">
        <v>2130</v>
      </c>
      <c r="O294" s="191" t="str">
        <f>HYPERLINK("https://leetcode.com/problems/shortest-path-in-binary-matrix/","https://leetcode.com/problems/shortest-path-in-binary-matrix/")</f>
        <v>https://leetcode.com/problems/shortest-path-in-binary-matrix/</v>
      </c>
    </row>
    <row r="295" spans="1:15" ht="31.5" customHeight="1" x14ac:dyDescent="0.2">
      <c r="A295" s="110">
        <v>290</v>
      </c>
      <c r="B295" s="110">
        <v>1094</v>
      </c>
      <c r="C295" s="111" t="s">
        <v>2225</v>
      </c>
      <c r="D295" s="110" t="s">
        <v>4563</v>
      </c>
      <c r="E295" s="112" t="s">
        <v>28</v>
      </c>
      <c r="F295" s="113" t="s">
        <v>4710</v>
      </c>
      <c r="G295" s="113" t="s">
        <v>4711</v>
      </c>
      <c r="H295" s="110">
        <f>IFERROR(VLOOKUP(B295,'📊 Problem Tracker'!$B$4:$F$1200,5,FALSE()),"")</f>
        <v>0</v>
      </c>
      <c r="I295" s="110"/>
      <c r="J295" s="110"/>
      <c r="K295" s="113"/>
      <c r="L295" s="267" t="s">
        <v>1077</v>
      </c>
      <c r="M295" s="110" t="s">
        <v>24</v>
      </c>
      <c r="N295" s="179" t="s">
        <v>47</v>
      </c>
      <c r="O295" s="192" t="str">
        <f>HYPERLINK("https://leetcode.com/problems/car-pooling/","https://leetcode.com/problems/car-pooling/")</f>
        <v>https://leetcode.com/problems/car-pooling/</v>
      </c>
    </row>
    <row r="296" spans="1:15" ht="31.5" customHeight="1" x14ac:dyDescent="0.2">
      <c r="A296" s="7">
        <v>291</v>
      </c>
      <c r="B296" s="7">
        <v>1101</v>
      </c>
      <c r="C296" s="13" t="s">
        <v>2228</v>
      </c>
      <c r="D296" s="7" t="s">
        <v>4448</v>
      </c>
      <c r="E296" s="18" t="s">
        <v>28</v>
      </c>
      <c r="F296" s="3" t="s">
        <v>1736</v>
      </c>
      <c r="G296" s="3" t="s">
        <v>1736</v>
      </c>
      <c r="H296" s="7">
        <f>IFERROR(VLOOKUP(B296,'📊 Problem Tracker'!$B$4:$F$1200,5,FALSE()),"")</f>
        <v>0</v>
      </c>
      <c r="I296" s="7"/>
      <c r="J296" s="7"/>
      <c r="K296" s="3"/>
      <c r="L296" s="228" t="s">
        <v>2229</v>
      </c>
      <c r="M296" s="7" t="s">
        <v>24</v>
      </c>
      <c r="N296" s="176" t="s">
        <v>24</v>
      </c>
      <c r="O296" s="191" t="str">
        <f>HYPERLINK("https://leetcode.com/problems/the-earliest-moment-when-everyone-become-friends/","https://leetcode.com/problems/the-earliest-moment-when-everyone-become-friends/")</f>
        <v>https://leetcode.com/problems/the-earliest-moment-when-everyone-become-friends/</v>
      </c>
    </row>
    <row r="297" spans="1:15" ht="31.5" customHeight="1" x14ac:dyDescent="0.2">
      <c r="A297" s="110">
        <v>292</v>
      </c>
      <c r="B297" s="110">
        <v>1143</v>
      </c>
      <c r="C297" s="111" t="s">
        <v>2237</v>
      </c>
      <c r="D297" s="110" t="s">
        <v>4712</v>
      </c>
      <c r="E297" s="112" t="s">
        <v>28</v>
      </c>
      <c r="F297" s="113" t="s">
        <v>50</v>
      </c>
      <c r="G297" s="113" t="s">
        <v>4713</v>
      </c>
      <c r="H297" s="110">
        <f>IFERROR(VLOOKUP(B297,'📊 Problem Tracker'!$B$4:$F$1200,5,FALSE()),"")</f>
        <v>0</v>
      </c>
      <c r="I297" s="110"/>
      <c r="J297" s="110"/>
      <c r="K297" s="113"/>
      <c r="L297" s="267" t="s">
        <v>2240</v>
      </c>
      <c r="M297" s="110" t="s">
        <v>24</v>
      </c>
      <c r="N297" s="179" t="s">
        <v>24</v>
      </c>
      <c r="O297" s="192" t="str">
        <f>HYPERLINK("https://leetcode.com/problems/longest-common-subsequence/","https://leetcode.com/problems/longest-common-subsequence/")</f>
        <v>https://leetcode.com/problems/longest-common-subsequence/</v>
      </c>
    </row>
    <row r="298" spans="1:15" ht="31.5" customHeight="1" x14ac:dyDescent="0.2">
      <c r="A298" s="7">
        <v>293</v>
      </c>
      <c r="B298" s="7">
        <v>1207</v>
      </c>
      <c r="C298" s="13" t="s">
        <v>2285</v>
      </c>
      <c r="D298" s="7" t="s">
        <v>4714</v>
      </c>
      <c r="E298" s="21" t="s">
        <v>20</v>
      </c>
      <c r="F298" s="3" t="s">
        <v>19</v>
      </c>
      <c r="G298" s="3" t="s">
        <v>4244</v>
      </c>
      <c r="H298" s="7">
        <f>IFERROR(VLOOKUP(B298,'📊 Problem Tracker'!$B$4:$F$1200,5,FALSE()),"")</f>
        <v>0</v>
      </c>
      <c r="I298" s="7"/>
      <c r="J298" s="7"/>
      <c r="K298" s="3"/>
      <c r="L298" s="228" t="s">
        <v>705</v>
      </c>
      <c r="M298" s="7" t="s">
        <v>24</v>
      </c>
      <c r="N298" s="176" t="s">
        <v>24</v>
      </c>
      <c r="O298" s="191" t="str">
        <f>HYPERLINK("https://leetcode.com/problems/unique-number-of-occurrences/","https://leetcode.com/problems/unique-number-of-occurrences/")</f>
        <v>https://leetcode.com/problems/unique-number-of-occurrences/</v>
      </c>
    </row>
    <row r="299" spans="1:15" ht="31.5" customHeight="1" x14ac:dyDescent="0.2">
      <c r="A299" s="110">
        <v>294</v>
      </c>
      <c r="B299" s="110">
        <v>1277</v>
      </c>
      <c r="C299" s="111" t="s">
        <v>2353</v>
      </c>
      <c r="D299" s="110" t="s">
        <v>4715</v>
      </c>
      <c r="E299" s="112" t="s">
        <v>28</v>
      </c>
      <c r="F299" s="113" t="s">
        <v>360</v>
      </c>
      <c r="G299" s="113" t="s">
        <v>4716</v>
      </c>
      <c r="H299" s="110">
        <f>IFERROR(VLOOKUP(B299,'📊 Problem Tracker'!$B$4:$F$1200,5,FALSE()),"")</f>
        <v>0</v>
      </c>
      <c r="I299" s="110"/>
      <c r="J299" s="110"/>
      <c r="K299" s="113"/>
      <c r="L299" s="267" t="s">
        <v>508</v>
      </c>
      <c r="M299" s="110" t="s">
        <v>363</v>
      </c>
      <c r="N299" s="179" t="s">
        <v>47</v>
      </c>
      <c r="O299" s="192" t="str">
        <f>HYPERLINK("https://leetcode.com/problems/count-square-submatrices-with-all-ones/","https://leetcode.com/problems/count-square-submatrices-with-all-ones/")</f>
        <v>https://leetcode.com/problems/count-square-submatrices-with-all-ones/</v>
      </c>
    </row>
    <row r="300" spans="1:15" ht="31.5" customHeight="1" x14ac:dyDescent="0.2">
      <c r="A300" s="7">
        <v>295</v>
      </c>
      <c r="B300" s="7">
        <v>1378</v>
      </c>
      <c r="C300" s="13" t="s">
        <v>2435</v>
      </c>
      <c r="D300" s="7" t="s">
        <v>4717</v>
      </c>
      <c r="E300" s="21" t="s">
        <v>20</v>
      </c>
      <c r="F300" s="3" t="s">
        <v>19</v>
      </c>
      <c r="G300" s="3" t="s">
        <v>4244</v>
      </c>
      <c r="H300" s="7">
        <f>IFERROR(VLOOKUP(B300,'📊 Problem Tracker'!$B$4:$F$1200,5,FALSE()),"")</f>
        <v>0</v>
      </c>
      <c r="I300" s="7"/>
      <c r="J300" s="7"/>
      <c r="K300" s="3"/>
      <c r="L300" s="228" t="s">
        <v>705</v>
      </c>
      <c r="M300" s="7" t="s">
        <v>24</v>
      </c>
      <c r="N300" s="176" t="s">
        <v>24</v>
      </c>
      <c r="O300" s="191" t="str">
        <f>HYPERLINK("https://leetcode.com/problems/replace-employee-id-with-the-unique-identifier/","https://leetcode.com/problems/replace-employee-id-with-the-unique-identifier/")</f>
        <v>https://leetcode.com/problems/replace-employee-id-with-the-unique-identifier/</v>
      </c>
    </row>
    <row r="301" spans="1:15" ht="31.5" customHeight="1" x14ac:dyDescent="0.2">
      <c r="A301" s="110">
        <v>296</v>
      </c>
      <c r="B301" s="110">
        <v>1480</v>
      </c>
      <c r="C301" s="111" t="s">
        <v>2502</v>
      </c>
      <c r="D301" s="110" t="s">
        <v>4718</v>
      </c>
      <c r="E301" s="115" t="s">
        <v>20</v>
      </c>
      <c r="F301" s="113" t="s">
        <v>1009</v>
      </c>
      <c r="G301" s="113" t="s">
        <v>4316</v>
      </c>
      <c r="H301" s="110">
        <f>IFERROR(VLOOKUP(B301,'📊 Problem Tracker'!$B$4:$F$1200,5,FALSE()),"")</f>
        <v>0</v>
      </c>
      <c r="I301" s="110"/>
      <c r="J301" s="110"/>
      <c r="K301" s="113"/>
      <c r="L301" s="267" t="s">
        <v>654</v>
      </c>
      <c r="M301" s="110" t="s">
        <v>24</v>
      </c>
      <c r="N301" s="179" t="s">
        <v>1100</v>
      </c>
      <c r="O301" s="192" t="str">
        <f>HYPERLINK("https://leetcode.com/problems/running-sum-of-1d-array/","https://leetcode.com/problems/running-sum-of-1d-array/")</f>
        <v>https://leetcode.com/problems/running-sum-of-1d-array/</v>
      </c>
    </row>
    <row r="302" spans="1:15" ht="31.5" customHeight="1" x14ac:dyDescent="0.2">
      <c r="A302" s="7">
        <v>297</v>
      </c>
      <c r="B302" s="7">
        <v>1482</v>
      </c>
      <c r="C302" s="13" t="s">
        <v>2504</v>
      </c>
      <c r="D302" s="7" t="s">
        <v>4614</v>
      </c>
      <c r="E302" s="18" t="s">
        <v>28</v>
      </c>
      <c r="F302" s="3" t="s">
        <v>41</v>
      </c>
      <c r="G302" s="3" t="s">
        <v>1801</v>
      </c>
      <c r="H302" s="7">
        <f>IFERROR(VLOOKUP(B302,'📊 Problem Tracker'!$B$4:$F$1200,5,FALSE()),"")</f>
        <v>0</v>
      </c>
      <c r="I302" s="7"/>
      <c r="J302" s="7"/>
      <c r="K302" s="3"/>
      <c r="L302" s="228" t="s">
        <v>513</v>
      </c>
      <c r="M302" s="7" t="s">
        <v>2364</v>
      </c>
      <c r="N302" s="176" t="s">
        <v>47</v>
      </c>
      <c r="O302" s="191" t="str">
        <f>HYPERLINK("https://leetcode.com/problems/minimum-number-of-days-to-make-m-bouquets/","https://leetcode.com/problems/minimum-number-of-days-to-make-m-bouquets/")</f>
        <v>https://leetcode.com/problems/minimum-number-of-days-to-make-m-bouquets/</v>
      </c>
    </row>
    <row r="303" spans="1:15" ht="31.5" customHeight="1" x14ac:dyDescent="0.2">
      <c r="A303" s="110">
        <v>298</v>
      </c>
      <c r="B303" s="110">
        <v>1584</v>
      </c>
      <c r="C303" s="111" t="s">
        <v>2561</v>
      </c>
      <c r="D303" s="110" t="s">
        <v>4443</v>
      </c>
      <c r="E303" s="112" t="s">
        <v>28</v>
      </c>
      <c r="F303" s="113" t="s">
        <v>4336</v>
      </c>
      <c r="G303" s="113" t="s">
        <v>4719</v>
      </c>
      <c r="H303" s="110">
        <f>IFERROR(VLOOKUP(B303,'📊 Problem Tracker'!$B$4:$F$1200,5,FALSE()),"")</f>
        <v>0</v>
      </c>
      <c r="I303" s="110"/>
      <c r="J303" s="110"/>
      <c r="K303" s="113"/>
      <c r="L303" s="267" t="s">
        <v>619</v>
      </c>
      <c r="M303" s="110" t="s">
        <v>648</v>
      </c>
      <c r="N303" s="179" t="s">
        <v>648</v>
      </c>
      <c r="O303" s="192" t="str">
        <f>HYPERLINK("https://leetcode.com/problems/min-cost-to-connect-all-points/","https://leetcode.com/problems/min-cost-to-connect-all-points/")</f>
        <v>https://leetcode.com/problems/min-cost-to-connect-all-points/</v>
      </c>
    </row>
    <row r="304" spans="1:15" ht="31.5" customHeight="1" x14ac:dyDescent="0.2">
      <c r="A304" s="7">
        <v>299</v>
      </c>
      <c r="B304" s="7">
        <v>1661</v>
      </c>
      <c r="C304" s="13" t="s">
        <v>2616</v>
      </c>
      <c r="D304" s="7" t="s">
        <v>4495</v>
      </c>
      <c r="E304" s="21" t="s">
        <v>20</v>
      </c>
      <c r="F304" s="3" t="s">
        <v>166</v>
      </c>
      <c r="G304" s="3" t="s">
        <v>796</v>
      </c>
      <c r="H304" s="7">
        <f>IFERROR(VLOOKUP(B304,'📊 Problem Tracker'!$B$4:$F$1200,5,FALSE()),"")</f>
        <v>0</v>
      </c>
      <c r="I304" s="7"/>
      <c r="J304" s="7"/>
      <c r="K304" s="3"/>
      <c r="L304" s="228" t="s">
        <v>654</v>
      </c>
      <c r="M304" s="7" t="s">
        <v>24</v>
      </c>
      <c r="N304" s="176" t="s">
        <v>24</v>
      </c>
      <c r="O304" s="191" t="str">
        <f>HYPERLINK("https://leetcode.com/problems/average-time-of-process-per-machine/","https://leetcode.com/problems/average-time-of-process-per-machine/")</f>
        <v>https://leetcode.com/problems/average-time-of-process-per-machine/</v>
      </c>
    </row>
    <row r="305" spans="1:15" ht="31.5" customHeight="1" x14ac:dyDescent="0.2">
      <c r="A305" s="110">
        <v>300</v>
      </c>
      <c r="B305" s="110">
        <v>1757</v>
      </c>
      <c r="C305" s="111" t="s">
        <v>2691</v>
      </c>
      <c r="D305" s="110" t="s">
        <v>4720</v>
      </c>
      <c r="E305" s="115" t="s">
        <v>20</v>
      </c>
      <c r="F305" s="113" t="s">
        <v>166</v>
      </c>
      <c r="G305" s="113" t="s">
        <v>796</v>
      </c>
      <c r="H305" s="110">
        <f>IFERROR(VLOOKUP(B305,'📊 Problem Tracker'!$B$4:$F$1200,5,FALSE()),"")</f>
        <v>0</v>
      </c>
      <c r="I305" s="110"/>
      <c r="J305" s="110"/>
      <c r="K305" s="113"/>
      <c r="L305" s="267" t="s">
        <v>654</v>
      </c>
      <c r="M305" s="110" t="s">
        <v>24</v>
      </c>
      <c r="N305" s="179" t="s">
        <v>24</v>
      </c>
      <c r="O305" s="192" t="str">
        <f>HYPERLINK("https://leetcode.com/problems/recyclable-and-low-fat-products/","https://leetcode.com/problems/recyclable-and-low-fat-products/")</f>
        <v>https://leetcode.com/problems/recyclable-and-low-fat-products/</v>
      </c>
    </row>
    <row r="306" spans="1:15" ht="31.5" customHeight="1" x14ac:dyDescent="0.2">
      <c r="A306" s="7">
        <v>301</v>
      </c>
      <c r="B306" s="7">
        <v>1768</v>
      </c>
      <c r="C306" s="13" t="s">
        <v>2701</v>
      </c>
      <c r="D306" s="7" t="s">
        <v>4721</v>
      </c>
      <c r="E306" s="21" t="s">
        <v>20</v>
      </c>
      <c r="F306" s="3" t="s">
        <v>611</v>
      </c>
      <c r="G306" s="3" t="s">
        <v>689</v>
      </c>
      <c r="H306" s="7">
        <f>IFERROR(VLOOKUP(B306,'📊 Problem Tracker'!$B$4:$F$1200,5,FALSE()),"")</f>
        <v>0</v>
      </c>
      <c r="I306" s="7"/>
      <c r="J306" s="7"/>
      <c r="K306" s="3"/>
      <c r="L306" s="228" t="s">
        <v>690</v>
      </c>
      <c r="M306" s="7" t="s">
        <v>24</v>
      </c>
      <c r="N306" s="176" t="s">
        <v>1096</v>
      </c>
      <c r="O306" s="191" t="str">
        <f>HYPERLINK("https://leetcode.com/problems/merge-strings-alternately/","https://leetcode.com/problems/merge-strings-alternately/")</f>
        <v>https://leetcode.com/problems/merge-strings-alternately/</v>
      </c>
    </row>
    <row r="307" spans="1:15" ht="31.5" customHeight="1" x14ac:dyDescent="0.2">
      <c r="A307" s="110">
        <v>302</v>
      </c>
      <c r="B307" s="110">
        <v>1838</v>
      </c>
      <c r="C307" s="111" t="s">
        <v>2724</v>
      </c>
      <c r="D307" s="110" t="s">
        <v>4722</v>
      </c>
      <c r="E307" s="112" t="s">
        <v>28</v>
      </c>
      <c r="F307" s="113" t="s">
        <v>4584</v>
      </c>
      <c r="G307" s="113" t="s">
        <v>917</v>
      </c>
      <c r="H307" s="110">
        <f>IFERROR(VLOOKUP(B307,'📊 Problem Tracker'!$B$4:$F$1200,5,FALSE()),"")</f>
        <v>0</v>
      </c>
      <c r="I307" s="110"/>
      <c r="J307" s="110"/>
      <c r="K307" s="113"/>
      <c r="L307" s="267" t="s">
        <v>919</v>
      </c>
      <c r="M307" s="110" t="s">
        <v>326</v>
      </c>
      <c r="N307" s="179" t="s">
        <v>47</v>
      </c>
      <c r="O307" s="192" t="str">
        <f>HYPERLINK("https://leetcode.com/problems/frequency-of-the-most-frequent-element/","https://leetcode.com/problems/frequency-of-the-most-frequent-element/")</f>
        <v>https://leetcode.com/problems/frequency-of-the-most-frequent-element/</v>
      </c>
    </row>
    <row r="308" spans="1:15" ht="31.5" customHeight="1" x14ac:dyDescent="0.2">
      <c r="A308" s="7">
        <v>303</v>
      </c>
      <c r="B308" s="7">
        <v>1922</v>
      </c>
      <c r="C308" s="13" t="s">
        <v>2792</v>
      </c>
      <c r="D308" s="7" t="s">
        <v>4562</v>
      </c>
      <c r="E308" s="18" t="s">
        <v>28</v>
      </c>
      <c r="F308" s="3" t="s">
        <v>62</v>
      </c>
      <c r="G308" s="3" t="s">
        <v>4723</v>
      </c>
      <c r="H308" s="7">
        <f>IFERROR(VLOOKUP(B308,'📊 Problem Tracker'!$B$4:$F$1200,5,FALSE()),"")</f>
        <v>0</v>
      </c>
      <c r="I308" s="7"/>
      <c r="J308" s="7"/>
      <c r="K308" s="3"/>
      <c r="L308" s="228" t="s">
        <v>230</v>
      </c>
      <c r="M308" s="7" t="s">
        <v>24</v>
      </c>
      <c r="N308" s="176" t="s">
        <v>24</v>
      </c>
      <c r="O308" s="191" t="str">
        <f>HYPERLINK("https://leetcode.com/problems/count-good-numbers/","https://leetcode.com/problems/count-good-numbers/")</f>
        <v>https://leetcode.com/problems/count-good-numbers/</v>
      </c>
    </row>
    <row r="309" spans="1:15" ht="31.5" customHeight="1" x14ac:dyDescent="0.2">
      <c r="A309" s="110">
        <v>304</v>
      </c>
      <c r="B309" s="110">
        <v>1929</v>
      </c>
      <c r="C309" s="111" t="s">
        <v>2796</v>
      </c>
      <c r="D309" s="110" t="s">
        <v>4724</v>
      </c>
      <c r="E309" s="115" t="s">
        <v>20</v>
      </c>
      <c r="F309" s="113" t="s">
        <v>166</v>
      </c>
      <c r="G309" s="113"/>
      <c r="H309" s="110">
        <f>IFERROR(VLOOKUP(B309,'📊 Problem Tracker'!$B$4:$F$1200,5,FALSE()),"")</f>
        <v>0</v>
      </c>
      <c r="I309" s="110"/>
      <c r="J309" s="110"/>
      <c r="K309" s="113"/>
      <c r="L309" s="267" t="s">
        <v>654</v>
      </c>
      <c r="M309" s="110" t="s">
        <v>24</v>
      </c>
      <c r="N309" s="179" t="s">
        <v>1100</v>
      </c>
      <c r="O309" s="192" t="str">
        <f>HYPERLINK("https://leetcode.com/problems/concatenation-of-array/","https://leetcode.com/problems/concatenation-of-array/")</f>
        <v>https://leetcode.com/problems/concatenation-of-array/</v>
      </c>
    </row>
    <row r="310" spans="1:15" ht="31.5" customHeight="1" x14ac:dyDescent="0.2">
      <c r="A310" s="7">
        <v>305</v>
      </c>
      <c r="B310" s="7">
        <v>2235</v>
      </c>
      <c r="C310" s="13" t="s">
        <v>2886</v>
      </c>
      <c r="D310" s="7" t="s">
        <v>4725</v>
      </c>
      <c r="E310" s="21" t="s">
        <v>20</v>
      </c>
      <c r="F310" s="3" t="s">
        <v>62</v>
      </c>
      <c r="G310" s="3" t="s">
        <v>62</v>
      </c>
      <c r="H310" s="7">
        <f>IFERROR(VLOOKUP(B310,'📊 Problem Tracker'!$B$4:$F$1200,5,FALSE()),"")</f>
        <v>0</v>
      </c>
      <c r="I310" s="7"/>
      <c r="J310" s="7"/>
      <c r="K310" s="3"/>
      <c r="L310" s="228" t="s">
        <v>230</v>
      </c>
      <c r="M310" s="7" t="s">
        <v>24</v>
      </c>
      <c r="N310" s="176" t="s">
        <v>24</v>
      </c>
      <c r="O310" s="191" t="str">
        <f>HYPERLINK("https://leetcode.com/problems/add-two-integers/","https://leetcode.com/problems/add-two-integers/")</f>
        <v>https://leetcode.com/problems/add-two-integers/</v>
      </c>
    </row>
    <row r="311" spans="1:15" ht="31.5" customHeight="1" x14ac:dyDescent="0.2">
      <c r="A311" s="110">
        <v>306</v>
      </c>
      <c r="B311" s="110">
        <v>2402</v>
      </c>
      <c r="C311" s="111" t="s">
        <v>2939</v>
      </c>
      <c r="D311" s="110" t="s">
        <v>4517</v>
      </c>
      <c r="E311" s="114" t="s">
        <v>42</v>
      </c>
      <c r="F311" s="113" t="s">
        <v>2940</v>
      </c>
      <c r="G311" s="113" t="s">
        <v>4353</v>
      </c>
      <c r="H311" s="110">
        <f>IFERROR(VLOOKUP(B311,'📊 Problem Tracker'!$B$4:$F$1200,5,FALSE()),"")</f>
        <v>0</v>
      </c>
      <c r="I311" s="110"/>
      <c r="J311" s="110"/>
      <c r="K311" s="113"/>
      <c r="L311" s="267" t="s">
        <v>959</v>
      </c>
      <c r="M311" s="110" t="s">
        <v>960</v>
      </c>
      <c r="N311" s="179" t="s">
        <v>153</v>
      </c>
      <c r="O311" s="192" t="str">
        <f>HYPERLINK("https://leetcode.com/problems/meeting-rooms-iii/","https://leetcode.com/problems/meeting-rooms-iii/")</f>
        <v>https://leetcode.com/problems/meeting-rooms-iii/</v>
      </c>
    </row>
    <row r="312" spans="1:15" ht="31.5" customHeight="1" x14ac:dyDescent="0.2">
      <c r="A312" s="7">
        <v>307</v>
      </c>
      <c r="B312" s="7">
        <v>2667</v>
      </c>
      <c r="C312" s="13" t="s">
        <v>3014</v>
      </c>
      <c r="D312" s="7" t="s">
        <v>4480</v>
      </c>
      <c r="E312" s="21" t="s">
        <v>20</v>
      </c>
      <c r="F312" s="3" t="s">
        <v>166</v>
      </c>
      <c r="G312" s="3" t="s">
        <v>3002</v>
      </c>
      <c r="H312" s="7">
        <f>IFERROR(VLOOKUP(B312,'📊 Problem Tracker'!$B$4:$F$1200,5,FALSE()),"")</f>
        <v>0</v>
      </c>
      <c r="I312" s="7"/>
      <c r="J312" s="7"/>
      <c r="K312" s="3"/>
      <c r="L312" s="228" t="s">
        <v>654</v>
      </c>
      <c r="M312" s="7" t="s">
        <v>47</v>
      </c>
      <c r="N312" s="176" t="s">
        <v>47</v>
      </c>
      <c r="O312" s="191" t="str">
        <f>HYPERLINK("https://leetcode.com/problems/create-hello-world-function/","https://leetcode.com/problems/create-hello-world-function/")</f>
        <v>https://leetcode.com/problems/create-hello-world-function/</v>
      </c>
    </row>
    <row r="313" spans="1:15" ht="31.5" customHeight="1" x14ac:dyDescent="0.2">
      <c r="A313" s="110">
        <v>308</v>
      </c>
      <c r="B313" s="110">
        <v>2704</v>
      </c>
      <c r="C313" s="111" t="s">
        <v>3026</v>
      </c>
      <c r="D313" s="110" t="s">
        <v>4726</v>
      </c>
      <c r="E313" s="115" t="s">
        <v>20</v>
      </c>
      <c r="F313" s="113" t="s">
        <v>166</v>
      </c>
      <c r="G313" s="113" t="s">
        <v>3002</v>
      </c>
      <c r="H313" s="110">
        <f>IFERROR(VLOOKUP(B313,'📊 Problem Tracker'!$B$4:$F$1200,5,FALSE()),"")</f>
        <v>0</v>
      </c>
      <c r="I313" s="110"/>
      <c r="J313" s="110"/>
      <c r="K313" s="113"/>
      <c r="L313" s="267" t="s">
        <v>654</v>
      </c>
      <c r="M313" s="110" t="s">
        <v>47</v>
      </c>
      <c r="N313" s="179" t="s">
        <v>47</v>
      </c>
      <c r="O313" s="192" t="str">
        <f>HYPERLINK("https://leetcode.com/problems/to-be-or-not-to-be/","https://leetcode.com/problems/to-be-or-not-to-be/")</f>
        <v>https://leetcode.com/problems/to-be-or-not-to-be/</v>
      </c>
    </row>
    <row r="314" spans="1:15" ht="19.5" customHeight="1" x14ac:dyDescent="0.2">
      <c r="M314" s="52"/>
      <c r="N314" s="52"/>
      <c r="O314" s="184"/>
    </row>
    <row r="315" spans="1:15" ht="19.5" customHeight="1" x14ac:dyDescent="0.2">
      <c r="M315" s="52"/>
      <c r="N315" s="52"/>
      <c r="O315" s="185"/>
    </row>
    <row r="316" spans="1:15" ht="19.5" customHeight="1" x14ac:dyDescent="0.2">
      <c r="A316" s="293" t="s">
        <v>4727</v>
      </c>
      <c r="B316" s="292"/>
      <c r="C316" s="292"/>
      <c r="D316" s="292"/>
      <c r="E316" s="292"/>
      <c r="F316" s="292"/>
      <c r="G316" s="292"/>
      <c r="H316" s="292"/>
      <c r="I316" s="292"/>
      <c r="J316" s="292"/>
      <c r="K316" s="292"/>
      <c r="M316" s="52"/>
      <c r="N316" s="52"/>
      <c r="O316" s="184"/>
    </row>
    <row r="317" spans="1:15" ht="31.5" customHeight="1" x14ac:dyDescent="0.2">
      <c r="A317" s="7" t="s">
        <v>4235</v>
      </c>
      <c r="B317" s="7">
        <v>308</v>
      </c>
      <c r="C317" s="13" t="s">
        <v>1157</v>
      </c>
      <c r="D317" s="7"/>
      <c r="E317" s="14"/>
      <c r="F317" s="3"/>
      <c r="G317" s="3"/>
      <c r="H317" s="7">
        <f>IFERROR(VLOOKUP(B317,'📊 Problem Tracker'!$B$4:$F$1200,5,FALSE()),"")</f>
        <v>0</v>
      </c>
      <c r="I317" s="7"/>
      <c r="J317" s="7"/>
      <c r="K317" s="3"/>
      <c r="L317" s="228" t="s">
        <v>4239</v>
      </c>
      <c r="M317" s="7" t="s">
        <v>4728</v>
      </c>
      <c r="N317" s="176" t="s">
        <v>81</v>
      </c>
      <c r="O317" s="185"/>
    </row>
    <row r="318" spans="1:15" ht="31.5" customHeight="1" x14ac:dyDescent="0.2">
      <c r="A318" s="110" t="s">
        <v>20</v>
      </c>
      <c r="B318" s="110">
        <v>91</v>
      </c>
      <c r="C318" s="111" t="s">
        <v>490</v>
      </c>
      <c r="D318" s="110"/>
      <c r="E318" s="116"/>
      <c r="F318" s="113"/>
      <c r="G318" s="113"/>
      <c r="H318" s="110">
        <f>IFERROR(VLOOKUP(B318,'📊 Problem Tracker'!$B$4:$F$1200,5,FALSE()),"")</f>
        <v>0</v>
      </c>
      <c r="I318" s="110"/>
      <c r="J318" s="110"/>
      <c r="K318" s="113"/>
      <c r="L318" s="267" t="s">
        <v>492</v>
      </c>
      <c r="M318" s="110" t="s">
        <v>24</v>
      </c>
      <c r="N318" s="179" t="s">
        <v>47</v>
      </c>
      <c r="O318" s="184"/>
    </row>
    <row r="319" spans="1:15" ht="31.5" customHeight="1" x14ac:dyDescent="0.2">
      <c r="A319" s="7" t="s">
        <v>28</v>
      </c>
      <c r="B319" s="7">
        <v>174</v>
      </c>
      <c r="C319" s="13" t="s">
        <v>790</v>
      </c>
      <c r="D319" s="7"/>
      <c r="E319" s="14"/>
      <c r="F319" s="3"/>
      <c r="G319" s="3"/>
      <c r="H319" s="7">
        <f>IFERROR(VLOOKUP(B319,'📊 Problem Tracker'!$B$4:$F$1200,5,FALSE()),"")</f>
        <v>0</v>
      </c>
      <c r="I319" s="7"/>
      <c r="J319" s="7"/>
      <c r="K319" s="3"/>
      <c r="L319" s="228" t="s">
        <v>4239</v>
      </c>
      <c r="M319" s="7" t="s">
        <v>81</v>
      </c>
      <c r="N319" s="176" t="s">
        <v>81</v>
      </c>
      <c r="O319" s="185"/>
    </row>
    <row r="320" spans="1:15" ht="31.5" customHeight="1" x14ac:dyDescent="0.2">
      <c r="A320" s="110" t="s">
        <v>42</v>
      </c>
      <c r="B320" s="110">
        <v>43</v>
      </c>
      <c r="C320" s="111" t="s">
        <v>256</v>
      </c>
      <c r="D320" s="110"/>
      <c r="E320" s="116"/>
      <c r="F320" s="113"/>
      <c r="G320" s="113"/>
      <c r="H320" s="110">
        <f>IFERROR(VLOOKUP(B320,'📊 Problem Tracker'!$B$4:$F$1200,5,FALSE()),"")</f>
        <v>0</v>
      </c>
      <c r="I320" s="110"/>
      <c r="J320" s="110"/>
      <c r="K320" s="113"/>
      <c r="L320" s="267" t="s">
        <v>258</v>
      </c>
      <c r="M320" s="110" t="s">
        <v>81</v>
      </c>
      <c r="N320" s="179" t="s">
        <v>259</v>
      </c>
      <c r="O320" s="184"/>
    </row>
  </sheetData>
  <autoFilter ref="A5:O5" xr:uid="{00000000-0001-0000-0E00-000000000000}"/>
  <mergeCells count="4">
    <mergeCell ref="A4:K4"/>
    <mergeCell ref="A316:K316"/>
    <mergeCell ref="A1:K2"/>
    <mergeCell ref="A3:K3"/>
  </mergeCells>
  <hyperlinks>
    <hyperlink ref="O6" r:id="rId1" display="https://leetcode.com/problems/two-sum/" xr:uid="{00000000-0004-0000-0E00-000000000000}"/>
    <hyperlink ref="O7" r:id="rId2" display="https://leetcode.com/problems/add-two-numbers/" xr:uid="{00000000-0004-0000-0E00-000001000000}"/>
    <hyperlink ref="O8" r:id="rId3" display="https://leetcode.com/problems/longest-substring-without-repeating-characters/" xr:uid="{00000000-0004-0000-0E00-000002000000}"/>
    <hyperlink ref="O9" r:id="rId4" display="https://leetcode.com/problems/median-of-two-sorted-arrays/" xr:uid="{00000000-0004-0000-0E00-000003000000}"/>
    <hyperlink ref="O10" r:id="rId5" display="https://leetcode.com/problems/longest-palindromic-substring/" xr:uid="{00000000-0004-0000-0E00-000004000000}"/>
    <hyperlink ref="O11" r:id="rId6" display="https://leetcode.com/problems/zigzag-conversion/" xr:uid="{00000000-0004-0000-0E00-000005000000}"/>
    <hyperlink ref="O12" r:id="rId7" display="https://leetcode.com/problems/reverse-integer/" xr:uid="{00000000-0004-0000-0E00-000006000000}"/>
    <hyperlink ref="O13" r:id="rId8" display="https://leetcode.com/problems/string-to-integer-atoi/" xr:uid="{00000000-0004-0000-0E00-000007000000}"/>
    <hyperlink ref="O14" r:id="rId9" display="https://leetcode.com/problems/palindrome-number/" xr:uid="{00000000-0004-0000-0E00-000008000000}"/>
    <hyperlink ref="O15" r:id="rId10" display="https://leetcode.com/problems/regular-expression-matching/" xr:uid="{00000000-0004-0000-0E00-000009000000}"/>
    <hyperlink ref="O16" r:id="rId11" display="https://leetcode.com/problems/container-with-most-water/" xr:uid="{00000000-0004-0000-0E00-00000A000000}"/>
    <hyperlink ref="O17" r:id="rId12" display="https://leetcode.com/problems/integer-to-roman/" xr:uid="{00000000-0004-0000-0E00-00000B000000}"/>
    <hyperlink ref="O18" r:id="rId13" display="https://leetcode.com/problems/roman-to-integer/" xr:uid="{00000000-0004-0000-0E00-00000C000000}"/>
    <hyperlink ref="O19" r:id="rId14" display="https://leetcode.com/problems/longest-common-prefix/" xr:uid="{00000000-0004-0000-0E00-00000D000000}"/>
    <hyperlink ref="O20" r:id="rId15" display="https://leetcode.com/problems/3sum/" xr:uid="{00000000-0004-0000-0E00-00000E000000}"/>
    <hyperlink ref="O21" r:id="rId16" display="https://leetcode.com/problems/3sum-closest/" xr:uid="{00000000-0004-0000-0E00-00000F000000}"/>
    <hyperlink ref="O22" r:id="rId17" display="https://leetcode.com/problems/letter-combinations-of-a-phone-number/" xr:uid="{00000000-0004-0000-0E00-000010000000}"/>
    <hyperlink ref="O23" r:id="rId18" display="https://leetcode.com/problems/4sum/" xr:uid="{00000000-0004-0000-0E00-000011000000}"/>
    <hyperlink ref="O24" r:id="rId19" display="https://leetcode.com/problems/remove-nth-node-from-end-of-list/" xr:uid="{00000000-0004-0000-0E00-000012000000}"/>
    <hyperlink ref="O25" r:id="rId20" display="https://leetcode.com/problems/valid-parentheses/" xr:uid="{00000000-0004-0000-0E00-000013000000}"/>
    <hyperlink ref="O26" r:id="rId21" display="https://leetcode.com/problems/merge-two-sorted-lists/" xr:uid="{00000000-0004-0000-0E00-000014000000}"/>
    <hyperlink ref="O27" r:id="rId22" display="https://leetcode.com/problems/generate-parentheses/" xr:uid="{00000000-0004-0000-0E00-000015000000}"/>
    <hyperlink ref="O28" r:id="rId23" display="https://leetcode.com/problems/merge-k-sorted-lists/" xr:uid="{00000000-0004-0000-0E00-000016000000}"/>
    <hyperlink ref="O29" r:id="rId24" display="https://leetcode.com/problems/swap-nodes-in-pairs/" xr:uid="{00000000-0004-0000-0E00-000017000000}"/>
    <hyperlink ref="O30" r:id="rId25" display="https://leetcode.com/problems/reverse-nodes-in-k-group/" xr:uid="{00000000-0004-0000-0E00-000018000000}"/>
    <hyperlink ref="O31" r:id="rId26" display="https://leetcode.com/problems/remove-duplicates-from-sorted-array/" xr:uid="{00000000-0004-0000-0E00-000019000000}"/>
    <hyperlink ref="O32" r:id="rId27" display="https://leetcode.com/problems/remove-element/" xr:uid="{00000000-0004-0000-0E00-00001A000000}"/>
    <hyperlink ref="O33" r:id="rId28" display="https://leetcode.com/problems/find-the-index-of-the-first-occurrence-in-a-string/" xr:uid="{00000000-0004-0000-0E00-00001B000000}"/>
    <hyperlink ref="O34" r:id="rId29" display="https://leetcode.com/problems/divide-two-integers/" xr:uid="{00000000-0004-0000-0E00-00001C000000}"/>
    <hyperlink ref="O35" r:id="rId30" display="https://leetcode.com/problems/next-permutation/" xr:uid="{00000000-0004-0000-0E00-00001D000000}"/>
    <hyperlink ref="O36" r:id="rId31" display="https://leetcode.com/problems/longest-valid-parentheses/" xr:uid="{00000000-0004-0000-0E00-00001E000000}"/>
    <hyperlink ref="O37" r:id="rId32" display="https://leetcode.com/problems/search-in-rotated-sorted-array/" xr:uid="{00000000-0004-0000-0E00-00001F000000}"/>
    <hyperlink ref="O38" r:id="rId33" display="https://leetcode.com/problems/find-first-and-last-position-of-element-in-sorted-array/" xr:uid="{00000000-0004-0000-0E00-000020000000}"/>
    <hyperlink ref="O39" r:id="rId34" display="https://leetcode.com/problems/search-insert-position/" xr:uid="{00000000-0004-0000-0E00-000021000000}"/>
    <hyperlink ref="O40" r:id="rId35" display="https://leetcode.com/problems/valid-sudoku/" xr:uid="{00000000-0004-0000-0E00-000022000000}"/>
    <hyperlink ref="O41" r:id="rId36" display="https://leetcode.com/problems/sudoku-solver/" xr:uid="{00000000-0004-0000-0E00-000023000000}"/>
    <hyperlink ref="O42" r:id="rId37" display="https://leetcode.com/problems/count-and-say/" xr:uid="{00000000-0004-0000-0E00-000024000000}"/>
    <hyperlink ref="O43" r:id="rId38" display="https://leetcode.com/problems/combination-sum/" xr:uid="{00000000-0004-0000-0E00-000025000000}"/>
    <hyperlink ref="O44" r:id="rId39" display="https://leetcode.com/problems/combination-sum-ii/" xr:uid="{00000000-0004-0000-0E00-000026000000}"/>
    <hyperlink ref="O45" r:id="rId40" display="https://leetcode.com/problems/first-missing-positive/" xr:uid="{00000000-0004-0000-0E00-000027000000}"/>
    <hyperlink ref="O46" r:id="rId41" display="https://leetcode.com/problems/trapping-rain-water/" xr:uid="{00000000-0004-0000-0E00-000028000000}"/>
    <hyperlink ref="O47" r:id="rId42" display="https://leetcode.com/problems/multiply-strings/" xr:uid="{00000000-0004-0000-0E00-000029000000}"/>
    <hyperlink ref="O48" r:id="rId43" display="https://leetcode.com/problems/wildcard-matching/" xr:uid="{00000000-0004-0000-0E00-00002A000000}"/>
    <hyperlink ref="O49" r:id="rId44" display="https://leetcode.com/problems/jump-game-ii/" xr:uid="{00000000-0004-0000-0E00-00002B000000}"/>
    <hyperlink ref="O50" r:id="rId45" display="https://leetcode.com/problems/permutations/" xr:uid="{00000000-0004-0000-0E00-00002C000000}"/>
    <hyperlink ref="O51" r:id="rId46" display="https://leetcode.com/problems/rotate-image/" xr:uid="{00000000-0004-0000-0E00-00002D000000}"/>
    <hyperlink ref="O52" r:id="rId47" display="https://leetcode.com/problems/group-anagrams/" xr:uid="{00000000-0004-0000-0E00-00002E000000}"/>
    <hyperlink ref="O53" r:id="rId48" display="https://leetcode.com/problems/powx-n/" xr:uid="{00000000-0004-0000-0E00-00002F000000}"/>
    <hyperlink ref="O54" r:id="rId49" display="https://leetcode.com/problems/n-queens/" xr:uid="{00000000-0004-0000-0E00-000030000000}"/>
    <hyperlink ref="O55" r:id="rId50" display="https://leetcode.com/problems/maximum-subarray/" xr:uid="{00000000-0004-0000-0E00-000031000000}"/>
    <hyperlink ref="O56" r:id="rId51" display="https://leetcode.com/problems/spiral-matrix/" xr:uid="{00000000-0004-0000-0E00-000032000000}"/>
    <hyperlink ref="O57" r:id="rId52" display="https://leetcode.com/problems/jump-game/" xr:uid="{00000000-0004-0000-0E00-000033000000}"/>
    <hyperlink ref="O58" r:id="rId53" display="https://leetcode.com/problems/merge-intervals/" xr:uid="{00000000-0004-0000-0E00-000034000000}"/>
    <hyperlink ref="O59" r:id="rId54" display="https://leetcode.com/problems/insert-interval/" xr:uid="{00000000-0004-0000-0E00-000035000000}"/>
    <hyperlink ref="O60" r:id="rId55" display="https://leetcode.com/problems/length-of-last-word/" xr:uid="{00000000-0004-0000-0E00-000036000000}"/>
    <hyperlink ref="O61" r:id="rId56" display="https://leetcode.com/problems/permutation-sequence/" xr:uid="{00000000-0004-0000-0E00-000037000000}"/>
    <hyperlink ref="O62" r:id="rId57" display="https://leetcode.com/problems/rotate-list/" xr:uid="{00000000-0004-0000-0E00-000038000000}"/>
    <hyperlink ref="O63" r:id="rId58" display="https://leetcode.com/problems/unique-paths/" xr:uid="{00000000-0004-0000-0E00-000039000000}"/>
    <hyperlink ref="O64" r:id="rId59" display="https://leetcode.com/problems/minimum-path-sum/" xr:uid="{00000000-0004-0000-0E00-00003A000000}"/>
    <hyperlink ref="O65" r:id="rId60" display="https://leetcode.com/problems/plus-one/" xr:uid="{00000000-0004-0000-0E00-00003B000000}"/>
    <hyperlink ref="O66" r:id="rId61" display="https://leetcode.com/problems/add-binary/" xr:uid="{00000000-0004-0000-0E00-00003C000000}"/>
    <hyperlink ref="O67" r:id="rId62" display="https://leetcode.com/problems/text-justification/" xr:uid="{00000000-0004-0000-0E00-00003D000000}"/>
    <hyperlink ref="O68" r:id="rId63" display="https://leetcode.com/problems/sqrtx/" xr:uid="{00000000-0004-0000-0E00-00003E000000}"/>
    <hyperlink ref="O69" r:id="rId64" display="https://leetcode.com/problems/climbing-stairs/" xr:uid="{00000000-0004-0000-0E00-00003F000000}"/>
    <hyperlink ref="O70" r:id="rId65" display="https://leetcode.com/problems/simplify-path/" xr:uid="{00000000-0004-0000-0E00-000040000000}"/>
    <hyperlink ref="O71" r:id="rId66" display="https://leetcode.com/problems/edit-distance/" xr:uid="{00000000-0004-0000-0E00-000041000000}"/>
    <hyperlink ref="O72" r:id="rId67" display="https://leetcode.com/problems/set-matrix-zeroes/" xr:uid="{00000000-0004-0000-0E00-000042000000}"/>
    <hyperlink ref="O73" r:id="rId68" display="https://leetcode.com/problems/search-a-2d-matrix/" xr:uid="{00000000-0004-0000-0E00-000043000000}"/>
    <hyperlink ref="O74" r:id="rId69" display="https://leetcode.com/problems/sort-colors/" xr:uid="{00000000-0004-0000-0E00-000044000000}"/>
    <hyperlink ref="O75" r:id="rId70" display="https://leetcode.com/problems/minimum-window-substring/" xr:uid="{00000000-0004-0000-0E00-000045000000}"/>
    <hyperlink ref="O76" r:id="rId71" display="https://leetcode.com/problems/subsets/" xr:uid="{00000000-0004-0000-0E00-000046000000}"/>
    <hyperlink ref="O77" r:id="rId72" display="https://leetcode.com/problems/word-search/" xr:uid="{00000000-0004-0000-0E00-000047000000}"/>
    <hyperlink ref="O78" r:id="rId73" display="https://leetcode.com/problems/remove-duplicates-from-sorted-array-ii/" xr:uid="{00000000-0004-0000-0E00-000048000000}"/>
    <hyperlink ref="O79" r:id="rId74" display="https://leetcode.com/problems/remove-duplicates-from-sorted-list/" xr:uid="{00000000-0004-0000-0E00-000049000000}"/>
    <hyperlink ref="O80" r:id="rId75" display="https://leetcode.com/problems/largest-rectangle-in-histogram/" xr:uid="{00000000-0004-0000-0E00-00004A000000}"/>
    <hyperlink ref="O81" r:id="rId76" display="https://leetcode.com/problems/maximal-rectangle/" xr:uid="{00000000-0004-0000-0E00-00004B000000}"/>
    <hyperlink ref="O82" r:id="rId77" display="https://leetcode.com/problems/merge-sorted-array/" xr:uid="{00000000-0004-0000-0E00-00004C000000}"/>
    <hyperlink ref="O83" r:id="rId78" display="https://leetcode.com/problems/subsets-ii/" xr:uid="{00000000-0004-0000-0E00-00004D000000}"/>
    <hyperlink ref="O84" r:id="rId79" display="https://leetcode.com/problems/decode-ways/" xr:uid="{00000000-0004-0000-0E00-00004E000000}"/>
    <hyperlink ref="O85" r:id="rId80" display="https://leetcode.com/problems/reverse-linked-list-ii/" xr:uid="{00000000-0004-0000-0E00-00004F000000}"/>
    <hyperlink ref="O86" r:id="rId81" display="https://leetcode.com/problems/binary-tree-inorder-traversal/" xr:uid="{00000000-0004-0000-0E00-000050000000}"/>
    <hyperlink ref="O87" r:id="rId82" display="https://leetcode.com/problems/interleaving-string/" xr:uid="{00000000-0004-0000-0E00-000051000000}"/>
    <hyperlink ref="O88" r:id="rId83" display="https://leetcode.com/problems/validate-binary-search-tree/" xr:uid="{00000000-0004-0000-0E00-000052000000}"/>
    <hyperlink ref="O89" r:id="rId84" display="https://leetcode.com/problems/recover-binary-search-tree/" xr:uid="{00000000-0004-0000-0E00-000053000000}"/>
    <hyperlink ref="O90" r:id="rId85" display="https://leetcode.com/problems/same-tree/" xr:uid="{00000000-0004-0000-0E00-000054000000}"/>
    <hyperlink ref="O91" r:id="rId86" display="https://leetcode.com/problems/symmetric-tree/" xr:uid="{00000000-0004-0000-0E00-000055000000}"/>
    <hyperlink ref="O92" r:id="rId87" display="https://leetcode.com/problems/binary-tree-level-order-traversal/" xr:uid="{00000000-0004-0000-0E00-000056000000}"/>
    <hyperlink ref="O93" r:id="rId88" display="https://leetcode.com/problems/binary-tree-zigzag-level-order-traversal/" xr:uid="{00000000-0004-0000-0E00-000057000000}"/>
    <hyperlink ref="O94" r:id="rId89" display="https://leetcode.com/problems/maximum-depth-of-binary-tree/" xr:uid="{00000000-0004-0000-0E00-000058000000}"/>
    <hyperlink ref="O95" r:id="rId90" display="https://leetcode.com/problems/construct-binary-tree-from-preorder-and-inorder-traversal/" xr:uid="{00000000-0004-0000-0E00-000059000000}"/>
    <hyperlink ref="O96" r:id="rId91" display="https://leetcode.com/problems/convert-sorted-array-to-binary-search-tree/" xr:uid="{00000000-0004-0000-0E00-00005A000000}"/>
    <hyperlink ref="O97" r:id="rId92" display="https://leetcode.com/problems/balanced-binary-tree/" xr:uid="{00000000-0004-0000-0E00-00005B000000}"/>
    <hyperlink ref="O98" r:id="rId93" display="https://leetcode.com/problems/path-sum/" xr:uid="{00000000-0004-0000-0E00-00005C000000}"/>
    <hyperlink ref="O99" r:id="rId94" display="https://leetcode.com/problems/distinct-subsequences/" xr:uid="{00000000-0004-0000-0E00-00005D000000}"/>
    <hyperlink ref="O100" r:id="rId95" display="https://leetcode.com/problems/populating-next-right-pointers-in-each-node/" xr:uid="{00000000-0004-0000-0E00-00005E000000}"/>
    <hyperlink ref="O101" r:id="rId96" display="https://leetcode.com/problems/pascals-triangle/" xr:uid="{00000000-0004-0000-0E00-00005F000000}"/>
    <hyperlink ref="O102" r:id="rId97" display="https://leetcode.com/problems/triangle/" xr:uid="{00000000-0004-0000-0E00-000060000000}"/>
    <hyperlink ref="O103" r:id="rId98" display="https://leetcode.com/problems/best-time-to-buy-and-sell-stock/" xr:uid="{00000000-0004-0000-0E00-000061000000}"/>
    <hyperlink ref="O104" r:id="rId99" display="https://leetcode.com/problems/best-time-to-buy-and-sell-stock-ii/" xr:uid="{00000000-0004-0000-0E00-000062000000}"/>
    <hyperlink ref="O105" r:id="rId100" display="https://leetcode.com/problems/best-time-to-buy-and-sell-stock-iii/" xr:uid="{00000000-0004-0000-0E00-000063000000}"/>
    <hyperlink ref="O106" r:id="rId101" display="https://leetcode.com/problems/binary-tree-maximum-path-sum/" xr:uid="{00000000-0004-0000-0E00-000064000000}"/>
    <hyperlink ref="O107" r:id="rId102" display="https://leetcode.com/problems/valid-palindrome/" xr:uid="{00000000-0004-0000-0E00-000065000000}"/>
    <hyperlink ref="O108" r:id="rId103" display="https://leetcode.com/problems/word-ladder-ii/" xr:uid="{00000000-0004-0000-0E00-000066000000}"/>
    <hyperlink ref="O109" r:id="rId104" display="https://leetcode.com/problems/word-ladder/" xr:uid="{00000000-0004-0000-0E00-000067000000}"/>
    <hyperlink ref="O110" r:id="rId105" display="https://leetcode.com/problems/longest-consecutive-sequence/" xr:uid="{00000000-0004-0000-0E00-000068000000}"/>
    <hyperlink ref="O111" r:id="rId106" display="https://leetcode.com/problems/sum-root-to-leaf-numbers/" xr:uid="{00000000-0004-0000-0E00-000069000000}"/>
    <hyperlink ref="O112" r:id="rId107" display="https://leetcode.com/problems/surrounded-regions/" xr:uid="{00000000-0004-0000-0E00-00006A000000}"/>
    <hyperlink ref="O113" r:id="rId108" display="https://leetcode.com/problems/palindrome-partitioning/" xr:uid="{00000000-0004-0000-0E00-00006B000000}"/>
    <hyperlink ref="O114" r:id="rId109" display="https://leetcode.com/problems/gas-station/" xr:uid="{00000000-0004-0000-0E00-00006C000000}"/>
    <hyperlink ref="O115" r:id="rId110" display="https://leetcode.com/problems/candy/" xr:uid="{00000000-0004-0000-0E00-00006D000000}"/>
    <hyperlink ref="O116" r:id="rId111" display="https://leetcode.com/problems/single-number/" xr:uid="{00000000-0004-0000-0E00-00006E000000}"/>
    <hyperlink ref="O117" r:id="rId112" display="https://leetcode.com/problems/single-number-ii/" xr:uid="{00000000-0004-0000-0E00-00006F000000}"/>
    <hyperlink ref="O118" r:id="rId113" display="https://leetcode.com/problems/copy-list-with-random-pointer/" xr:uid="{00000000-0004-0000-0E00-000070000000}"/>
    <hyperlink ref="O119" r:id="rId114" display="https://leetcode.com/problems/word-break/" xr:uid="{00000000-0004-0000-0E00-000071000000}"/>
    <hyperlink ref="O120" r:id="rId115" display="https://leetcode.com/problems/linked-list-cycle/" xr:uid="{00000000-0004-0000-0E00-000072000000}"/>
    <hyperlink ref="O121" r:id="rId116" display="https://leetcode.com/problems/linked-list-cycle-ii/" xr:uid="{00000000-0004-0000-0E00-000073000000}"/>
    <hyperlink ref="O122" r:id="rId117" display="https://leetcode.com/problems/reorder-list/" xr:uid="{00000000-0004-0000-0E00-000074000000}"/>
    <hyperlink ref="O123" r:id="rId118" display="https://leetcode.com/problems/lru-cache/" xr:uid="{00000000-0004-0000-0E00-000075000000}"/>
    <hyperlink ref="O124" r:id="rId119" display="https://leetcode.com/problems/sort-list/" xr:uid="{00000000-0004-0000-0E00-000076000000}"/>
    <hyperlink ref="O125" r:id="rId120" display="https://leetcode.com/problems/max-points-on-a-line/" xr:uid="{00000000-0004-0000-0E00-000077000000}"/>
    <hyperlink ref="O126" r:id="rId121" display="https://leetcode.com/problems/evaluate-reverse-polish-notation/" xr:uid="{00000000-0004-0000-0E00-000078000000}"/>
    <hyperlink ref="O127" r:id="rId122" display="https://leetcode.com/problems/reverse-words-in-a-string/" xr:uid="{00000000-0004-0000-0E00-000079000000}"/>
    <hyperlink ref="O128" r:id="rId123" display="https://leetcode.com/problems/maximum-product-subarray/" xr:uid="{00000000-0004-0000-0E00-00007A000000}"/>
    <hyperlink ref="O129" r:id="rId124" display="https://leetcode.com/problems/find-minimum-in-rotated-sorted-array/" xr:uid="{00000000-0004-0000-0E00-00007B000000}"/>
    <hyperlink ref="O130" r:id="rId125" display="https://leetcode.com/problems/min-stack/" xr:uid="{00000000-0004-0000-0E00-00007C000000}"/>
    <hyperlink ref="O131" r:id="rId126" display="https://leetcode.com/problems/intersection-of-two-linked-lists/" xr:uid="{00000000-0004-0000-0E00-00007D000000}"/>
    <hyperlink ref="O132" r:id="rId127" display="https://leetcode.com/problems/find-peak-element/" xr:uid="{00000000-0004-0000-0E00-00007E000000}"/>
    <hyperlink ref="O133" r:id="rId128" display="https://leetcode.com/problems/two-sum-ii-input-array-is-sorted/" xr:uid="{00000000-0004-0000-0E00-00007F000000}"/>
    <hyperlink ref="O134" r:id="rId129" display="https://leetcode.com/problems/excel-sheet-column-title/" xr:uid="{00000000-0004-0000-0E00-000080000000}"/>
    <hyperlink ref="O135" r:id="rId130" display="https://leetcode.com/problems/majority-element/" xr:uid="{00000000-0004-0000-0E00-000081000000}"/>
    <hyperlink ref="O136" r:id="rId131" display="https://leetcode.com/problems/second-highest-salary/" xr:uid="{00000000-0004-0000-0E00-000082000000}"/>
    <hyperlink ref="O137" r:id="rId132" display="https://leetcode.com/problems/employees-earning-more-than-their-managers/" xr:uid="{00000000-0004-0000-0E00-000083000000}"/>
    <hyperlink ref="O138" r:id="rId133" display="https://leetcode.com/problems/rotate-array/" xr:uid="{00000000-0004-0000-0E00-000084000000}"/>
    <hyperlink ref="O139" r:id="rId134" display="https://leetcode.com/problems/number-of-1-bits/" xr:uid="{00000000-0004-0000-0E00-000085000000}"/>
    <hyperlink ref="O140" r:id="rId135" display="https://leetcode.com/problems/rising-temperature/" xr:uid="{00000000-0004-0000-0E00-000086000000}"/>
    <hyperlink ref="O141" r:id="rId136" display="https://leetcode.com/problems/house-robber/" xr:uid="{00000000-0004-0000-0E00-000087000000}"/>
    <hyperlink ref="O142" r:id="rId137" display="https://leetcode.com/problems/number-of-islands/" xr:uid="{00000000-0004-0000-0E00-000088000000}"/>
    <hyperlink ref="O143" r:id="rId138" display="https://leetcode.com/problems/happy-number/" xr:uid="{00000000-0004-0000-0E00-000089000000}"/>
    <hyperlink ref="O144" r:id="rId139" display="https://leetcode.com/problems/count-primes/" xr:uid="{00000000-0004-0000-0E00-00008A000000}"/>
    <hyperlink ref="O145" r:id="rId140" display="https://leetcode.com/problems/isomorphic-strings/" xr:uid="{00000000-0004-0000-0E00-00008B000000}"/>
    <hyperlink ref="O146" r:id="rId141" display="https://leetcode.com/problems/reverse-linked-list/" xr:uid="{00000000-0004-0000-0E00-00008C000000}"/>
    <hyperlink ref="O147" r:id="rId142" display="https://leetcode.com/problems/course-schedule/" xr:uid="{00000000-0004-0000-0E00-00008D000000}"/>
    <hyperlink ref="O148" r:id="rId143" display="https://leetcode.com/problems/implement-trie-prefix-tree/" xr:uid="{00000000-0004-0000-0E00-00008E000000}"/>
    <hyperlink ref="O149" r:id="rId144" display="https://leetcode.com/problems/minimum-size-subarray-sum/" xr:uid="{00000000-0004-0000-0E00-00008F000000}"/>
    <hyperlink ref="O150" r:id="rId145" display="https://leetcode.com/problems/course-schedule-ii/" xr:uid="{00000000-0004-0000-0E00-000090000000}"/>
    <hyperlink ref="O151" r:id="rId146" display="https://leetcode.com/problems/word-search-ii/" xr:uid="{00000000-0004-0000-0E00-000091000000}"/>
    <hyperlink ref="O152" r:id="rId147" display="https://leetcode.com/problems/house-robber-ii/" xr:uid="{00000000-0004-0000-0E00-000092000000}"/>
    <hyperlink ref="O153" r:id="rId148" display="https://leetcode.com/problems/shortest-palindrome/" xr:uid="{00000000-0004-0000-0E00-000093000000}"/>
    <hyperlink ref="O154" r:id="rId149" display="https://leetcode.com/problems/kth-largest-element-in-an-array/" xr:uid="{00000000-0004-0000-0E00-000094000000}"/>
    <hyperlink ref="O155" r:id="rId150" display="https://leetcode.com/problems/contains-duplicate/" xr:uid="{00000000-0004-0000-0E00-000095000000}"/>
    <hyperlink ref="O156" r:id="rId151" display="https://leetcode.com/problems/the-skyline-problem/" xr:uid="{00000000-0004-0000-0E00-000096000000}"/>
    <hyperlink ref="O157" r:id="rId152" display="https://leetcode.com/problems/contains-duplicate-ii/" xr:uid="{00000000-0004-0000-0E00-000097000000}"/>
    <hyperlink ref="O158" r:id="rId153" display="https://leetcode.com/problems/maximal-square/" xr:uid="{00000000-0004-0000-0E00-000098000000}"/>
    <hyperlink ref="O159" r:id="rId154" display="https://leetcode.com/problems/basic-calculator/" xr:uid="{00000000-0004-0000-0E00-000099000000}"/>
    <hyperlink ref="O160" r:id="rId155" display="https://leetcode.com/problems/implement-stack-using-queues/" xr:uid="{00000000-0004-0000-0E00-00009A000000}"/>
    <hyperlink ref="O161" r:id="rId156" display="https://leetcode.com/problems/invert-binary-tree/" xr:uid="{00000000-0004-0000-0E00-00009B000000}"/>
    <hyperlink ref="O162" r:id="rId157" display="https://leetcode.com/problems/basic-calculator-ii/" xr:uid="{00000000-0004-0000-0E00-00009C000000}"/>
    <hyperlink ref="O163" r:id="rId158" display="https://leetcode.com/problems/summary-ranges/" xr:uid="{00000000-0004-0000-0E00-00009D000000}"/>
    <hyperlink ref="O164" r:id="rId159" display="https://leetcode.com/problems/majority-element-ii/" xr:uid="{00000000-0004-0000-0E00-00009E000000}"/>
    <hyperlink ref="O165" r:id="rId160" display="https://leetcode.com/problems/kth-smallest-element-in-a-bst/" xr:uid="{00000000-0004-0000-0E00-00009F000000}"/>
    <hyperlink ref="O166" r:id="rId161" display="https://leetcode.com/problems/power-of-two/" xr:uid="{00000000-0004-0000-0E00-0000A0000000}"/>
    <hyperlink ref="O167" r:id="rId162" display="https://leetcode.com/problems/implement-queue-using-stacks/" xr:uid="{00000000-0004-0000-0E00-0000A1000000}"/>
    <hyperlink ref="O168" r:id="rId163" display="https://leetcode.com/problems/palindrome-linked-list/" xr:uid="{00000000-0004-0000-0E00-0000A2000000}"/>
    <hyperlink ref="O169" r:id="rId164" display="https://leetcode.com/problems/lowest-common-ancestor-of-a-binary-search-tree/" xr:uid="{00000000-0004-0000-0E00-0000A3000000}"/>
    <hyperlink ref="O170" r:id="rId165" display="https://leetcode.com/problems/lowest-common-ancestor-of-a-binary-tree/" xr:uid="{00000000-0004-0000-0E00-0000A4000000}"/>
    <hyperlink ref="O171" r:id="rId166" display="https://leetcode.com/problems/delete-node-in-a-linked-list/" xr:uid="{00000000-0004-0000-0E00-0000A5000000}"/>
    <hyperlink ref="O172" r:id="rId167" display="https://leetcode.com/problems/product-of-array-except-self/" xr:uid="{00000000-0004-0000-0E00-0000A6000000}"/>
    <hyperlink ref="O173" r:id="rId168" display="https://leetcode.com/problems/sliding-window-maximum/" xr:uid="{00000000-0004-0000-0E00-0000A7000000}"/>
    <hyperlink ref="O174" r:id="rId169" display="https://leetcode.com/problems/search-a-2d-matrix-ii/" xr:uid="{00000000-0004-0000-0E00-0000A8000000}"/>
    <hyperlink ref="O175" r:id="rId170" display="https://leetcode.com/problems/valid-anagram/" xr:uid="{00000000-0004-0000-0E00-0000A9000000}"/>
    <hyperlink ref="O176" r:id="rId171" display="https://leetcode.com/problems/group-shifted-strings/" xr:uid="{00000000-0004-0000-0E00-0000AA000000}"/>
    <hyperlink ref="O177" r:id="rId172" display="https://leetcode.com/problems/meeting-rooms-ii/" xr:uid="{00000000-0004-0000-0E00-0000AB000000}"/>
    <hyperlink ref="O178" r:id="rId173" display="https://leetcode.com/problems/binary-tree-paths/" xr:uid="{00000000-0004-0000-0E00-0000AC000000}"/>
    <hyperlink ref="O179" r:id="rId174" display="https://leetcode.com/problems/add-digits/" xr:uid="{00000000-0004-0000-0E00-0000AD000000}"/>
    <hyperlink ref="O180" r:id="rId175" display="https://leetcode.com/problems/ugly-number/" xr:uid="{00000000-0004-0000-0E00-0000AE000000}"/>
    <hyperlink ref="O181" r:id="rId176" display="https://leetcode.com/problems/missing-number/" xr:uid="{00000000-0004-0000-0E00-0000AF000000}"/>
    <hyperlink ref="O182" r:id="rId177" display="https://leetcode.com/problems/encode-and-decode-strings/" xr:uid="{00000000-0004-0000-0E00-0000B0000000}"/>
    <hyperlink ref="O183" r:id="rId178" display="https://leetcode.com/problems/first-bad-version/" xr:uid="{00000000-0004-0000-0E00-0000B1000000}"/>
    <hyperlink ref="O184" r:id="rId179" display="https://leetcode.com/problems/perfect-squares/" xr:uid="{00000000-0004-0000-0E00-0000B2000000}"/>
    <hyperlink ref="O185" r:id="rId180" display="https://leetcode.com/problems/expression-add-operators/" xr:uid="{00000000-0004-0000-0E00-0000B3000000}"/>
    <hyperlink ref="O186" r:id="rId181" display="https://leetcode.com/problems/move-zeroes/" xr:uid="{00000000-0004-0000-0E00-0000B4000000}"/>
    <hyperlink ref="O187" r:id="rId182" display="https://leetcode.com/problems/walls-and-gates/" xr:uid="{00000000-0004-0000-0E00-0000B5000000}"/>
    <hyperlink ref="O188" r:id="rId183" display="https://leetcode.com/problems/find-the-duplicate-number/" xr:uid="{00000000-0004-0000-0E00-0000B6000000}"/>
    <hyperlink ref="O189" r:id="rId184" display="https://leetcode.com/problems/find-median-from-data-stream/" xr:uid="{00000000-0004-0000-0E00-0000B7000000}"/>
    <hyperlink ref="O190" r:id="rId185" display="https://leetcode.com/problems/serialize-and-deserialize-binary-tree/" xr:uid="{00000000-0004-0000-0E00-0000B8000000}"/>
    <hyperlink ref="O191" r:id="rId186" display="https://leetcode.com/problems/longest-increasing-subsequence/" xr:uid="{00000000-0004-0000-0E00-0000B9000000}"/>
    <hyperlink ref="O192" r:id="rId187" display="https://leetcode.com/problems/best-time-to-buy-and-sell-stock-with-cooldown/" xr:uid="{00000000-0004-0000-0E00-0000BA000000}"/>
    <hyperlink ref="O193" r:id="rId188" display="https://leetcode.com/problems/burst-balloons/" xr:uid="{00000000-0004-0000-0E00-0000BB000000}"/>
    <hyperlink ref="O194" r:id="rId189" display="https://leetcode.com/problems/coin-change/" xr:uid="{00000000-0004-0000-0E00-0000BC000000}"/>
    <hyperlink ref="O195" r:id="rId190" display="https://leetcode.com/problems/odd-even-linked-list/" xr:uid="{00000000-0004-0000-0E00-0000BD000000}"/>
    <hyperlink ref="O196" r:id="rId191" display="https://leetcode.com/problems/longest-increasing-path-in-a-matrix/" xr:uid="{00000000-0004-0000-0E00-0000BE000000}"/>
    <hyperlink ref="O197" r:id="rId192" display="https://leetcode.com/problems/house-robber-iii/" xr:uid="{00000000-0004-0000-0E00-0000BF000000}"/>
    <hyperlink ref="O198" r:id="rId193" display="https://leetcode.com/problems/reverse-string/" xr:uid="{00000000-0004-0000-0E00-0000C0000000}"/>
    <hyperlink ref="O199" r:id="rId194" display="https://leetcode.com/problems/reverse-vowels-of-a-string/" xr:uid="{00000000-0004-0000-0E00-0000C1000000}"/>
    <hyperlink ref="O200" r:id="rId195" display="https://leetcode.com/problems/top-k-frequent-elements/" xr:uid="{00000000-0004-0000-0E00-0000C2000000}"/>
    <hyperlink ref="O201" r:id="rId196" display="https://leetcode.com/problems/intersection-of-two-arrays/" xr:uid="{00000000-0004-0000-0E00-0000C3000000}"/>
    <hyperlink ref="O202" r:id="rId197" display="https://leetcode.com/problems/russian-doll-envelopes/" xr:uid="{00000000-0004-0000-0E00-0000C4000000}"/>
    <hyperlink ref="O203" r:id="rId198" display="https://leetcode.com/problems/logger-rate-limiter/" xr:uid="{00000000-0004-0000-0E00-0000C5000000}"/>
    <hyperlink ref="O204" r:id="rId199" display="https://leetcode.com/problems/design-hit-counter/" xr:uid="{00000000-0004-0000-0E00-0000C6000000}"/>
    <hyperlink ref="O205" r:id="rId200" display="https://leetcode.com/problems/largest-divisible-subset/" xr:uid="{00000000-0004-0000-0E00-0000C7000000}"/>
    <hyperlink ref="O206" r:id="rId201" display="https://leetcode.com/problems/sum-of-two-integers/" xr:uid="{00000000-0004-0000-0E00-0000C8000000}"/>
    <hyperlink ref="O207" r:id="rId202" display="https://leetcode.com/problems/find-k-pairs-with-smallest-sums/" xr:uid="{00000000-0004-0000-0E00-0000C9000000}"/>
    <hyperlink ref="O208" r:id="rId203" display="https://leetcode.com/problems/combination-sum-iv/" xr:uid="{00000000-0004-0000-0E00-0000CA000000}"/>
    <hyperlink ref="O209" r:id="rId204" display="https://leetcode.com/problems/insert-delete-getrandom-o1/" xr:uid="{00000000-0004-0000-0E00-0000CB000000}"/>
    <hyperlink ref="O210" r:id="rId205" display="https://leetcode.com/problems/first-unique-character-in-a-string/" xr:uid="{00000000-0004-0000-0E00-0000CC000000}"/>
    <hyperlink ref="O211" r:id="rId206" display="https://leetcode.com/problems/find-the-difference/" xr:uid="{00000000-0004-0000-0E00-0000CD000000}"/>
    <hyperlink ref="O212" r:id="rId207" display="https://leetcode.com/problems/is-subsequence/" xr:uid="{00000000-0004-0000-0E00-0000CE000000}"/>
    <hyperlink ref="O213" r:id="rId208" display="https://leetcode.com/problems/decode-string/" xr:uid="{00000000-0004-0000-0E00-0000CF000000}"/>
    <hyperlink ref="O214" r:id="rId209" display="https://leetcode.com/problems/evaluate-division/" xr:uid="{00000000-0004-0000-0E00-0000D0000000}"/>
    <hyperlink ref="O215" r:id="rId210" display="https://leetcode.com/problems/remove-k-digits/" xr:uid="{00000000-0004-0000-0E00-0000D1000000}"/>
    <hyperlink ref="O216" r:id="rId211" display="https://leetcode.com/problems/trapping-rain-water-ii/" xr:uid="{00000000-0004-0000-0E00-0000D2000000}"/>
    <hyperlink ref="O217" r:id="rId212" display="https://leetcode.com/problems/split-array-largest-sum/" xr:uid="{00000000-0004-0000-0E00-0000D3000000}"/>
    <hyperlink ref="O218" r:id="rId213" display="https://leetcode.com/problems/fizz-buzz/" xr:uid="{00000000-0004-0000-0E00-0000D4000000}"/>
    <hyperlink ref="O219" r:id="rId214" display="https://leetcode.com/problems/add-strings/" xr:uid="{00000000-0004-0000-0E00-0000D5000000}"/>
    <hyperlink ref="O220" r:id="rId215" display="https://leetcode.com/problems/partition-equal-subset-sum/" xr:uid="{00000000-0004-0000-0E00-0000D6000000}"/>
    <hyperlink ref="O221" r:id="rId216" display="https://leetcode.com/problems/pacific-atlantic-water-flow/" xr:uid="{00000000-0004-0000-0E00-0000D7000000}"/>
    <hyperlink ref="O222" r:id="rId217" display="https://leetcode.com/problems/longest-repeating-character-replacement/" xr:uid="{00000000-0004-0000-0E00-0000D8000000}"/>
    <hyperlink ref="O223" r:id="rId218" display="https://leetcode.com/problems/non-overlapping-intervals/" xr:uid="{00000000-0004-0000-0E00-0000D9000000}"/>
    <hyperlink ref="O224" r:id="rId219" display="https://leetcode.com/problems/path-sum-iii/" xr:uid="{00000000-0004-0000-0E00-0000DA000000}"/>
    <hyperlink ref="O225" r:id="rId220" display="https://leetcode.com/problems/find-all-anagrams-in-a-string/" xr:uid="{00000000-0004-0000-0E00-0000DB000000}"/>
    <hyperlink ref="O226" r:id="rId221" display="https://leetcode.com/problems/find-all-duplicates-in-an-array/" xr:uid="{00000000-0004-0000-0E00-0000DC000000}"/>
    <hyperlink ref="O227" r:id="rId222" display="https://leetcode.com/problems/string-compression/" xr:uid="{00000000-0004-0000-0E00-0000DD000000}"/>
    <hyperlink ref="O228" r:id="rId223" display="https://leetcode.com/problems/find-all-numbers-disappeared-in-an-array/" xr:uid="{00000000-0004-0000-0E00-0000DE000000}"/>
    <hyperlink ref="O229" r:id="rId224" display="https://leetcode.com/problems/delete-node-in-a-bst/" xr:uid="{00000000-0004-0000-0E00-0000DF000000}"/>
    <hyperlink ref="O230" r:id="rId225" display="https://leetcode.com/problems/sliding-window-median/" xr:uid="{00000000-0004-0000-0E00-0000E0000000}"/>
    <hyperlink ref="O231" r:id="rId226" display="https://leetcode.com/problems/max-consecutive-ones/" xr:uid="{00000000-0004-0000-0E00-0000E1000000}"/>
    <hyperlink ref="O232" r:id="rId227" display="https://leetcode.com/problems/reverse-pairs/" xr:uid="{00000000-0004-0000-0E00-0000E2000000}"/>
    <hyperlink ref="O233" r:id="rId228" display="https://leetcode.com/problems/target-sum/" xr:uid="{00000000-0004-0000-0E00-0000E3000000}"/>
    <hyperlink ref="O234" r:id="rId229" display="https://leetcode.com/problems/next-greater-element-i/" xr:uid="{00000000-0004-0000-0E00-0000E4000000}"/>
    <hyperlink ref="O235" r:id="rId230" display="https://leetcode.com/problems/diagonal-traverse/" xr:uid="{00000000-0004-0000-0E00-0000E5000000}"/>
    <hyperlink ref="O236" r:id="rId231" display="https://leetcode.com/problems/next-greater-element-ii/" xr:uid="{00000000-0004-0000-0E00-0000E6000000}"/>
    <hyperlink ref="O237" r:id="rId232" display="https://leetcode.com/problems/fibonacci-number/" xr:uid="{00000000-0004-0000-0E00-0000E7000000}"/>
    <hyperlink ref="O238" r:id="rId233" display="https://leetcode.com/problems/coin-change-ii/" xr:uid="{00000000-0004-0000-0E00-0000E8000000}"/>
    <hyperlink ref="O239" r:id="rId234" display="https://leetcode.com/problems/contiguous-array/" xr:uid="{00000000-0004-0000-0E00-0000E9000000}"/>
    <hyperlink ref="O240" r:id="rId235" display="https://leetcode.com/problems/random-pick-with-weight/" xr:uid="{00000000-0004-0000-0E00-0000EA000000}"/>
    <hyperlink ref="O241" r:id="rId236" display="https://leetcode.com/problems/single-element-in-a-sorted-array/" xr:uid="{00000000-0004-0000-0E00-0000EB000000}"/>
    <hyperlink ref="O242" r:id="rId237" display="https://leetcode.com/problems/reverse-string-ii/" xr:uid="{00000000-0004-0000-0E00-0000EC000000}"/>
    <hyperlink ref="O243" r:id="rId238" display="https://leetcode.com/problems/diameter-of-binary-tree/" xr:uid="{00000000-0004-0000-0E00-0000ED000000}"/>
    <hyperlink ref="O244" r:id="rId239" display="https://leetcode.com/problems/number-of-provinces/" xr:uid="{00000000-0004-0000-0E00-0000EE000000}"/>
    <hyperlink ref="O245" r:id="rId240" display="https://leetcode.com/problems/subarray-sum-equals-k/" xr:uid="{00000000-0004-0000-0E00-0000EF000000}"/>
    <hyperlink ref="O246" r:id="rId241" display="https://leetcode.com/problems/permutation-in-string/" xr:uid="{00000000-0004-0000-0E00-0000F0000000}"/>
    <hyperlink ref="O247" r:id="rId242" display="https://leetcode.com/problems/managers-with-at-least-5-direct-reports/" xr:uid="{00000000-0004-0000-0E00-0000F1000000}"/>
    <hyperlink ref="O248" r:id="rId243" display="https://leetcode.com/problems/find-customer-referee/" xr:uid="{00000000-0004-0000-0E00-0000F2000000}"/>
    <hyperlink ref="O249" r:id="rId244" display="https://leetcode.com/problems/big-countries/" xr:uid="{00000000-0004-0000-0E00-0000F3000000}"/>
    <hyperlink ref="O250" r:id="rId245" display="https://leetcode.com/problems/can-place-flowers/" xr:uid="{00000000-0004-0000-0E00-0000F4000000}"/>
    <hyperlink ref="O251" r:id="rId246" display="https://leetcode.com/problems/task-scheduler/" xr:uid="{00000000-0004-0000-0E00-0000F5000000}"/>
    <hyperlink ref="O252" r:id="rId247" display="https://leetcode.com/problems/exclusive-time-of-functions/" xr:uid="{00000000-0004-0000-0E00-0000F6000000}"/>
    <hyperlink ref="O253" r:id="rId248" display="https://leetcode.com/problems/design-search-autocomplete-system/" xr:uid="{00000000-0004-0000-0E00-0000F7000000}"/>
    <hyperlink ref="O254" r:id="rId249" display="https://leetcode.com/problems/maximum-average-subarray-i/" xr:uid="{00000000-0004-0000-0E00-0000F8000000}"/>
    <hyperlink ref="O255" r:id="rId250" display="https://leetcode.com/problems/find-k-closest-elements/" xr:uid="{00000000-0004-0000-0E00-0000F9000000}"/>
    <hyperlink ref="O256" r:id="rId251" display="https://leetcode.com/problems/maximum-width-of-binary-tree/" xr:uid="{00000000-0004-0000-0E00-0000FA000000}"/>
    <hyperlink ref="O257" r:id="rId252" display="https://leetcode.com/problems/valid-parenthesis-string/" xr:uid="{00000000-0004-0000-0E00-0000FB000000}"/>
    <hyperlink ref="O258" r:id="rId253" display="https://leetcode.com/problems/valid-palindrome-ii/" xr:uid="{00000000-0004-0000-0E00-0000FC000000}"/>
    <hyperlink ref="O259" r:id="rId254" display="https://leetcode.com/problems/top-k-frequent-words/" xr:uid="{00000000-0004-0000-0E00-0000FD000000}"/>
    <hyperlink ref="O260" r:id="rId255" display="https://leetcode.com/problems/max-area-of-island/" xr:uid="{00000000-0004-0000-0E00-0000FE000000}"/>
    <hyperlink ref="O261" r:id="rId256" display="https://leetcode.com/problems/binary-search/" xr:uid="{00000000-0004-0000-0E00-0000FF000000}"/>
    <hyperlink ref="O262" r:id="rId257" display="https://leetcode.com/problems/design-linked-list/" xr:uid="{00000000-0004-0000-0E00-000000010000}"/>
    <hyperlink ref="O263" r:id="rId258" display="https://leetcode.com/problems/range-module/" xr:uid="{00000000-0004-0000-0E00-000001010000}"/>
    <hyperlink ref="O264" r:id="rId259" display="https://leetcode.com/problems/accounts-merge/" xr:uid="{00000000-0004-0000-0E00-000002010000}"/>
    <hyperlink ref="O265" r:id="rId260" display="https://leetcode.com/problems/flood-fill/" xr:uid="{00000000-0004-0000-0E00-000003010000}"/>
    <hyperlink ref="O266" r:id="rId261" display="https://leetcode.com/problems/asteroid-collision/" xr:uid="{00000000-0004-0000-0E00-000004010000}"/>
    <hyperlink ref="O267" r:id="rId262" display="https://leetcode.com/problems/daily-temperatures/" xr:uid="{00000000-0004-0000-0E00-000005010000}"/>
    <hyperlink ref="O268" r:id="rId263" display="https://leetcode.com/problems/network-delay-time/" xr:uid="{00000000-0004-0000-0E00-000006010000}"/>
    <hyperlink ref="O269" r:id="rId264" display="https://leetcode.com/problems/employee-free-time/" xr:uid="{00000000-0004-0000-0E00-000007010000}"/>
    <hyperlink ref="O270" r:id="rId265" display="https://leetcode.com/problems/reorganize-string/" xr:uid="{00000000-0004-0000-0E00-000008010000}"/>
    <hyperlink ref="O271" r:id="rId266" display="https://leetcode.com/problems/jewels-and-stones/" xr:uid="{00000000-0004-0000-0E00-000009010000}"/>
    <hyperlink ref="O272" r:id="rId267" display="https://leetcode.com/problems/swap-adjacent-in-lr-string/" xr:uid="{00000000-0004-0000-0E00-00000A010000}"/>
    <hyperlink ref="O273" r:id="rId268" display="https://leetcode.com/problems/swim-in-rising-water/" xr:uid="{00000000-0004-0000-0E00-00000B010000}"/>
    <hyperlink ref="O274" r:id="rId269" display="https://leetcode.com/problems/cheapest-flights-within-k-stops/" xr:uid="{00000000-0004-0000-0E00-00000C010000}"/>
    <hyperlink ref="O275" r:id="rId270" display="https://leetcode.com/problems/find-eventual-safe-states/" xr:uid="{00000000-0004-0000-0E00-00000D010000}"/>
    <hyperlink ref="O276" r:id="rId271" display="https://leetcode.com/problems/guess-the-word/" xr:uid="{00000000-0004-0000-0E00-00000E010000}"/>
    <hyperlink ref="O277" r:id="rId272" display="https://leetcode.com/problems/backspace-string-compare/" xr:uid="{00000000-0004-0000-0E00-00000F010000}"/>
    <hyperlink ref="O278" r:id="rId273" display="https://leetcode.com/problems/peak-index-in-a-mountain-array/" xr:uid="{00000000-0004-0000-0E00-000010010000}"/>
    <hyperlink ref="O279" r:id="rId274" display="https://leetcode.com/problems/transpose-matrix/" xr:uid="{00000000-0004-0000-0E00-000011010000}"/>
    <hyperlink ref="O280" r:id="rId275" display="https://leetcode.com/problems/koko-eating-bananas/" xr:uid="{00000000-0004-0000-0E00-000012010000}"/>
    <hyperlink ref="O281" r:id="rId276" display="https://leetcode.com/problems/middle-of-the-linked-list/" xr:uid="{00000000-0004-0000-0E00-000013010000}"/>
    <hyperlink ref="O282" r:id="rId277" display="https://leetcode.com/problems/online-stock-span/" xr:uid="{00000000-0004-0000-0E00-000014010000}"/>
    <hyperlink ref="O283" r:id="rId278" display="https://leetcode.com/problems/fruit-into-baskets/" xr:uid="{00000000-0004-0000-0E00-000015010000}"/>
    <hyperlink ref="O284" r:id="rId279" display="https://leetcode.com/problems/sum-of-subarray-minimums/" xr:uid="{00000000-0004-0000-0E00-000016010000}"/>
    <hyperlink ref="O285" r:id="rId280" display="https://leetcode.com/problems/sort-an-array/" xr:uid="{00000000-0004-0000-0E00-000017010000}"/>
    <hyperlink ref="O286" r:id="rId281" display="https://leetcode.com/problems/shortest-bridge/" xr:uid="{00000000-0004-0000-0E00-000018010000}"/>
    <hyperlink ref="O287" r:id="rId282" display="https://leetcode.com/problems/maximum-width-ramp/" xr:uid="{00000000-0004-0000-0E00-000019010000}"/>
    <hyperlink ref="O288" r:id="rId283" display="https://leetcode.com/problems/squares-of-a-sorted-array/" xr:uid="{00000000-0004-0000-0E00-00001A010000}"/>
    <hyperlink ref="O289" r:id="rId284" display="https://leetcode.com/problems/time-based-key-value-store/" xr:uid="{00000000-0004-0000-0E00-00001B010000}"/>
    <hyperlink ref="O290" r:id="rId285" display="https://leetcode.com/problems/rotting-oranges/" xr:uid="{00000000-0004-0000-0E00-00001C010000}"/>
    <hyperlink ref="O291" r:id="rId286" display="https://leetcode.com/problems/max-consecutive-ones-iii/" xr:uid="{00000000-0004-0000-0E00-00001D010000}"/>
    <hyperlink ref="O292" r:id="rId287" display="https://leetcode.com/problems/capacity-to-ship-packages-within-d-days/" xr:uid="{00000000-0004-0000-0E00-00001E010000}"/>
    <hyperlink ref="O293" r:id="rId288" display="https://leetcode.com/problems/greatest-common-divisor-of-strings/" xr:uid="{00000000-0004-0000-0E00-00001F010000}"/>
    <hyperlink ref="O294" r:id="rId289" display="https://leetcode.com/problems/shortest-path-in-binary-matrix/" xr:uid="{00000000-0004-0000-0E00-000020010000}"/>
    <hyperlink ref="O295" r:id="rId290" display="https://leetcode.com/problems/car-pooling/" xr:uid="{00000000-0004-0000-0E00-000021010000}"/>
    <hyperlink ref="O296" r:id="rId291" display="https://leetcode.com/problems/the-earliest-moment-when-everyone-become-friends/" xr:uid="{00000000-0004-0000-0E00-000022010000}"/>
    <hyperlink ref="O297" r:id="rId292" display="https://leetcode.com/problems/longest-common-subsequence/" xr:uid="{00000000-0004-0000-0E00-000023010000}"/>
    <hyperlink ref="O298" r:id="rId293" display="https://leetcode.com/problems/unique-number-of-occurrences/" xr:uid="{00000000-0004-0000-0E00-000024010000}"/>
    <hyperlink ref="O299" r:id="rId294" display="https://leetcode.com/problems/count-square-submatrices-with-all-ones/" xr:uid="{00000000-0004-0000-0E00-000025010000}"/>
    <hyperlink ref="O300" r:id="rId295" display="https://leetcode.com/problems/replace-employee-id-with-the-unique-identifier/" xr:uid="{00000000-0004-0000-0E00-000026010000}"/>
    <hyperlink ref="O301" r:id="rId296" display="https://leetcode.com/problems/running-sum-of-1d-array/" xr:uid="{00000000-0004-0000-0E00-000027010000}"/>
    <hyperlink ref="O302" r:id="rId297" display="https://leetcode.com/problems/minimum-number-of-days-to-make-m-bouquets/" xr:uid="{00000000-0004-0000-0E00-000028010000}"/>
    <hyperlink ref="O303" r:id="rId298" display="https://leetcode.com/problems/min-cost-to-connect-all-points/" xr:uid="{00000000-0004-0000-0E00-000029010000}"/>
    <hyperlink ref="O304" r:id="rId299" display="https://leetcode.com/problems/average-time-of-process-per-machine/" xr:uid="{00000000-0004-0000-0E00-00002A010000}"/>
    <hyperlink ref="O305" r:id="rId300" display="https://leetcode.com/problems/recyclable-and-low-fat-products/" xr:uid="{00000000-0004-0000-0E00-00002B010000}"/>
    <hyperlink ref="O306" r:id="rId301" display="https://leetcode.com/problems/merge-strings-alternately/" xr:uid="{00000000-0004-0000-0E00-00002C010000}"/>
    <hyperlink ref="O307" r:id="rId302" display="https://leetcode.com/problems/frequency-of-the-most-frequent-element/" xr:uid="{00000000-0004-0000-0E00-00002D010000}"/>
    <hyperlink ref="O308" r:id="rId303" display="https://leetcode.com/problems/count-good-numbers/" xr:uid="{00000000-0004-0000-0E00-00002E010000}"/>
    <hyperlink ref="O309" r:id="rId304" display="https://leetcode.com/problems/concatenation-of-array/" xr:uid="{00000000-0004-0000-0E00-00002F010000}"/>
    <hyperlink ref="O310" r:id="rId305" display="https://leetcode.com/problems/add-two-integers/" xr:uid="{00000000-0004-0000-0E00-000030010000}"/>
    <hyperlink ref="O311" r:id="rId306" display="https://leetcode.com/problems/meeting-rooms-iii/" xr:uid="{00000000-0004-0000-0E00-000031010000}"/>
    <hyperlink ref="O312" r:id="rId307" display="https://leetcode.com/problems/create-hello-world-function/" xr:uid="{00000000-0004-0000-0E00-000032010000}"/>
    <hyperlink ref="O313" r:id="rId308" display="https://leetcode.com/problems/to-be-or-not-to-be/" xr:uid="{00000000-0004-0000-0E00-000033010000}"/>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03"/>
  <sheetViews>
    <sheetView showGridLines="0" topLeftCell="G1" zoomScaleNormal="100" workbookViewId="0">
      <pane ySplit="5" topLeftCell="A292" activePane="bottomLeft" state="frozen"/>
      <selection pane="bottomLeft" activeCell="A6" sqref="A6"/>
    </sheetView>
  </sheetViews>
  <sheetFormatPr baseColWidth="10" defaultColWidth="8.6640625" defaultRowHeight="15" x14ac:dyDescent="0.2"/>
  <cols>
    <col min="1" max="1" width="4" customWidth="1"/>
    <col min="2" max="2" width="6" customWidth="1"/>
    <col min="3" max="3" width="42" customWidth="1"/>
    <col min="4" max="5" width="10" customWidth="1"/>
    <col min="6" max="6" width="40" customWidth="1"/>
    <col min="7" max="7" width="28" customWidth="1"/>
    <col min="8" max="9" width="14" customWidth="1"/>
    <col min="10" max="10" width="12" customWidth="1"/>
    <col min="11" max="11" width="30" customWidth="1"/>
    <col min="12" max="12" width="52" style="52" customWidth="1"/>
    <col min="13" max="14" width="33.33203125" customWidth="1"/>
    <col min="15" max="15" width="80" customWidth="1"/>
  </cols>
  <sheetData>
    <row r="1" spans="1:15" ht="27.75" customHeight="1" x14ac:dyDescent="0.2">
      <c r="A1" s="351" t="s">
        <v>4729</v>
      </c>
      <c r="B1" s="292"/>
      <c r="C1" s="292"/>
      <c r="D1" s="292"/>
      <c r="E1" s="292"/>
      <c r="F1" s="292"/>
      <c r="G1" s="292"/>
      <c r="H1" s="292"/>
      <c r="I1" s="292"/>
      <c r="J1" s="292"/>
      <c r="K1" s="292"/>
    </row>
    <row r="2" spans="1:15" ht="4.5" customHeight="1" x14ac:dyDescent="0.2">
      <c r="A2" s="292"/>
      <c r="B2" s="292"/>
      <c r="C2" s="292"/>
      <c r="D2" s="292"/>
      <c r="E2" s="292"/>
      <c r="F2" s="292"/>
      <c r="G2" s="292"/>
      <c r="H2" s="292"/>
      <c r="I2" s="292"/>
      <c r="J2" s="292"/>
      <c r="K2" s="292"/>
    </row>
    <row r="3" spans="1:15" ht="15.75" customHeight="1" x14ac:dyDescent="0.2">
      <c r="A3" s="352" t="s">
        <v>4730</v>
      </c>
      <c r="B3" s="292"/>
      <c r="C3" s="292"/>
      <c r="D3" s="292"/>
      <c r="E3" s="292"/>
      <c r="F3" s="292"/>
      <c r="G3" s="292"/>
      <c r="H3" s="292"/>
      <c r="I3" s="292"/>
      <c r="J3" s="292"/>
      <c r="K3" s="292"/>
    </row>
    <row r="4" spans="1:15" ht="15.75" customHeight="1" x14ac:dyDescent="0.2">
      <c r="A4" s="291" t="s">
        <v>5125</v>
      </c>
      <c r="B4" s="292"/>
      <c r="C4" s="292"/>
      <c r="D4" s="292"/>
      <c r="E4" s="292"/>
      <c r="F4" s="292"/>
      <c r="G4" s="292"/>
      <c r="H4" s="292"/>
      <c r="I4" s="292"/>
      <c r="J4" s="292"/>
      <c r="K4" s="292"/>
    </row>
    <row r="5" spans="1:15" ht="31.5" customHeight="1" x14ac:dyDescent="0.2">
      <c r="A5" s="117" t="s">
        <v>1</v>
      </c>
      <c r="B5" s="117" t="s">
        <v>2</v>
      </c>
      <c r="C5" s="117" t="s">
        <v>3</v>
      </c>
      <c r="D5" s="117" t="s">
        <v>4430</v>
      </c>
      <c r="E5" s="117" t="s">
        <v>5</v>
      </c>
      <c r="F5" s="117" t="s">
        <v>4122</v>
      </c>
      <c r="G5" s="117" t="s">
        <v>4242</v>
      </c>
      <c r="H5" s="117" t="s">
        <v>4120</v>
      </c>
      <c r="I5" s="117" t="s">
        <v>7</v>
      </c>
      <c r="J5" s="117" t="s">
        <v>8</v>
      </c>
      <c r="K5" s="117" t="s">
        <v>13</v>
      </c>
      <c r="L5" s="268" t="s">
        <v>14</v>
      </c>
      <c r="M5" s="117" t="s">
        <v>15</v>
      </c>
      <c r="N5" s="117" t="s">
        <v>16</v>
      </c>
      <c r="O5" s="209" t="s">
        <v>17</v>
      </c>
    </row>
    <row r="6" spans="1:15" ht="31.5" customHeight="1" x14ac:dyDescent="0.2">
      <c r="A6" s="7">
        <v>1</v>
      </c>
      <c r="B6" s="7">
        <v>1</v>
      </c>
      <c r="C6" s="13" t="s">
        <v>18</v>
      </c>
      <c r="D6" s="7" t="s">
        <v>4432</v>
      </c>
      <c r="E6" s="21" t="s">
        <v>20</v>
      </c>
      <c r="F6" s="3" t="s">
        <v>19</v>
      </c>
      <c r="G6" s="3" t="s">
        <v>4244</v>
      </c>
      <c r="H6" s="7">
        <f>IFERROR(VLOOKUP(B6,'📊 Problem Tracker'!$B$4:$F$1200,5,FALSE()),"")</f>
        <v>0</v>
      </c>
      <c r="I6" s="7"/>
      <c r="J6" s="7"/>
      <c r="K6" s="3"/>
      <c r="L6" s="228" t="s">
        <v>23</v>
      </c>
      <c r="M6" s="7" t="s">
        <v>24</v>
      </c>
      <c r="N6" s="176" t="s">
        <v>24</v>
      </c>
      <c r="O6" s="191" t="str">
        <f>HYPERLINK("https://leetcode.com/problems/two-sum/","https://leetcode.com/problems/two-sum/")</f>
        <v>https://leetcode.com/problems/two-sum/</v>
      </c>
    </row>
    <row r="7" spans="1:15" ht="31.5" customHeight="1" x14ac:dyDescent="0.2">
      <c r="A7" s="118">
        <v>2</v>
      </c>
      <c r="B7" s="118">
        <v>2</v>
      </c>
      <c r="C7" s="119" t="s">
        <v>26</v>
      </c>
      <c r="D7" s="118" t="s">
        <v>4433</v>
      </c>
      <c r="E7" s="120" t="s">
        <v>28</v>
      </c>
      <c r="F7" s="121" t="s">
        <v>27</v>
      </c>
      <c r="G7" s="121" t="s">
        <v>127</v>
      </c>
      <c r="H7" s="118">
        <f>IFERROR(VLOOKUP(B7,'📊 Problem Tracker'!$B$4:$F$1200,5,FALSE()),"")</f>
        <v>0</v>
      </c>
      <c r="I7" s="118"/>
      <c r="J7" s="118"/>
      <c r="K7" s="121"/>
      <c r="L7" s="269" t="s">
        <v>31</v>
      </c>
      <c r="M7" s="118" t="s">
        <v>32</v>
      </c>
      <c r="N7" s="180" t="s">
        <v>32</v>
      </c>
      <c r="O7" s="193" t="str">
        <f>HYPERLINK("https://leetcode.com/problems/add-two-numbers/","https://leetcode.com/problems/add-two-numbers/")</f>
        <v>https://leetcode.com/problems/add-two-numbers/</v>
      </c>
    </row>
    <row r="8" spans="1:15" ht="31.5" customHeight="1" x14ac:dyDescent="0.2">
      <c r="A8" s="7">
        <v>3</v>
      </c>
      <c r="B8" s="7">
        <v>3</v>
      </c>
      <c r="C8" s="13" t="s">
        <v>34</v>
      </c>
      <c r="D8" s="7" t="s">
        <v>4434</v>
      </c>
      <c r="E8" s="18" t="s">
        <v>28</v>
      </c>
      <c r="F8" s="3" t="s">
        <v>427</v>
      </c>
      <c r="G8" s="3" t="s">
        <v>917</v>
      </c>
      <c r="H8" s="7">
        <f>IFERROR(VLOOKUP(B8,'📊 Problem Tracker'!$B$4:$F$1200,5,FALSE()),"")</f>
        <v>0</v>
      </c>
      <c r="I8" s="7"/>
      <c r="J8" s="7"/>
      <c r="K8" s="3"/>
      <c r="L8" s="228" t="s">
        <v>37</v>
      </c>
      <c r="M8" s="7" t="s">
        <v>24</v>
      </c>
      <c r="N8" s="176" t="s">
        <v>38</v>
      </c>
      <c r="O8" s="191" t="str">
        <f>HYPERLINK("https://leetcode.com/problems/longest-substring-without-repeating-characters/","https://leetcode.com/problems/longest-substring-without-repeating-characters/")</f>
        <v>https://leetcode.com/problems/longest-substring-without-repeating-characters/</v>
      </c>
    </row>
    <row r="9" spans="1:15" ht="31.5" customHeight="1" x14ac:dyDescent="0.2">
      <c r="A9" s="118">
        <v>4</v>
      </c>
      <c r="B9" s="118">
        <v>4</v>
      </c>
      <c r="C9" s="119" t="s">
        <v>40</v>
      </c>
      <c r="D9" s="118" t="s">
        <v>4435</v>
      </c>
      <c r="E9" s="122" t="s">
        <v>42</v>
      </c>
      <c r="F9" s="121" t="s">
        <v>41</v>
      </c>
      <c r="G9" s="121" t="s">
        <v>512</v>
      </c>
      <c r="H9" s="118">
        <f>IFERROR(VLOOKUP(B9,'📊 Problem Tracker'!$B$4:$F$1200,5,FALSE()),"")</f>
        <v>0</v>
      </c>
      <c r="I9" s="118"/>
      <c r="J9" s="118"/>
      <c r="K9" s="121"/>
      <c r="L9" s="269" t="s">
        <v>4238</v>
      </c>
      <c r="M9" s="118" t="s">
        <v>46</v>
      </c>
      <c r="N9" s="180" t="s">
        <v>47</v>
      </c>
      <c r="O9" s="193" t="str">
        <f>HYPERLINK("https://leetcode.com/problems/median-of-two-sorted-arrays/","https://leetcode.com/problems/median-of-two-sorted-arrays/")</f>
        <v>https://leetcode.com/problems/median-of-two-sorted-arrays/</v>
      </c>
    </row>
    <row r="10" spans="1:15" ht="31.5" customHeight="1" x14ac:dyDescent="0.2">
      <c r="A10" s="7">
        <v>5</v>
      </c>
      <c r="B10" s="7">
        <v>5</v>
      </c>
      <c r="C10" s="13" t="s">
        <v>49</v>
      </c>
      <c r="D10" s="7" t="s">
        <v>4436</v>
      </c>
      <c r="E10" s="18" t="s">
        <v>28</v>
      </c>
      <c r="F10" s="3" t="s">
        <v>50</v>
      </c>
      <c r="G10" s="3" t="s">
        <v>4731</v>
      </c>
      <c r="H10" s="7">
        <f>IFERROR(VLOOKUP(B10,'📊 Problem Tracker'!$B$4:$F$1200,5,FALSE()),"")</f>
        <v>0</v>
      </c>
      <c r="I10" s="7"/>
      <c r="J10" s="7"/>
      <c r="K10" s="3"/>
      <c r="L10" s="228" t="s">
        <v>52</v>
      </c>
      <c r="M10" s="7" t="s">
        <v>53</v>
      </c>
      <c r="N10" s="176" t="s">
        <v>47</v>
      </c>
      <c r="O10" s="191" t="str">
        <f>HYPERLINK("https://leetcode.com/problems/longest-palindromic-substring/","https://leetcode.com/problems/longest-palindromic-substring/")</f>
        <v>https://leetcode.com/problems/longest-palindromic-substring/</v>
      </c>
    </row>
    <row r="11" spans="1:15" ht="31.5" customHeight="1" x14ac:dyDescent="0.2">
      <c r="A11" s="118">
        <v>6</v>
      </c>
      <c r="B11" s="118">
        <v>6</v>
      </c>
      <c r="C11" s="119" t="s">
        <v>55</v>
      </c>
      <c r="D11" s="118" t="s">
        <v>4437</v>
      </c>
      <c r="E11" s="120" t="s">
        <v>28</v>
      </c>
      <c r="F11" s="121" t="s">
        <v>56</v>
      </c>
      <c r="G11" s="121" t="s">
        <v>98</v>
      </c>
      <c r="H11" s="118">
        <f>IFERROR(VLOOKUP(B11,'📊 Problem Tracker'!$B$4:$F$1200,5,FALSE()),"")</f>
        <v>0</v>
      </c>
      <c r="I11" s="118"/>
      <c r="J11" s="118"/>
      <c r="K11" s="121"/>
      <c r="L11" s="269" t="s">
        <v>59</v>
      </c>
      <c r="M11" s="118" t="s">
        <v>24</v>
      </c>
      <c r="N11" s="180" t="s">
        <v>24</v>
      </c>
      <c r="O11" s="193" t="str">
        <f>HYPERLINK("https://leetcode.com/problems/zigzag-conversion/","https://leetcode.com/problems/zigzag-conversion/")</f>
        <v>https://leetcode.com/problems/zigzag-conversion/</v>
      </c>
    </row>
    <row r="12" spans="1:15" ht="31.5" customHeight="1" x14ac:dyDescent="0.2">
      <c r="A12" s="7">
        <v>7</v>
      </c>
      <c r="B12" s="7">
        <v>7</v>
      </c>
      <c r="C12" s="13" t="s">
        <v>61</v>
      </c>
      <c r="D12" s="7" t="s">
        <v>4438</v>
      </c>
      <c r="E12" s="18" t="s">
        <v>28</v>
      </c>
      <c r="F12" s="3" t="s">
        <v>62</v>
      </c>
      <c r="G12" s="3" t="s">
        <v>62</v>
      </c>
      <c r="H12" s="7">
        <f>IFERROR(VLOOKUP(B12,'📊 Problem Tracker'!$B$4:$F$1200,5,FALSE()),"")</f>
        <v>0</v>
      </c>
      <c r="I12" s="7"/>
      <c r="J12" s="7"/>
      <c r="K12" s="3"/>
      <c r="L12" s="228" t="s">
        <v>64</v>
      </c>
      <c r="M12" s="7" t="s">
        <v>65</v>
      </c>
      <c r="N12" s="176" t="s">
        <v>47</v>
      </c>
      <c r="O12" s="191" t="str">
        <f>HYPERLINK("https://leetcode.com/problems/reverse-integer/","https://leetcode.com/problems/reverse-integer/")</f>
        <v>https://leetcode.com/problems/reverse-integer/</v>
      </c>
    </row>
    <row r="13" spans="1:15" ht="31.5" customHeight="1" x14ac:dyDescent="0.2">
      <c r="A13" s="118">
        <v>8</v>
      </c>
      <c r="B13" s="118">
        <v>8</v>
      </c>
      <c r="C13" s="119" t="s">
        <v>67</v>
      </c>
      <c r="D13" s="118" t="s">
        <v>4439</v>
      </c>
      <c r="E13" s="120" t="s">
        <v>28</v>
      </c>
      <c r="F13" s="121" t="s">
        <v>56</v>
      </c>
      <c r="G13" s="121" t="s">
        <v>4246</v>
      </c>
      <c r="H13" s="118">
        <f>IFERROR(VLOOKUP(B13,'📊 Problem Tracker'!$B$4:$F$1200,5,FALSE()),"")</f>
        <v>0</v>
      </c>
      <c r="I13" s="118"/>
      <c r="J13" s="118"/>
      <c r="K13" s="121"/>
      <c r="L13" s="269" t="s">
        <v>70</v>
      </c>
      <c r="M13" s="118" t="s">
        <v>24</v>
      </c>
      <c r="N13" s="180" t="s">
        <v>47</v>
      </c>
      <c r="O13" s="193" t="str">
        <f>HYPERLINK("https://leetcode.com/problems/string-to-integer-atoi/","https://leetcode.com/problems/string-to-integer-atoi/")</f>
        <v>https://leetcode.com/problems/string-to-integer-atoi/</v>
      </c>
    </row>
    <row r="14" spans="1:15" ht="31.5" customHeight="1" x14ac:dyDescent="0.2">
      <c r="A14" s="7">
        <v>9</v>
      </c>
      <c r="B14" s="7">
        <v>10</v>
      </c>
      <c r="C14" s="13" t="s">
        <v>77</v>
      </c>
      <c r="D14" s="7" t="s">
        <v>4441</v>
      </c>
      <c r="E14" s="20" t="s">
        <v>42</v>
      </c>
      <c r="F14" s="3" t="s">
        <v>675</v>
      </c>
      <c r="G14" s="3" t="s">
        <v>1042</v>
      </c>
      <c r="H14" s="7">
        <f>IFERROR(VLOOKUP(B14,'📊 Problem Tracker'!$B$4:$F$1200,5,FALSE()),"")</f>
        <v>0</v>
      </c>
      <c r="I14" s="7"/>
      <c r="J14" s="7"/>
      <c r="K14" s="3"/>
      <c r="L14" s="228" t="s">
        <v>80</v>
      </c>
      <c r="M14" s="7" t="s">
        <v>81</v>
      </c>
      <c r="N14" s="176" t="s">
        <v>81</v>
      </c>
      <c r="O14" s="191" t="str">
        <f>HYPERLINK("https://leetcode.com/problems/regular-expression-matching/","https://leetcode.com/problems/regular-expression-matching/")</f>
        <v>https://leetcode.com/problems/regular-expression-matching/</v>
      </c>
    </row>
    <row r="15" spans="1:15" ht="31.5" customHeight="1" x14ac:dyDescent="0.2">
      <c r="A15" s="118">
        <v>10</v>
      </c>
      <c r="B15" s="118">
        <v>11</v>
      </c>
      <c r="C15" s="119" t="s">
        <v>83</v>
      </c>
      <c r="D15" s="118" t="s">
        <v>4442</v>
      </c>
      <c r="E15" s="120" t="s">
        <v>28</v>
      </c>
      <c r="F15" s="121" t="s">
        <v>84</v>
      </c>
      <c r="G15" s="121" t="s">
        <v>689</v>
      </c>
      <c r="H15" s="118">
        <f>IFERROR(VLOOKUP(B15,'📊 Problem Tracker'!$B$4:$F$1200,5,FALSE()),"")</f>
        <v>0</v>
      </c>
      <c r="I15" s="118"/>
      <c r="J15" s="118"/>
      <c r="K15" s="121"/>
      <c r="L15" s="269" t="s">
        <v>86</v>
      </c>
      <c r="M15" s="118" t="s">
        <v>24</v>
      </c>
      <c r="N15" s="180" t="s">
        <v>47</v>
      </c>
      <c r="O15" s="193" t="str">
        <f>HYPERLINK("https://leetcode.com/problems/container-with-most-water/","https://leetcode.com/problems/container-with-most-water/")</f>
        <v>https://leetcode.com/problems/container-with-most-water/</v>
      </c>
    </row>
    <row r="16" spans="1:15" ht="31.5" customHeight="1" x14ac:dyDescent="0.2">
      <c r="A16" s="7">
        <v>11</v>
      </c>
      <c r="B16" s="7">
        <v>13</v>
      </c>
      <c r="C16" s="13" t="s">
        <v>93</v>
      </c>
      <c r="D16" s="7" t="s">
        <v>4444</v>
      </c>
      <c r="E16" s="21" t="s">
        <v>20</v>
      </c>
      <c r="F16" s="3" t="s">
        <v>56</v>
      </c>
      <c r="G16" s="3" t="s">
        <v>62</v>
      </c>
      <c r="H16" s="7">
        <f>IFERROR(VLOOKUP(B16,'📊 Problem Tracker'!$B$4:$F$1200,5,FALSE()),"")</f>
        <v>0</v>
      </c>
      <c r="I16" s="7"/>
      <c r="J16" s="7"/>
      <c r="K16" s="3"/>
      <c r="L16" s="228" t="s">
        <v>95</v>
      </c>
      <c r="M16" s="7" t="s">
        <v>24</v>
      </c>
      <c r="N16" s="176" t="s">
        <v>47</v>
      </c>
      <c r="O16" s="191" t="str">
        <f>HYPERLINK("https://leetcode.com/problems/roman-to-integer/","https://leetcode.com/problems/roman-to-integer/")</f>
        <v>https://leetcode.com/problems/roman-to-integer/</v>
      </c>
    </row>
    <row r="17" spans="1:15" ht="31.5" customHeight="1" x14ac:dyDescent="0.2">
      <c r="A17" s="118">
        <v>12</v>
      </c>
      <c r="B17" s="118">
        <v>14</v>
      </c>
      <c r="C17" s="119" t="s">
        <v>97</v>
      </c>
      <c r="D17" s="118" t="s">
        <v>4445</v>
      </c>
      <c r="E17" s="123" t="s">
        <v>20</v>
      </c>
      <c r="F17" s="121" t="s">
        <v>98</v>
      </c>
      <c r="G17" s="121" t="s">
        <v>98</v>
      </c>
      <c r="H17" s="118">
        <f>IFERROR(VLOOKUP(B17,'📊 Problem Tracker'!$B$4:$F$1200,5,FALSE()),"")</f>
        <v>0</v>
      </c>
      <c r="I17" s="118"/>
      <c r="J17" s="118"/>
      <c r="K17" s="121"/>
      <c r="L17" s="269" t="s">
        <v>100</v>
      </c>
      <c r="M17" s="118" t="s">
        <v>101</v>
      </c>
      <c r="N17" s="180" t="s">
        <v>47</v>
      </c>
      <c r="O17" s="193" t="str">
        <f>HYPERLINK("https://leetcode.com/problems/longest-common-prefix/","https://leetcode.com/problems/longest-common-prefix/")</f>
        <v>https://leetcode.com/problems/longest-common-prefix/</v>
      </c>
    </row>
    <row r="18" spans="1:15" ht="31.5" customHeight="1" x14ac:dyDescent="0.2">
      <c r="A18" s="7">
        <v>13</v>
      </c>
      <c r="B18" s="7">
        <v>15</v>
      </c>
      <c r="C18" s="13" t="s">
        <v>103</v>
      </c>
      <c r="D18" s="7" t="s">
        <v>4446</v>
      </c>
      <c r="E18" s="18" t="s">
        <v>28</v>
      </c>
      <c r="F18" s="3" t="s">
        <v>84</v>
      </c>
      <c r="G18" s="3" t="s">
        <v>689</v>
      </c>
      <c r="H18" s="7">
        <f>IFERROR(VLOOKUP(B18,'📊 Problem Tracker'!$B$4:$F$1200,5,FALSE()),"")</f>
        <v>0</v>
      </c>
      <c r="I18" s="7"/>
      <c r="J18" s="7"/>
      <c r="K18" s="3"/>
      <c r="L18" s="228" t="s">
        <v>106</v>
      </c>
      <c r="M18" s="7" t="s">
        <v>53</v>
      </c>
      <c r="N18" s="176" t="s">
        <v>47</v>
      </c>
      <c r="O18" s="191" t="str">
        <f>HYPERLINK("https://leetcode.com/problems/3sum/","https://leetcode.com/problems/3sum/")</f>
        <v>https://leetcode.com/problems/3sum/</v>
      </c>
    </row>
    <row r="19" spans="1:15" ht="31.5" customHeight="1" x14ac:dyDescent="0.2">
      <c r="A19" s="118">
        <v>14</v>
      </c>
      <c r="B19" s="118">
        <v>17</v>
      </c>
      <c r="C19" s="119" t="s">
        <v>113</v>
      </c>
      <c r="D19" s="118" t="s">
        <v>4448</v>
      </c>
      <c r="E19" s="120" t="s">
        <v>28</v>
      </c>
      <c r="F19" s="121" t="s">
        <v>114</v>
      </c>
      <c r="G19" s="121" t="s">
        <v>300</v>
      </c>
      <c r="H19" s="118">
        <f>IFERROR(VLOOKUP(B19,'📊 Problem Tracker'!$B$4:$F$1200,5,FALSE()),"")</f>
        <v>0</v>
      </c>
      <c r="I19" s="118"/>
      <c r="J19" s="118"/>
      <c r="K19" s="121"/>
      <c r="L19" s="269" t="s">
        <v>117</v>
      </c>
      <c r="M19" s="118" t="s">
        <v>118</v>
      </c>
      <c r="N19" s="180" t="s">
        <v>24</v>
      </c>
      <c r="O19" s="193" t="str">
        <f>HYPERLINK("https://leetcode.com/problems/letter-combinations-of-a-phone-number/","https://leetcode.com/problems/letter-combinations-of-a-phone-number/")</f>
        <v>https://leetcode.com/problems/letter-combinations-of-a-phone-number/</v>
      </c>
    </row>
    <row r="20" spans="1:15" ht="31.5" customHeight="1" x14ac:dyDescent="0.2">
      <c r="A20" s="7">
        <v>15</v>
      </c>
      <c r="B20" s="7">
        <v>18</v>
      </c>
      <c r="C20" s="13" t="s">
        <v>120</v>
      </c>
      <c r="D20" s="7" t="s">
        <v>4449</v>
      </c>
      <c r="E20" s="18" t="s">
        <v>28</v>
      </c>
      <c r="F20" s="3" t="s">
        <v>84</v>
      </c>
      <c r="G20" s="3" t="s">
        <v>689</v>
      </c>
      <c r="H20" s="7">
        <f>IFERROR(VLOOKUP(B20,'📊 Problem Tracker'!$B$4:$F$1200,5,FALSE()),"")</f>
        <v>0</v>
      </c>
      <c r="I20" s="7"/>
      <c r="J20" s="7"/>
      <c r="K20" s="3"/>
      <c r="L20" s="228" t="s">
        <v>123</v>
      </c>
      <c r="M20" s="7" t="s">
        <v>124</v>
      </c>
      <c r="N20" s="176" t="s">
        <v>47</v>
      </c>
      <c r="O20" s="191" t="str">
        <f>HYPERLINK("https://leetcode.com/problems/4sum/","https://leetcode.com/problems/4sum/")</f>
        <v>https://leetcode.com/problems/4sum/</v>
      </c>
    </row>
    <row r="21" spans="1:15" ht="31.5" customHeight="1" x14ac:dyDescent="0.2">
      <c r="A21" s="118">
        <v>16</v>
      </c>
      <c r="B21" s="118">
        <v>19</v>
      </c>
      <c r="C21" s="119" t="s">
        <v>126</v>
      </c>
      <c r="D21" s="118" t="s">
        <v>4450</v>
      </c>
      <c r="E21" s="120" t="s">
        <v>28</v>
      </c>
      <c r="F21" s="121" t="s">
        <v>679</v>
      </c>
      <c r="G21" s="121" t="s">
        <v>127</v>
      </c>
      <c r="H21" s="118">
        <f>IFERROR(VLOOKUP(B21,'📊 Problem Tracker'!$B$4:$F$1200,5,FALSE()),"")</f>
        <v>0</v>
      </c>
      <c r="I21" s="118"/>
      <c r="J21" s="118"/>
      <c r="K21" s="121"/>
      <c r="L21" s="269" t="s">
        <v>130</v>
      </c>
      <c r="M21" s="118" t="s">
        <v>24</v>
      </c>
      <c r="N21" s="180" t="s">
        <v>47</v>
      </c>
      <c r="O21" s="193" t="str">
        <f>HYPERLINK("https://leetcode.com/problems/remove-nth-node-from-end-of-list/","https://leetcode.com/problems/remove-nth-node-from-end-of-list/")</f>
        <v>https://leetcode.com/problems/remove-nth-node-from-end-of-list/</v>
      </c>
    </row>
    <row r="22" spans="1:15" ht="31.5" customHeight="1" x14ac:dyDescent="0.2">
      <c r="A22" s="7">
        <v>17</v>
      </c>
      <c r="B22" s="7">
        <v>20</v>
      </c>
      <c r="C22" s="13" t="s">
        <v>132</v>
      </c>
      <c r="D22" s="7" t="s">
        <v>4451</v>
      </c>
      <c r="E22" s="21" t="s">
        <v>20</v>
      </c>
      <c r="F22" s="3" t="s">
        <v>133</v>
      </c>
      <c r="G22" s="3" t="s">
        <v>540</v>
      </c>
      <c r="H22" s="7">
        <f>IFERROR(VLOOKUP(B22,'📊 Problem Tracker'!$B$4:$F$1200,5,FALSE()),"")</f>
        <v>0</v>
      </c>
      <c r="I22" s="7"/>
      <c r="J22" s="7"/>
      <c r="K22" s="3"/>
      <c r="L22" s="228" t="s">
        <v>135</v>
      </c>
      <c r="M22" s="7" t="s">
        <v>24</v>
      </c>
      <c r="N22" s="176" t="s">
        <v>24</v>
      </c>
      <c r="O22" s="191" t="str">
        <f>HYPERLINK("https://leetcode.com/problems/valid-parentheses/","https://leetcode.com/problems/valid-parentheses/")</f>
        <v>https://leetcode.com/problems/valid-parentheses/</v>
      </c>
    </row>
    <row r="23" spans="1:15" ht="31.5" customHeight="1" x14ac:dyDescent="0.2">
      <c r="A23" s="118">
        <v>18</v>
      </c>
      <c r="B23" s="118">
        <v>21</v>
      </c>
      <c r="C23" s="119" t="s">
        <v>137</v>
      </c>
      <c r="D23" s="118" t="s">
        <v>4452</v>
      </c>
      <c r="E23" s="123" t="s">
        <v>20</v>
      </c>
      <c r="F23" s="121" t="s">
        <v>127</v>
      </c>
      <c r="G23" s="121" t="s">
        <v>127</v>
      </c>
      <c r="H23" s="118">
        <f>IFERROR(VLOOKUP(B23,'📊 Problem Tracker'!$B$4:$F$1200,5,FALSE()),"")</f>
        <v>0</v>
      </c>
      <c r="I23" s="118"/>
      <c r="J23" s="118"/>
      <c r="K23" s="121"/>
      <c r="L23" s="269" t="s">
        <v>139</v>
      </c>
      <c r="M23" s="118" t="s">
        <v>140</v>
      </c>
      <c r="N23" s="180" t="s">
        <v>141</v>
      </c>
      <c r="O23" s="193" t="str">
        <f>HYPERLINK("https://leetcode.com/problems/merge-two-sorted-lists/","https://leetcode.com/problems/merge-two-sorted-lists/")</f>
        <v>https://leetcode.com/problems/merge-two-sorted-lists/</v>
      </c>
    </row>
    <row r="24" spans="1:15" ht="31.5" customHeight="1" x14ac:dyDescent="0.2">
      <c r="A24" s="7">
        <v>19</v>
      </c>
      <c r="B24" s="7">
        <v>22</v>
      </c>
      <c r="C24" s="13" t="s">
        <v>143</v>
      </c>
      <c r="D24" s="7" t="s">
        <v>4453</v>
      </c>
      <c r="E24" s="18" t="s">
        <v>28</v>
      </c>
      <c r="F24" s="3" t="s">
        <v>4251</v>
      </c>
      <c r="G24" s="3" t="s">
        <v>300</v>
      </c>
      <c r="H24" s="7">
        <f>IFERROR(VLOOKUP(B24,'📊 Problem Tracker'!$B$4:$F$1200,5,FALSE()),"")</f>
        <v>0</v>
      </c>
      <c r="I24" s="7"/>
      <c r="J24" s="7"/>
      <c r="K24" s="3"/>
      <c r="L24" s="228" t="s">
        <v>145</v>
      </c>
      <c r="M24" s="7" t="s">
        <v>146</v>
      </c>
      <c r="N24" s="176" t="s">
        <v>24</v>
      </c>
      <c r="O24" s="191" t="str">
        <f>HYPERLINK("https://leetcode.com/problems/generate-parentheses/","https://leetcode.com/problems/generate-parentheses/")</f>
        <v>https://leetcode.com/problems/generate-parentheses/</v>
      </c>
    </row>
    <row r="25" spans="1:15" ht="31.5" customHeight="1" x14ac:dyDescent="0.2">
      <c r="A25" s="118">
        <v>20</v>
      </c>
      <c r="B25" s="118">
        <v>23</v>
      </c>
      <c r="C25" s="119" t="s">
        <v>148</v>
      </c>
      <c r="D25" s="118" t="s">
        <v>4454</v>
      </c>
      <c r="E25" s="122" t="s">
        <v>42</v>
      </c>
      <c r="F25" s="121" t="s">
        <v>149</v>
      </c>
      <c r="G25" s="121" t="s">
        <v>4455</v>
      </c>
      <c r="H25" s="118">
        <f>IFERROR(VLOOKUP(B25,'📊 Problem Tracker'!$B$4:$F$1200,5,FALSE()),"")</f>
        <v>0</v>
      </c>
      <c r="I25" s="118"/>
      <c r="J25" s="118"/>
      <c r="K25" s="121"/>
      <c r="L25" s="269" t="s">
        <v>151</v>
      </c>
      <c r="M25" s="118" t="s">
        <v>152</v>
      </c>
      <c r="N25" s="180" t="s">
        <v>153</v>
      </c>
      <c r="O25" s="193" t="str">
        <f>HYPERLINK("https://leetcode.com/problems/merge-k-sorted-lists/","https://leetcode.com/problems/merge-k-sorted-lists/")</f>
        <v>https://leetcode.com/problems/merge-k-sorted-lists/</v>
      </c>
    </row>
    <row r="26" spans="1:15" ht="31.5" customHeight="1" x14ac:dyDescent="0.2">
      <c r="A26" s="7">
        <v>21</v>
      </c>
      <c r="B26" s="7">
        <v>25</v>
      </c>
      <c r="C26" s="13" t="s">
        <v>160</v>
      </c>
      <c r="D26" s="7" t="s">
        <v>4457</v>
      </c>
      <c r="E26" s="20" t="s">
        <v>42</v>
      </c>
      <c r="F26" s="3" t="s">
        <v>127</v>
      </c>
      <c r="G26" s="3" t="s">
        <v>4458</v>
      </c>
      <c r="H26" s="7">
        <f>IFERROR(VLOOKUP(B26,'📊 Problem Tracker'!$B$4:$F$1200,5,FALSE()),"")</f>
        <v>0</v>
      </c>
      <c r="I26" s="7"/>
      <c r="J26" s="7"/>
      <c r="K26" s="3"/>
      <c r="L26" s="228" t="s">
        <v>163</v>
      </c>
      <c r="M26" s="7" t="s">
        <v>24</v>
      </c>
      <c r="N26" s="176" t="s">
        <v>47</v>
      </c>
      <c r="O26" s="191" t="str">
        <f>HYPERLINK("https://leetcode.com/problems/reverse-nodes-in-k-group/","https://leetcode.com/problems/reverse-nodes-in-k-group/")</f>
        <v>https://leetcode.com/problems/reverse-nodes-in-k-group/</v>
      </c>
    </row>
    <row r="27" spans="1:15" ht="31.5" customHeight="1" x14ac:dyDescent="0.2">
      <c r="A27" s="118">
        <v>22</v>
      </c>
      <c r="B27" s="118">
        <v>26</v>
      </c>
      <c r="C27" s="119" t="s">
        <v>165</v>
      </c>
      <c r="D27" s="118" t="s">
        <v>4459</v>
      </c>
      <c r="E27" s="123" t="s">
        <v>20</v>
      </c>
      <c r="F27" s="121" t="s">
        <v>84</v>
      </c>
      <c r="G27" s="121" t="s">
        <v>689</v>
      </c>
      <c r="H27" s="118">
        <f>IFERROR(VLOOKUP(B27,'📊 Problem Tracker'!$B$4:$F$1200,5,FALSE()),"")</f>
        <v>0</v>
      </c>
      <c r="I27" s="118"/>
      <c r="J27" s="118"/>
      <c r="K27" s="121"/>
      <c r="L27" s="269" t="s">
        <v>169</v>
      </c>
      <c r="M27" s="118" t="s">
        <v>24</v>
      </c>
      <c r="N27" s="180" t="s">
        <v>47</v>
      </c>
      <c r="O27" s="193" t="str">
        <f>HYPERLINK("https://leetcode.com/problems/remove-duplicates-from-sorted-array/","https://leetcode.com/problems/remove-duplicates-from-sorted-array/")</f>
        <v>https://leetcode.com/problems/remove-duplicates-from-sorted-array/</v>
      </c>
    </row>
    <row r="28" spans="1:15" ht="31.5" customHeight="1" x14ac:dyDescent="0.2">
      <c r="A28" s="7">
        <v>23</v>
      </c>
      <c r="B28" s="7">
        <v>27</v>
      </c>
      <c r="C28" s="13" t="s">
        <v>171</v>
      </c>
      <c r="D28" s="7" t="s">
        <v>4460</v>
      </c>
      <c r="E28" s="21" t="s">
        <v>20</v>
      </c>
      <c r="F28" s="3" t="s">
        <v>166</v>
      </c>
      <c r="G28" s="3" t="s">
        <v>166</v>
      </c>
      <c r="H28" s="7">
        <f>IFERROR(VLOOKUP(B28,'📊 Problem Tracker'!$B$4:$F$1200,5,FALSE()),"")</f>
        <v>0</v>
      </c>
      <c r="I28" s="7"/>
      <c r="J28" s="7"/>
      <c r="K28" s="3"/>
      <c r="L28" s="228" t="s">
        <v>173</v>
      </c>
      <c r="M28" s="7" t="s">
        <v>24</v>
      </c>
      <c r="N28" s="176" t="s">
        <v>47</v>
      </c>
      <c r="O28" s="191" t="str">
        <f>HYPERLINK("https://leetcode.com/problems/remove-element/","https://leetcode.com/problems/remove-element/")</f>
        <v>https://leetcode.com/problems/remove-element/</v>
      </c>
    </row>
    <row r="29" spans="1:15" ht="31.5" customHeight="1" x14ac:dyDescent="0.2">
      <c r="A29" s="118">
        <v>24</v>
      </c>
      <c r="B29" s="118">
        <v>28</v>
      </c>
      <c r="C29" s="119" t="s">
        <v>175</v>
      </c>
      <c r="D29" s="118" t="s">
        <v>4461</v>
      </c>
      <c r="E29" s="123" t="s">
        <v>20</v>
      </c>
      <c r="F29" s="121" t="s">
        <v>611</v>
      </c>
      <c r="G29" s="121" t="s">
        <v>4732</v>
      </c>
      <c r="H29" s="118">
        <f>IFERROR(VLOOKUP(B29,'📊 Problem Tracker'!$B$4:$F$1200,5,FALSE()),"")</f>
        <v>0</v>
      </c>
      <c r="I29" s="118"/>
      <c r="J29" s="118"/>
      <c r="K29" s="121"/>
      <c r="L29" s="269" t="s">
        <v>177</v>
      </c>
      <c r="M29" s="118" t="s">
        <v>178</v>
      </c>
      <c r="N29" s="180" t="s">
        <v>47</v>
      </c>
      <c r="O29" s="193" t="str">
        <f>HYPERLINK("https://leetcode.com/problems/find-the-index-of-the-first-occurrence-in-a-string/","https://leetcode.com/problems/find-the-index-of-the-first-occurrence-in-a-string/")</f>
        <v>https://leetcode.com/problems/find-the-index-of-the-first-occurrence-in-a-string/</v>
      </c>
    </row>
    <row r="30" spans="1:15" ht="31.5" customHeight="1" x14ac:dyDescent="0.2">
      <c r="A30" s="7">
        <v>25</v>
      </c>
      <c r="B30" s="7">
        <v>30</v>
      </c>
      <c r="C30" s="13" t="s">
        <v>186</v>
      </c>
      <c r="D30" s="7" t="s">
        <v>4733</v>
      </c>
      <c r="E30" s="20" t="s">
        <v>42</v>
      </c>
      <c r="F30" s="3" t="s">
        <v>4734</v>
      </c>
      <c r="G30" s="3" t="s">
        <v>4735</v>
      </c>
      <c r="H30" s="7">
        <f>IFERROR(VLOOKUP(B30,'📊 Problem Tracker'!$B$4:$F$1200,5,FALSE()),"")</f>
        <v>0</v>
      </c>
      <c r="I30" s="7"/>
      <c r="J30" s="7"/>
      <c r="K30" s="3"/>
      <c r="L30" s="228" t="s">
        <v>189</v>
      </c>
      <c r="M30" s="7" t="s">
        <v>190</v>
      </c>
      <c r="N30" s="176" t="s">
        <v>153</v>
      </c>
      <c r="O30" s="191" t="str">
        <f>HYPERLINK("https://leetcode.com/problems/substring-with-concatenation-of-all-words/","https://leetcode.com/problems/substring-with-concatenation-of-all-words/")</f>
        <v>https://leetcode.com/problems/substring-with-concatenation-of-all-words/</v>
      </c>
    </row>
    <row r="31" spans="1:15" ht="31.5" customHeight="1" x14ac:dyDescent="0.2">
      <c r="A31" s="118">
        <v>26</v>
      </c>
      <c r="B31" s="118">
        <v>33</v>
      </c>
      <c r="C31" s="119" t="s">
        <v>202</v>
      </c>
      <c r="D31" s="118" t="s">
        <v>4466</v>
      </c>
      <c r="E31" s="120" t="s">
        <v>28</v>
      </c>
      <c r="F31" s="121" t="s">
        <v>41</v>
      </c>
      <c r="G31" s="121" t="s">
        <v>4255</v>
      </c>
      <c r="H31" s="118">
        <f>IFERROR(VLOOKUP(B31,'📊 Problem Tracker'!$B$4:$F$1200,5,FALSE()),"")</f>
        <v>0</v>
      </c>
      <c r="I31" s="118"/>
      <c r="J31" s="118"/>
      <c r="K31" s="121"/>
      <c r="L31" s="269" t="s">
        <v>204</v>
      </c>
      <c r="M31" s="118" t="s">
        <v>65</v>
      </c>
      <c r="N31" s="180" t="s">
        <v>47</v>
      </c>
      <c r="O31" s="193" t="str">
        <f>HYPERLINK("https://leetcode.com/problems/search-in-rotated-sorted-array/","https://leetcode.com/problems/search-in-rotated-sorted-array/")</f>
        <v>https://leetcode.com/problems/search-in-rotated-sorted-array/</v>
      </c>
    </row>
    <row r="32" spans="1:15" ht="31.5" customHeight="1" x14ac:dyDescent="0.2">
      <c r="A32" s="7">
        <v>27</v>
      </c>
      <c r="B32" s="7">
        <v>34</v>
      </c>
      <c r="C32" s="13" t="s">
        <v>206</v>
      </c>
      <c r="D32" s="7" t="s">
        <v>4467</v>
      </c>
      <c r="E32" s="18" t="s">
        <v>28</v>
      </c>
      <c r="F32" s="3" t="s">
        <v>41</v>
      </c>
      <c r="G32" s="3" t="s">
        <v>512</v>
      </c>
      <c r="H32" s="7">
        <f>IFERROR(VLOOKUP(B32,'📊 Problem Tracker'!$B$4:$F$1200,5,FALSE()),"")</f>
        <v>0</v>
      </c>
      <c r="I32" s="7"/>
      <c r="J32" s="7"/>
      <c r="K32" s="3"/>
      <c r="L32" s="228" t="s">
        <v>208</v>
      </c>
      <c r="M32" s="7" t="s">
        <v>65</v>
      </c>
      <c r="N32" s="176" t="s">
        <v>47</v>
      </c>
      <c r="O32" s="191" t="str">
        <f>HYPERLINK("https://leetcode.com/problems/find-first-and-last-position-of-element-in-sorted-array/","https://leetcode.com/problems/find-first-and-last-position-of-element-in-sorted-array/")</f>
        <v>https://leetcode.com/problems/find-first-and-last-position-of-element-in-sorted-array/</v>
      </c>
    </row>
    <row r="33" spans="1:15" ht="31.5" customHeight="1" x14ac:dyDescent="0.2">
      <c r="A33" s="118">
        <v>28</v>
      </c>
      <c r="B33" s="118">
        <v>36</v>
      </c>
      <c r="C33" s="119" t="s">
        <v>214</v>
      </c>
      <c r="D33" s="118" t="s">
        <v>4469</v>
      </c>
      <c r="E33" s="120" t="s">
        <v>28</v>
      </c>
      <c r="F33" s="121" t="s">
        <v>215</v>
      </c>
      <c r="G33" s="121" t="s">
        <v>4470</v>
      </c>
      <c r="H33" s="118">
        <f>IFERROR(VLOOKUP(B33,'📊 Problem Tracker'!$B$4:$F$1200,5,FALSE()),"")</f>
        <v>0</v>
      </c>
      <c r="I33" s="118"/>
      <c r="J33" s="118"/>
      <c r="K33" s="121"/>
      <c r="L33" s="269" t="s">
        <v>218</v>
      </c>
      <c r="M33" s="118" t="s">
        <v>47</v>
      </c>
      <c r="N33" s="180" t="s">
        <v>47</v>
      </c>
      <c r="O33" s="193" t="str">
        <f>HYPERLINK("https://leetcode.com/problems/valid-sudoku/","https://leetcode.com/problems/valid-sudoku/")</f>
        <v>https://leetcode.com/problems/valid-sudoku/</v>
      </c>
    </row>
    <row r="34" spans="1:15" ht="31.5" customHeight="1" x14ac:dyDescent="0.2">
      <c r="A34" s="7">
        <v>29</v>
      </c>
      <c r="B34" s="7">
        <v>37</v>
      </c>
      <c r="C34" s="13" t="s">
        <v>220</v>
      </c>
      <c r="D34" s="7" t="s">
        <v>4471</v>
      </c>
      <c r="E34" s="20" t="s">
        <v>42</v>
      </c>
      <c r="F34" s="3" t="s">
        <v>221</v>
      </c>
      <c r="G34" s="3" t="s">
        <v>300</v>
      </c>
      <c r="H34" s="7">
        <f>IFERROR(VLOOKUP(B34,'📊 Problem Tracker'!$B$4:$F$1200,5,FALSE()),"")</f>
        <v>0</v>
      </c>
      <c r="I34" s="7"/>
      <c r="J34" s="7"/>
      <c r="K34" s="3"/>
      <c r="L34" s="228" t="s">
        <v>224</v>
      </c>
      <c r="M34" s="7" t="s">
        <v>225</v>
      </c>
      <c r="N34" s="176" t="s">
        <v>226</v>
      </c>
      <c r="O34" s="191" t="str">
        <f>HYPERLINK("https://leetcode.com/problems/sudoku-solver/","https://leetcode.com/problems/sudoku-solver/")</f>
        <v>https://leetcode.com/problems/sudoku-solver/</v>
      </c>
    </row>
    <row r="35" spans="1:15" ht="31.5" customHeight="1" x14ac:dyDescent="0.2">
      <c r="A35" s="118">
        <v>30</v>
      </c>
      <c r="B35" s="118">
        <v>39</v>
      </c>
      <c r="C35" s="119" t="s">
        <v>233</v>
      </c>
      <c r="D35" s="118" t="s">
        <v>4473</v>
      </c>
      <c r="E35" s="120" t="s">
        <v>28</v>
      </c>
      <c r="F35" s="121" t="s">
        <v>234</v>
      </c>
      <c r="G35" s="121" t="s">
        <v>300</v>
      </c>
      <c r="H35" s="118">
        <f>IFERROR(VLOOKUP(B35,'📊 Problem Tracker'!$B$4:$F$1200,5,FALSE()),"")</f>
        <v>0</v>
      </c>
      <c r="I35" s="118"/>
      <c r="J35" s="118"/>
      <c r="K35" s="121"/>
      <c r="L35" s="269" t="s">
        <v>237</v>
      </c>
      <c r="M35" s="118" t="s">
        <v>238</v>
      </c>
      <c r="N35" s="180" t="s">
        <v>239</v>
      </c>
      <c r="O35" s="193" t="str">
        <f>HYPERLINK("https://leetcode.com/problems/combination-sum/","https://leetcode.com/problems/combination-sum/")</f>
        <v>https://leetcode.com/problems/combination-sum/</v>
      </c>
    </row>
    <row r="36" spans="1:15" ht="31.5" customHeight="1" x14ac:dyDescent="0.2">
      <c r="A36" s="7">
        <v>31</v>
      </c>
      <c r="B36" s="7">
        <v>41</v>
      </c>
      <c r="C36" s="13" t="s">
        <v>246</v>
      </c>
      <c r="D36" s="7" t="s">
        <v>4475</v>
      </c>
      <c r="E36" s="20" t="s">
        <v>42</v>
      </c>
      <c r="F36" s="3" t="s">
        <v>19</v>
      </c>
      <c r="G36" s="3" t="s">
        <v>1699</v>
      </c>
      <c r="H36" s="7">
        <f>IFERROR(VLOOKUP(B36,'📊 Problem Tracker'!$B$4:$F$1200,5,FALSE()),"")</f>
        <v>0</v>
      </c>
      <c r="I36" s="7"/>
      <c r="J36" s="7"/>
      <c r="K36" s="3"/>
      <c r="L36" s="228" t="s">
        <v>249</v>
      </c>
      <c r="M36" s="7" t="s">
        <v>24</v>
      </c>
      <c r="N36" s="176" t="s">
        <v>47</v>
      </c>
      <c r="O36" s="191" t="str">
        <f>HYPERLINK("https://leetcode.com/problems/first-missing-positive/","https://leetcode.com/problems/first-missing-positive/")</f>
        <v>https://leetcode.com/problems/first-missing-positive/</v>
      </c>
    </row>
    <row r="37" spans="1:15" ht="31.5" customHeight="1" x14ac:dyDescent="0.2">
      <c r="A37" s="118">
        <v>32</v>
      </c>
      <c r="B37" s="118">
        <v>42</v>
      </c>
      <c r="C37" s="119" t="s">
        <v>251</v>
      </c>
      <c r="D37" s="118" t="s">
        <v>4476</v>
      </c>
      <c r="E37" s="122" t="s">
        <v>42</v>
      </c>
      <c r="F37" s="121" t="s">
        <v>4259</v>
      </c>
      <c r="G37" s="121" t="s">
        <v>4477</v>
      </c>
      <c r="H37" s="118">
        <f>IFERROR(VLOOKUP(B37,'📊 Problem Tracker'!$B$4:$F$1200,5,FALSE()),"")</f>
        <v>0</v>
      </c>
      <c r="I37" s="118"/>
      <c r="J37" s="118"/>
      <c r="K37" s="121"/>
      <c r="L37" s="269" t="s">
        <v>254</v>
      </c>
      <c r="M37" s="118" t="s">
        <v>24</v>
      </c>
      <c r="N37" s="180" t="s">
        <v>47</v>
      </c>
      <c r="O37" s="193" t="str">
        <f>HYPERLINK("https://leetcode.com/problems/trapping-rain-water/","https://leetcode.com/problems/trapping-rain-water/")</f>
        <v>https://leetcode.com/problems/trapping-rain-water/</v>
      </c>
    </row>
    <row r="38" spans="1:15" ht="31.5" customHeight="1" x14ac:dyDescent="0.2">
      <c r="A38" s="7">
        <v>33</v>
      </c>
      <c r="B38" s="7">
        <v>45</v>
      </c>
      <c r="C38" s="13" t="s">
        <v>266</v>
      </c>
      <c r="D38" s="7" t="s">
        <v>4479</v>
      </c>
      <c r="E38" s="18" t="s">
        <v>28</v>
      </c>
      <c r="F38" s="3" t="s">
        <v>267</v>
      </c>
      <c r="G38" s="3" t="s">
        <v>4348</v>
      </c>
      <c r="H38" s="7">
        <f>IFERROR(VLOOKUP(B38,'📊 Problem Tracker'!$B$4:$F$1200,5,FALSE()),"")</f>
        <v>0</v>
      </c>
      <c r="I38" s="7"/>
      <c r="J38" s="7"/>
      <c r="K38" s="3"/>
      <c r="L38" s="228" t="s">
        <v>270</v>
      </c>
      <c r="M38" s="7" t="s">
        <v>24</v>
      </c>
      <c r="N38" s="176" t="s">
        <v>47</v>
      </c>
      <c r="O38" s="191" t="str">
        <f>HYPERLINK("https://leetcode.com/problems/jump-game-ii/","https://leetcode.com/problems/jump-game-ii/")</f>
        <v>https://leetcode.com/problems/jump-game-ii/</v>
      </c>
    </row>
    <row r="39" spans="1:15" ht="31.5" customHeight="1" x14ac:dyDescent="0.2">
      <c r="A39" s="118">
        <v>34</v>
      </c>
      <c r="B39" s="118">
        <v>46</v>
      </c>
      <c r="C39" s="119" t="s">
        <v>272</v>
      </c>
      <c r="D39" s="118" t="s">
        <v>4480</v>
      </c>
      <c r="E39" s="120" t="s">
        <v>28</v>
      </c>
      <c r="F39" s="121" t="s">
        <v>234</v>
      </c>
      <c r="G39" s="121" t="s">
        <v>300</v>
      </c>
      <c r="H39" s="118">
        <f>IFERROR(VLOOKUP(B39,'📊 Problem Tracker'!$B$4:$F$1200,5,FALSE()),"")</f>
        <v>0</v>
      </c>
      <c r="I39" s="118"/>
      <c r="J39" s="118"/>
      <c r="K39" s="121"/>
      <c r="L39" s="269" t="s">
        <v>274</v>
      </c>
      <c r="M39" s="118" t="s">
        <v>275</v>
      </c>
      <c r="N39" s="180" t="s">
        <v>24</v>
      </c>
      <c r="O39" s="193" t="str">
        <f>HYPERLINK("https://leetcode.com/problems/permutations/","https://leetcode.com/problems/permutations/")</f>
        <v>https://leetcode.com/problems/permutations/</v>
      </c>
    </row>
    <row r="40" spans="1:15" ht="31.5" customHeight="1" x14ac:dyDescent="0.2">
      <c r="A40" s="7">
        <v>35</v>
      </c>
      <c r="B40" s="7">
        <v>47</v>
      </c>
      <c r="C40" s="13" t="s">
        <v>277</v>
      </c>
      <c r="D40" s="7" t="s">
        <v>4623</v>
      </c>
      <c r="E40" s="18" t="s">
        <v>28</v>
      </c>
      <c r="F40" s="3" t="s">
        <v>234</v>
      </c>
      <c r="G40" s="3" t="s">
        <v>300</v>
      </c>
      <c r="H40" s="7">
        <f>IFERROR(VLOOKUP(B40,'📊 Problem Tracker'!$B$4:$F$1200,5,FALSE()),"")</f>
        <v>0</v>
      </c>
      <c r="I40" s="7"/>
      <c r="J40" s="7"/>
      <c r="K40" s="3"/>
      <c r="L40" s="228" t="s">
        <v>280</v>
      </c>
      <c r="M40" s="7" t="s">
        <v>275</v>
      </c>
      <c r="N40" s="176" t="s">
        <v>24</v>
      </c>
      <c r="O40" s="191" t="str">
        <f>HYPERLINK("https://leetcode.com/problems/permutations-ii/","https://leetcode.com/problems/permutations-ii/")</f>
        <v>https://leetcode.com/problems/permutations-ii/</v>
      </c>
    </row>
    <row r="41" spans="1:15" ht="31.5" customHeight="1" x14ac:dyDescent="0.2">
      <c r="A41" s="118">
        <v>36</v>
      </c>
      <c r="B41" s="118">
        <v>48</v>
      </c>
      <c r="C41" s="119" t="s">
        <v>282</v>
      </c>
      <c r="D41" s="118" t="s">
        <v>4481</v>
      </c>
      <c r="E41" s="120" t="s">
        <v>28</v>
      </c>
      <c r="F41" s="121" t="s">
        <v>283</v>
      </c>
      <c r="G41" s="121" t="s">
        <v>4187</v>
      </c>
      <c r="H41" s="118">
        <f>IFERROR(VLOOKUP(B41,'📊 Problem Tracker'!$B$4:$F$1200,5,FALSE()),"")</f>
        <v>0</v>
      </c>
      <c r="I41" s="118"/>
      <c r="J41" s="118"/>
      <c r="K41" s="121"/>
      <c r="L41" s="269" t="s">
        <v>286</v>
      </c>
      <c r="M41" s="118" t="s">
        <v>53</v>
      </c>
      <c r="N41" s="180" t="s">
        <v>47</v>
      </c>
      <c r="O41" s="193" t="str">
        <f>HYPERLINK("https://leetcode.com/problems/rotate-image/","https://leetcode.com/problems/rotate-image/")</f>
        <v>https://leetcode.com/problems/rotate-image/</v>
      </c>
    </row>
    <row r="42" spans="1:15" ht="31.5" customHeight="1" x14ac:dyDescent="0.2">
      <c r="A42" s="7">
        <v>37</v>
      </c>
      <c r="B42" s="7">
        <v>49</v>
      </c>
      <c r="C42" s="13" t="s">
        <v>288</v>
      </c>
      <c r="D42" s="7" t="s">
        <v>4482</v>
      </c>
      <c r="E42" s="18" t="s">
        <v>28</v>
      </c>
      <c r="F42" s="3" t="s">
        <v>289</v>
      </c>
      <c r="G42" s="3" t="s">
        <v>4244</v>
      </c>
      <c r="H42" s="7">
        <f>IFERROR(VLOOKUP(B42,'📊 Problem Tracker'!$B$4:$F$1200,5,FALSE()),"")</f>
        <v>0</v>
      </c>
      <c r="I42" s="7"/>
      <c r="J42" s="7"/>
      <c r="K42" s="3"/>
      <c r="L42" s="228" t="s">
        <v>291</v>
      </c>
      <c r="M42" s="7" t="s">
        <v>292</v>
      </c>
      <c r="N42" s="176" t="s">
        <v>292</v>
      </c>
      <c r="O42" s="191" t="str">
        <f>HYPERLINK("https://leetcode.com/problems/group-anagrams/","https://leetcode.com/problems/group-anagrams/")</f>
        <v>https://leetcode.com/problems/group-anagrams/</v>
      </c>
    </row>
    <row r="43" spans="1:15" ht="31.5" customHeight="1" x14ac:dyDescent="0.2">
      <c r="A43" s="118">
        <v>38</v>
      </c>
      <c r="B43" s="118">
        <v>53</v>
      </c>
      <c r="C43" s="119" t="s">
        <v>308</v>
      </c>
      <c r="D43" s="118" t="s">
        <v>4486</v>
      </c>
      <c r="E43" s="120" t="s">
        <v>28</v>
      </c>
      <c r="F43" s="121" t="s">
        <v>309</v>
      </c>
      <c r="G43" s="121" t="s">
        <v>4261</v>
      </c>
      <c r="H43" s="118">
        <f>IFERROR(VLOOKUP(B43,'📊 Problem Tracker'!$B$4:$F$1200,5,FALSE()),"")</f>
        <v>0</v>
      </c>
      <c r="I43" s="118"/>
      <c r="J43" s="118"/>
      <c r="K43" s="121"/>
      <c r="L43" s="269" t="s">
        <v>311</v>
      </c>
      <c r="M43" s="118" t="s">
        <v>24</v>
      </c>
      <c r="N43" s="180" t="s">
        <v>47</v>
      </c>
      <c r="O43" s="193" t="str">
        <f>HYPERLINK("https://leetcode.com/problems/maximum-subarray/","https://leetcode.com/problems/maximum-subarray/")</f>
        <v>https://leetcode.com/problems/maximum-subarray/</v>
      </c>
    </row>
    <row r="44" spans="1:15" ht="31.5" customHeight="1" x14ac:dyDescent="0.2">
      <c r="A44" s="7">
        <v>39</v>
      </c>
      <c r="B44" s="7">
        <v>54</v>
      </c>
      <c r="C44" s="13" t="s">
        <v>313</v>
      </c>
      <c r="D44" s="7" t="s">
        <v>4487</v>
      </c>
      <c r="E44" s="18" t="s">
        <v>28</v>
      </c>
      <c r="F44" s="3" t="s">
        <v>283</v>
      </c>
      <c r="G44" s="3" t="s">
        <v>4488</v>
      </c>
      <c r="H44" s="7">
        <f>IFERROR(VLOOKUP(B44,'📊 Problem Tracker'!$B$4:$F$1200,5,FALSE()),"")</f>
        <v>0</v>
      </c>
      <c r="I44" s="7"/>
      <c r="J44" s="7"/>
      <c r="K44" s="3"/>
      <c r="L44" s="228" t="s">
        <v>315</v>
      </c>
      <c r="M44" s="7" t="s">
        <v>81</v>
      </c>
      <c r="N44" s="176" t="s">
        <v>47</v>
      </c>
      <c r="O44" s="191" t="str">
        <f>HYPERLINK("https://leetcode.com/problems/spiral-matrix/","https://leetcode.com/problems/spiral-matrix/")</f>
        <v>https://leetcode.com/problems/spiral-matrix/</v>
      </c>
    </row>
    <row r="45" spans="1:15" ht="31.5" customHeight="1" x14ac:dyDescent="0.2">
      <c r="A45" s="118">
        <v>40</v>
      </c>
      <c r="B45" s="118">
        <v>55</v>
      </c>
      <c r="C45" s="119" t="s">
        <v>317</v>
      </c>
      <c r="D45" s="118" t="s">
        <v>4489</v>
      </c>
      <c r="E45" s="120" t="s">
        <v>28</v>
      </c>
      <c r="F45" s="121" t="s">
        <v>318</v>
      </c>
      <c r="G45" s="121" t="s">
        <v>3091</v>
      </c>
      <c r="H45" s="118">
        <f>IFERROR(VLOOKUP(B45,'📊 Problem Tracker'!$B$4:$F$1200,5,FALSE()),"")</f>
        <v>0</v>
      </c>
      <c r="I45" s="118"/>
      <c r="J45" s="118"/>
      <c r="K45" s="121"/>
      <c r="L45" s="269" t="s">
        <v>320</v>
      </c>
      <c r="M45" s="118" t="s">
        <v>24</v>
      </c>
      <c r="N45" s="180" t="s">
        <v>47</v>
      </c>
      <c r="O45" s="193" t="str">
        <f>HYPERLINK("https://leetcode.com/problems/jump-game/","https://leetcode.com/problems/jump-game/")</f>
        <v>https://leetcode.com/problems/jump-game/</v>
      </c>
    </row>
    <row r="46" spans="1:15" ht="31.5" customHeight="1" x14ac:dyDescent="0.2">
      <c r="A46" s="7">
        <v>41</v>
      </c>
      <c r="B46" s="7">
        <v>56</v>
      </c>
      <c r="C46" s="13" t="s">
        <v>322</v>
      </c>
      <c r="D46" s="7" t="s">
        <v>4490</v>
      </c>
      <c r="E46" s="18" t="s">
        <v>28</v>
      </c>
      <c r="F46" s="3" t="s">
        <v>323</v>
      </c>
      <c r="G46" s="3" t="s">
        <v>322</v>
      </c>
      <c r="H46" s="7">
        <f>IFERROR(VLOOKUP(B46,'📊 Problem Tracker'!$B$4:$F$1200,5,FALSE()),"")</f>
        <v>0</v>
      </c>
      <c r="I46" s="7"/>
      <c r="J46" s="7"/>
      <c r="K46" s="3"/>
      <c r="L46" s="228" t="s">
        <v>325</v>
      </c>
      <c r="M46" s="7" t="s">
        <v>326</v>
      </c>
      <c r="N46" s="176" t="s">
        <v>24</v>
      </c>
      <c r="O46" s="191" t="str">
        <f>HYPERLINK("https://leetcode.com/problems/merge-intervals/","https://leetcode.com/problems/merge-intervals/")</f>
        <v>https://leetcode.com/problems/merge-intervals/</v>
      </c>
    </row>
    <row r="47" spans="1:15" ht="31.5" customHeight="1" x14ac:dyDescent="0.2">
      <c r="A47" s="118">
        <v>42</v>
      </c>
      <c r="B47" s="118">
        <v>57</v>
      </c>
      <c r="C47" s="119" t="s">
        <v>328</v>
      </c>
      <c r="D47" s="118" t="s">
        <v>4463</v>
      </c>
      <c r="E47" s="120" t="s">
        <v>28</v>
      </c>
      <c r="F47" s="121" t="s">
        <v>323</v>
      </c>
      <c r="G47" s="121" t="s">
        <v>322</v>
      </c>
      <c r="H47" s="118">
        <f>IFERROR(VLOOKUP(B47,'📊 Problem Tracker'!$B$4:$F$1200,5,FALSE()),"")</f>
        <v>0</v>
      </c>
      <c r="I47" s="118"/>
      <c r="J47" s="118"/>
      <c r="K47" s="121"/>
      <c r="L47" s="269" t="s">
        <v>331</v>
      </c>
      <c r="M47" s="118" t="s">
        <v>24</v>
      </c>
      <c r="N47" s="180" t="s">
        <v>24</v>
      </c>
      <c r="O47" s="193" t="str">
        <f>HYPERLINK("https://leetcode.com/problems/insert-interval/","https://leetcode.com/problems/insert-interval/")</f>
        <v>https://leetcode.com/problems/insert-interval/</v>
      </c>
    </row>
    <row r="48" spans="1:15" ht="31.5" customHeight="1" x14ac:dyDescent="0.2">
      <c r="A48" s="7">
        <v>43</v>
      </c>
      <c r="B48" s="7">
        <v>67</v>
      </c>
      <c r="C48" s="13" t="s">
        <v>380</v>
      </c>
      <c r="D48" s="7" t="s">
        <v>4498</v>
      </c>
      <c r="E48" s="21" t="s">
        <v>20</v>
      </c>
      <c r="F48" s="3" t="s">
        <v>2456</v>
      </c>
      <c r="G48" s="3" t="s">
        <v>666</v>
      </c>
      <c r="H48" s="7">
        <f>IFERROR(VLOOKUP(B48,'📊 Problem Tracker'!$B$4:$F$1200,5,FALSE()),"")</f>
        <v>0</v>
      </c>
      <c r="I48" s="7"/>
      <c r="J48" s="7"/>
      <c r="K48" s="3"/>
      <c r="L48" s="228" t="s">
        <v>384</v>
      </c>
      <c r="M48" s="7" t="s">
        <v>32</v>
      </c>
      <c r="N48" s="176" t="s">
        <v>32</v>
      </c>
      <c r="O48" s="191" t="str">
        <f>HYPERLINK("https://leetcode.com/problems/add-binary/","https://leetcode.com/problems/add-binary/")</f>
        <v>https://leetcode.com/problems/add-binary/</v>
      </c>
    </row>
    <row r="49" spans="1:15" ht="31.5" customHeight="1" x14ac:dyDescent="0.2">
      <c r="A49" s="118">
        <v>44</v>
      </c>
      <c r="B49" s="118">
        <v>68</v>
      </c>
      <c r="C49" s="119" t="s">
        <v>386</v>
      </c>
      <c r="D49" s="118" t="s">
        <v>4499</v>
      </c>
      <c r="E49" s="122" t="s">
        <v>42</v>
      </c>
      <c r="F49" s="121" t="s">
        <v>387</v>
      </c>
      <c r="G49" s="121" t="s">
        <v>4500</v>
      </c>
      <c r="H49" s="118">
        <f>IFERROR(VLOOKUP(B49,'📊 Problem Tracker'!$B$4:$F$1200,5,FALSE()),"")</f>
        <v>0</v>
      </c>
      <c r="I49" s="118"/>
      <c r="J49" s="118"/>
      <c r="K49" s="121"/>
      <c r="L49" s="269" t="s">
        <v>390</v>
      </c>
      <c r="M49" s="118" t="s">
        <v>391</v>
      </c>
      <c r="N49" s="180" t="s">
        <v>392</v>
      </c>
      <c r="O49" s="193" t="str">
        <f>HYPERLINK("https://leetcode.com/problems/text-justification/","https://leetcode.com/problems/text-justification/")</f>
        <v>https://leetcode.com/problems/text-justification/</v>
      </c>
    </row>
    <row r="50" spans="1:15" ht="31.5" customHeight="1" x14ac:dyDescent="0.2">
      <c r="A50" s="7">
        <v>45</v>
      </c>
      <c r="B50" s="7">
        <v>69</v>
      </c>
      <c r="C50" s="13" t="s">
        <v>394</v>
      </c>
      <c r="D50" s="7" t="s">
        <v>4501</v>
      </c>
      <c r="E50" s="21" t="s">
        <v>20</v>
      </c>
      <c r="F50" s="3" t="s">
        <v>295</v>
      </c>
      <c r="G50" s="3" t="s">
        <v>512</v>
      </c>
      <c r="H50" s="7">
        <f>IFERROR(VLOOKUP(B50,'📊 Problem Tracker'!$B$4:$F$1200,5,FALSE()),"")</f>
        <v>0</v>
      </c>
      <c r="I50" s="7"/>
      <c r="J50" s="7"/>
      <c r="K50" s="3"/>
      <c r="L50" s="228" t="s">
        <v>396</v>
      </c>
      <c r="M50" s="7" t="s">
        <v>65</v>
      </c>
      <c r="N50" s="176" t="s">
        <v>47</v>
      </c>
      <c r="O50" s="191" t="str">
        <f>HYPERLINK("https://leetcode.com/problems/sqrtx/","https://leetcode.com/problems/sqrtx/")</f>
        <v>https://leetcode.com/problems/sqrtx/</v>
      </c>
    </row>
    <row r="51" spans="1:15" ht="31.5" customHeight="1" x14ac:dyDescent="0.2">
      <c r="A51" s="118">
        <v>46</v>
      </c>
      <c r="B51" s="118">
        <v>70</v>
      </c>
      <c r="C51" s="119" t="s">
        <v>398</v>
      </c>
      <c r="D51" s="118" t="s">
        <v>4437</v>
      </c>
      <c r="E51" s="123" t="s">
        <v>20</v>
      </c>
      <c r="F51" s="121" t="s">
        <v>1314</v>
      </c>
      <c r="G51" s="121" t="s">
        <v>4264</v>
      </c>
      <c r="H51" s="118">
        <f>IFERROR(VLOOKUP(B51,'📊 Problem Tracker'!$B$4:$F$1200,5,FALSE()),"")</f>
        <v>0</v>
      </c>
      <c r="I51" s="118"/>
      <c r="J51" s="118"/>
      <c r="K51" s="121"/>
      <c r="L51" s="269" t="s">
        <v>400</v>
      </c>
      <c r="M51" s="118" t="s">
        <v>24</v>
      </c>
      <c r="N51" s="180" t="s">
        <v>47</v>
      </c>
      <c r="O51" s="193" t="str">
        <f>HYPERLINK("https://leetcode.com/problems/climbing-stairs/","https://leetcode.com/problems/climbing-stairs/")</f>
        <v>https://leetcode.com/problems/climbing-stairs/</v>
      </c>
    </row>
    <row r="52" spans="1:15" ht="31.5" customHeight="1" x14ac:dyDescent="0.2">
      <c r="A52" s="7">
        <v>47</v>
      </c>
      <c r="B52" s="7">
        <v>71</v>
      </c>
      <c r="C52" s="13" t="s">
        <v>402</v>
      </c>
      <c r="D52" s="7" t="s">
        <v>4502</v>
      </c>
      <c r="E52" s="18" t="s">
        <v>28</v>
      </c>
      <c r="F52" s="3" t="s">
        <v>133</v>
      </c>
      <c r="G52" s="3" t="s">
        <v>540</v>
      </c>
      <c r="H52" s="7">
        <f>IFERROR(VLOOKUP(B52,'📊 Problem Tracker'!$B$4:$F$1200,5,FALSE()),"")</f>
        <v>0</v>
      </c>
      <c r="I52" s="7"/>
      <c r="J52" s="7"/>
      <c r="K52" s="3"/>
      <c r="L52" s="228" t="s">
        <v>404</v>
      </c>
      <c r="M52" s="7" t="s">
        <v>24</v>
      </c>
      <c r="N52" s="176" t="s">
        <v>24</v>
      </c>
      <c r="O52" s="191" t="str">
        <f>HYPERLINK("https://leetcode.com/problems/simplify-path/","https://leetcode.com/problems/simplify-path/")</f>
        <v>https://leetcode.com/problems/simplify-path/</v>
      </c>
    </row>
    <row r="53" spans="1:15" ht="31.5" customHeight="1" x14ac:dyDescent="0.2">
      <c r="A53" s="118">
        <v>48</v>
      </c>
      <c r="B53" s="118">
        <v>72</v>
      </c>
      <c r="C53" s="119" t="s">
        <v>406</v>
      </c>
      <c r="D53" s="118" t="s">
        <v>4503</v>
      </c>
      <c r="E53" s="120" t="s">
        <v>28</v>
      </c>
      <c r="F53" s="121" t="s">
        <v>50</v>
      </c>
      <c r="G53" s="121" t="s">
        <v>4504</v>
      </c>
      <c r="H53" s="118">
        <f>IFERROR(VLOOKUP(B53,'📊 Problem Tracker'!$B$4:$F$1200,5,FALSE()),"")</f>
        <v>0</v>
      </c>
      <c r="I53" s="118"/>
      <c r="J53" s="118"/>
      <c r="K53" s="121"/>
      <c r="L53" s="269" t="s">
        <v>408</v>
      </c>
      <c r="M53" s="118" t="s">
        <v>81</v>
      </c>
      <c r="N53" s="180" t="s">
        <v>409</v>
      </c>
      <c r="O53" s="193" t="str">
        <f>HYPERLINK("https://leetcode.com/problems/edit-distance/","https://leetcode.com/problems/edit-distance/")</f>
        <v>https://leetcode.com/problems/edit-distance/</v>
      </c>
    </row>
    <row r="54" spans="1:15" ht="31.5" customHeight="1" x14ac:dyDescent="0.2">
      <c r="A54" s="7">
        <v>49</v>
      </c>
      <c r="B54" s="7">
        <v>73</v>
      </c>
      <c r="C54" s="13" t="s">
        <v>411</v>
      </c>
      <c r="D54" s="7" t="s">
        <v>4472</v>
      </c>
      <c r="E54" s="18" t="s">
        <v>28</v>
      </c>
      <c r="F54" s="3" t="s">
        <v>283</v>
      </c>
      <c r="G54" s="3" t="s">
        <v>4187</v>
      </c>
      <c r="H54" s="7">
        <f>IFERROR(VLOOKUP(B54,'📊 Problem Tracker'!$B$4:$F$1200,5,FALSE()),"")</f>
        <v>0</v>
      </c>
      <c r="I54" s="7"/>
      <c r="J54" s="7"/>
      <c r="K54" s="3"/>
      <c r="L54" s="228" t="s">
        <v>413</v>
      </c>
      <c r="M54" s="7" t="s">
        <v>81</v>
      </c>
      <c r="N54" s="176" t="s">
        <v>47</v>
      </c>
      <c r="O54" s="191" t="str">
        <f>HYPERLINK("https://leetcode.com/problems/set-matrix-zeroes/","https://leetcode.com/problems/set-matrix-zeroes/")</f>
        <v>https://leetcode.com/problems/set-matrix-zeroes/</v>
      </c>
    </row>
    <row r="55" spans="1:15" ht="31.5" customHeight="1" x14ac:dyDescent="0.2">
      <c r="A55" s="118">
        <v>50</v>
      </c>
      <c r="B55" s="118">
        <v>74</v>
      </c>
      <c r="C55" s="119" t="s">
        <v>415</v>
      </c>
      <c r="D55" s="118" t="s">
        <v>4505</v>
      </c>
      <c r="E55" s="120" t="s">
        <v>28</v>
      </c>
      <c r="F55" s="121" t="s">
        <v>416</v>
      </c>
      <c r="G55" s="121" t="s">
        <v>512</v>
      </c>
      <c r="H55" s="118">
        <f>IFERROR(VLOOKUP(B55,'📊 Problem Tracker'!$B$4:$F$1200,5,FALSE()),"")</f>
        <v>0</v>
      </c>
      <c r="I55" s="118"/>
      <c r="J55" s="118"/>
      <c r="K55" s="121"/>
      <c r="L55" s="269" t="s">
        <v>419</v>
      </c>
      <c r="M55" s="118" t="s">
        <v>420</v>
      </c>
      <c r="N55" s="180" t="s">
        <v>47</v>
      </c>
      <c r="O55" s="193" t="str">
        <f>HYPERLINK("https://leetcode.com/problems/search-a-2d-matrix/","https://leetcode.com/problems/search-a-2d-matrix/")</f>
        <v>https://leetcode.com/problems/search-a-2d-matrix/</v>
      </c>
    </row>
    <row r="56" spans="1:15" ht="31.5" customHeight="1" x14ac:dyDescent="0.2">
      <c r="A56" s="7">
        <v>51</v>
      </c>
      <c r="B56" s="7">
        <v>75</v>
      </c>
      <c r="C56" s="13" t="s">
        <v>422</v>
      </c>
      <c r="D56" s="7" t="s">
        <v>4506</v>
      </c>
      <c r="E56" s="18" t="s">
        <v>28</v>
      </c>
      <c r="F56" s="3" t="s">
        <v>84</v>
      </c>
      <c r="G56" s="3" t="s">
        <v>4507</v>
      </c>
      <c r="H56" s="7">
        <f>IFERROR(VLOOKUP(B56,'📊 Problem Tracker'!$B$4:$F$1200,5,FALSE()),"")</f>
        <v>0</v>
      </c>
      <c r="I56" s="7"/>
      <c r="J56" s="7"/>
      <c r="K56" s="3"/>
      <c r="L56" s="228" t="s">
        <v>424</v>
      </c>
      <c r="M56" s="7" t="s">
        <v>24</v>
      </c>
      <c r="N56" s="176" t="s">
        <v>47</v>
      </c>
      <c r="O56" s="191" t="str">
        <f>HYPERLINK("https://leetcode.com/problems/sort-colors/","https://leetcode.com/problems/sort-colors/")</f>
        <v>https://leetcode.com/problems/sort-colors/</v>
      </c>
    </row>
    <row r="57" spans="1:15" ht="31.5" customHeight="1" x14ac:dyDescent="0.2">
      <c r="A57" s="118">
        <v>52</v>
      </c>
      <c r="B57" s="118">
        <v>76</v>
      </c>
      <c r="C57" s="119" t="s">
        <v>426</v>
      </c>
      <c r="D57" s="118" t="s">
        <v>4445</v>
      </c>
      <c r="E57" s="122" t="s">
        <v>42</v>
      </c>
      <c r="F57" s="121" t="s">
        <v>427</v>
      </c>
      <c r="G57" s="121" t="s">
        <v>917</v>
      </c>
      <c r="H57" s="118">
        <f>IFERROR(VLOOKUP(B57,'📊 Problem Tracker'!$B$4:$F$1200,5,FALSE()),"")</f>
        <v>0</v>
      </c>
      <c r="I57" s="118"/>
      <c r="J57" s="118"/>
      <c r="K57" s="121"/>
      <c r="L57" s="269" t="s">
        <v>430</v>
      </c>
      <c r="M57" s="118" t="s">
        <v>178</v>
      </c>
      <c r="N57" s="180" t="s">
        <v>153</v>
      </c>
      <c r="O57" s="193" t="str">
        <f>HYPERLINK("https://leetcode.com/problems/minimum-window-substring/","https://leetcode.com/problems/minimum-window-substring/")</f>
        <v>https://leetcode.com/problems/minimum-window-substring/</v>
      </c>
    </row>
    <row r="58" spans="1:15" ht="31.5" customHeight="1" x14ac:dyDescent="0.2">
      <c r="A58" s="7">
        <v>53</v>
      </c>
      <c r="B58" s="7">
        <v>79</v>
      </c>
      <c r="C58" s="13" t="s">
        <v>442</v>
      </c>
      <c r="D58" s="7" t="s">
        <v>4510</v>
      </c>
      <c r="E58" s="18" t="s">
        <v>28</v>
      </c>
      <c r="F58" s="3" t="s">
        <v>4192</v>
      </c>
      <c r="G58" s="3" t="s">
        <v>4268</v>
      </c>
      <c r="H58" s="7">
        <f>IFERROR(VLOOKUP(B58,'📊 Problem Tracker'!$B$4:$F$1200,5,FALSE()),"")</f>
        <v>0</v>
      </c>
      <c r="I58" s="7"/>
      <c r="J58" s="7"/>
      <c r="K58" s="3"/>
      <c r="L58" s="228" t="s">
        <v>445</v>
      </c>
      <c r="M58" s="7" t="s">
        <v>446</v>
      </c>
      <c r="N58" s="176" t="s">
        <v>392</v>
      </c>
      <c r="O58" s="191" t="str">
        <f>HYPERLINK("https://leetcode.com/problems/word-search/","https://leetcode.com/problems/word-search/")</f>
        <v>https://leetcode.com/problems/word-search/</v>
      </c>
    </row>
    <row r="59" spans="1:15" ht="31.5" customHeight="1" x14ac:dyDescent="0.2">
      <c r="A59" s="118">
        <v>54</v>
      </c>
      <c r="B59" s="118">
        <v>82</v>
      </c>
      <c r="C59" s="119" t="s">
        <v>458</v>
      </c>
      <c r="D59" s="118" t="s">
        <v>4490</v>
      </c>
      <c r="E59" s="120" t="s">
        <v>28</v>
      </c>
      <c r="F59" s="121" t="s">
        <v>679</v>
      </c>
      <c r="G59" s="121" t="s">
        <v>127</v>
      </c>
      <c r="H59" s="118">
        <f>IFERROR(VLOOKUP(B59,'📊 Problem Tracker'!$B$4:$F$1200,5,FALSE()),"")</f>
        <v>0</v>
      </c>
      <c r="I59" s="118"/>
      <c r="J59" s="118"/>
      <c r="K59" s="121"/>
      <c r="L59" s="269" t="s">
        <v>690</v>
      </c>
      <c r="M59" s="118" t="s">
        <v>24</v>
      </c>
      <c r="N59" s="180" t="s">
        <v>47</v>
      </c>
      <c r="O59" s="193" t="str">
        <f>HYPERLINK("https://leetcode.com/problems/remove-duplicates-from-sorted-list-ii/","https://leetcode.com/problems/remove-duplicates-from-sorted-list-ii/")</f>
        <v>https://leetcode.com/problems/remove-duplicates-from-sorted-list-ii/</v>
      </c>
    </row>
    <row r="60" spans="1:15" ht="31.5" customHeight="1" x14ac:dyDescent="0.2">
      <c r="A60" s="7">
        <v>55</v>
      </c>
      <c r="B60" s="7">
        <v>84</v>
      </c>
      <c r="C60" s="13" t="s">
        <v>465</v>
      </c>
      <c r="D60" s="7" t="s">
        <v>4497</v>
      </c>
      <c r="E60" s="20" t="s">
        <v>42</v>
      </c>
      <c r="F60" s="3" t="s">
        <v>466</v>
      </c>
      <c r="G60" s="3" t="s">
        <v>1473</v>
      </c>
      <c r="H60" s="7">
        <f>IFERROR(VLOOKUP(B60,'📊 Problem Tracker'!$B$4:$F$1200,5,FALSE()),"")</f>
        <v>0</v>
      </c>
      <c r="I60" s="7"/>
      <c r="J60" s="7"/>
      <c r="K60" s="3"/>
      <c r="L60" s="228" t="s">
        <v>468</v>
      </c>
      <c r="M60" s="7" t="s">
        <v>24</v>
      </c>
      <c r="N60" s="176" t="s">
        <v>24</v>
      </c>
      <c r="O60" s="191" t="str">
        <f>HYPERLINK("https://leetcode.com/problems/largest-rectangle-in-histogram/","https://leetcode.com/problems/largest-rectangle-in-histogram/")</f>
        <v>https://leetcode.com/problems/largest-rectangle-in-histogram/</v>
      </c>
    </row>
    <row r="61" spans="1:15" ht="31.5" customHeight="1" x14ac:dyDescent="0.2">
      <c r="A61" s="118">
        <v>56</v>
      </c>
      <c r="B61" s="118">
        <v>88</v>
      </c>
      <c r="C61" s="119" t="s">
        <v>479</v>
      </c>
      <c r="D61" s="118" t="s">
        <v>4514</v>
      </c>
      <c r="E61" s="123" t="s">
        <v>20</v>
      </c>
      <c r="F61" s="121" t="s">
        <v>84</v>
      </c>
      <c r="G61" s="121" t="s">
        <v>689</v>
      </c>
      <c r="H61" s="118">
        <f>IFERROR(VLOOKUP(B61,'📊 Problem Tracker'!$B$4:$F$1200,5,FALSE()),"")</f>
        <v>0</v>
      </c>
      <c r="I61" s="118"/>
      <c r="J61" s="118"/>
      <c r="K61" s="121"/>
      <c r="L61" s="269" t="s">
        <v>481</v>
      </c>
      <c r="M61" s="118" t="s">
        <v>259</v>
      </c>
      <c r="N61" s="180" t="s">
        <v>47</v>
      </c>
      <c r="O61" s="193" t="str">
        <f>HYPERLINK("https://leetcode.com/problems/merge-sorted-array/","https://leetcode.com/problems/merge-sorted-array/")</f>
        <v>https://leetcode.com/problems/merge-sorted-array/</v>
      </c>
    </row>
    <row r="62" spans="1:15" ht="31.5" customHeight="1" x14ac:dyDescent="0.2">
      <c r="A62" s="7">
        <v>57</v>
      </c>
      <c r="B62" s="7">
        <v>90</v>
      </c>
      <c r="C62" s="13" t="s">
        <v>487</v>
      </c>
      <c r="D62" s="7" t="s">
        <v>4515</v>
      </c>
      <c r="E62" s="18" t="s">
        <v>28</v>
      </c>
      <c r="F62" s="3" t="s">
        <v>234</v>
      </c>
      <c r="G62" s="3" t="s">
        <v>300</v>
      </c>
      <c r="H62" s="7">
        <f>IFERROR(VLOOKUP(B62,'📊 Problem Tracker'!$B$4:$F$1200,5,FALSE()),"")</f>
        <v>0</v>
      </c>
      <c r="I62" s="7"/>
      <c r="J62" s="7"/>
      <c r="K62" s="3"/>
      <c r="L62" s="228" t="s">
        <v>302</v>
      </c>
      <c r="M62" s="7" t="s">
        <v>440</v>
      </c>
      <c r="N62" s="176" t="s">
        <v>24</v>
      </c>
      <c r="O62" s="191" t="str">
        <f>HYPERLINK("https://leetcode.com/problems/subsets-ii/","https://leetcode.com/problems/subsets-ii/")</f>
        <v>https://leetcode.com/problems/subsets-ii/</v>
      </c>
    </row>
    <row r="63" spans="1:15" ht="31.5" customHeight="1" x14ac:dyDescent="0.2">
      <c r="A63" s="118">
        <v>58</v>
      </c>
      <c r="B63" s="118">
        <v>91</v>
      </c>
      <c r="C63" s="119" t="s">
        <v>490</v>
      </c>
      <c r="D63" s="118" t="s">
        <v>4516</v>
      </c>
      <c r="E63" s="120" t="s">
        <v>28</v>
      </c>
      <c r="F63" s="121" t="s">
        <v>50</v>
      </c>
      <c r="G63" s="121" t="s">
        <v>1042</v>
      </c>
      <c r="H63" s="118">
        <f>IFERROR(VLOOKUP(B63,'📊 Problem Tracker'!$B$4:$F$1200,5,FALSE()),"")</f>
        <v>0</v>
      </c>
      <c r="I63" s="118"/>
      <c r="J63" s="118"/>
      <c r="K63" s="121"/>
      <c r="L63" s="269" t="s">
        <v>492</v>
      </c>
      <c r="M63" s="118" t="s">
        <v>24</v>
      </c>
      <c r="N63" s="180" t="s">
        <v>47</v>
      </c>
      <c r="O63" s="193" t="str">
        <f>HYPERLINK("https://leetcode.com/problems/decode-ways/","https://leetcode.com/problems/decode-ways/")</f>
        <v>https://leetcode.com/problems/decode-ways/</v>
      </c>
    </row>
    <row r="64" spans="1:15" ht="31.5" customHeight="1" x14ac:dyDescent="0.2">
      <c r="A64" s="7">
        <v>59</v>
      </c>
      <c r="B64" s="7">
        <v>92</v>
      </c>
      <c r="C64" s="13" t="s">
        <v>494</v>
      </c>
      <c r="D64" s="7" t="s">
        <v>4517</v>
      </c>
      <c r="E64" s="18" t="s">
        <v>28</v>
      </c>
      <c r="F64" s="3" t="s">
        <v>127</v>
      </c>
      <c r="G64" s="3" t="s">
        <v>127</v>
      </c>
      <c r="H64" s="7">
        <f>IFERROR(VLOOKUP(B64,'📊 Problem Tracker'!$B$4:$F$1200,5,FALSE()),"")</f>
        <v>0</v>
      </c>
      <c r="I64" s="7"/>
      <c r="J64" s="7"/>
      <c r="K64" s="3"/>
      <c r="L64" s="228" t="s">
        <v>461</v>
      </c>
      <c r="M64" s="7" t="s">
        <v>24</v>
      </c>
      <c r="N64" s="176" t="s">
        <v>47</v>
      </c>
      <c r="O64" s="191" t="str">
        <f>HYPERLINK("https://leetcode.com/problems/reverse-linked-list-ii/","https://leetcode.com/problems/reverse-linked-list-ii/")</f>
        <v>https://leetcode.com/problems/reverse-linked-list-ii/</v>
      </c>
    </row>
    <row r="65" spans="1:15" ht="31.5" customHeight="1" x14ac:dyDescent="0.2">
      <c r="A65" s="118">
        <v>60</v>
      </c>
      <c r="B65" s="118">
        <v>97</v>
      </c>
      <c r="C65" s="119" t="s">
        <v>515</v>
      </c>
      <c r="D65" s="118" t="s">
        <v>4518</v>
      </c>
      <c r="E65" s="120" t="s">
        <v>28</v>
      </c>
      <c r="F65" s="121" t="s">
        <v>50</v>
      </c>
      <c r="G65" s="121" t="s">
        <v>1042</v>
      </c>
      <c r="H65" s="118">
        <f>IFERROR(VLOOKUP(B65,'📊 Problem Tracker'!$B$4:$F$1200,5,FALSE()),"")</f>
        <v>0</v>
      </c>
      <c r="I65" s="118"/>
      <c r="J65" s="118"/>
      <c r="K65" s="121"/>
      <c r="L65" s="269" t="s">
        <v>508</v>
      </c>
      <c r="M65" s="118" t="s">
        <v>81</v>
      </c>
      <c r="N65" s="180" t="s">
        <v>81</v>
      </c>
      <c r="O65" s="193" t="str">
        <f>HYPERLINK("https://leetcode.com/problems/interleaving-string/","https://leetcode.com/problems/interleaving-string/")</f>
        <v>https://leetcode.com/problems/interleaving-string/</v>
      </c>
    </row>
    <row r="66" spans="1:15" ht="31.5" customHeight="1" x14ac:dyDescent="0.2">
      <c r="A66" s="7">
        <v>61</v>
      </c>
      <c r="B66" s="7">
        <v>98</v>
      </c>
      <c r="C66" s="13" t="s">
        <v>517</v>
      </c>
      <c r="D66" s="7" t="s">
        <v>4519</v>
      </c>
      <c r="E66" s="18" t="s">
        <v>28</v>
      </c>
      <c r="F66" s="3" t="s">
        <v>518</v>
      </c>
      <c r="G66" s="3" t="s">
        <v>4520</v>
      </c>
      <c r="H66" s="7">
        <f>IFERROR(VLOOKUP(B66,'📊 Problem Tracker'!$B$4:$F$1200,5,FALSE()),"")</f>
        <v>0</v>
      </c>
      <c r="I66" s="7"/>
      <c r="J66" s="7"/>
      <c r="K66" s="3"/>
      <c r="L66" s="228" t="s">
        <v>520</v>
      </c>
      <c r="M66" s="7" t="s">
        <v>24</v>
      </c>
      <c r="N66" s="176" t="s">
        <v>503</v>
      </c>
      <c r="O66" s="191" t="str">
        <f>HYPERLINK("https://leetcode.com/problems/validate-binary-search-tree/","https://leetcode.com/problems/validate-binary-search-tree/")</f>
        <v>https://leetcode.com/problems/validate-binary-search-tree/</v>
      </c>
    </row>
    <row r="67" spans="1:15" ht="31.5" customHeight="1" x14ac:dyDescent="0.2">
      <c r="A67" s="118">
        <v>62</v>
      </c>
      <c r="B67" s="118">
        <v>100</v>
      </c>
      <c r="C67" s="119" t="s">
        <v>524</v>
      </c>
      <c r="D67" s="118" t="s">
        <v>4522</v>
      </c>
      <c r="E67" s="123" t="s">
        <v>20</v>
      </c>
      <c r="F67" s="121" t="s">
        <v>500</v>
      </c>
      <c r="G67" s="121" t="s">
        <v>4256</v>
      </c>
      <c r="H67" s="118">
        <f>IFERROR(VLOOKUP(B67,'📊 Problem Tracker'!$B$4:$F$1200,5,FALSE()),"")</f>
        <v>0</v>
      </c>
      <c r="I67" s="118"/>
      <c r="J67" s="118"/>
      <c r="K67" s="121"/>
      <c r="L67" s="269" t="s">
        <v>526</v>
      </c>
      <c r="M67" s="118" t="s">
        <v>24</v>
      </c>
      <c r="N67" s="180" t="s">
        <v>503</v>
      </c>
      <c r="O67" s="193" t="str">
        <f>HYPERLINK("https://leetcode.com/problems/same-tree/","https://leetcode.com/problems/same-tree/")</f>
        <v>https://leetcode.com/problems/same-tree/</v>
      </c>
    </row>
    <row r="68" spans="1:15" ht="31.5" customHeight="1" x14ac:dyDescent="0.2">
      <c r="A68" s="7">
        <v>63</v>
      </c>
      <c r="B68" s="7">
        <v>101</v>
      </c>
      <c r="C68" s="13" t="s">
        <v>528</v>
      </c>
      <c r="D68" s="7" t="s">
        <v>4523</v>
      </c>
      <c r="E68" s="21" t="s">
        <v>20</v>
      </c>
      <c r="F68" s="3" t="s">
        <v>529</v>
      </c>
      <c r="G68" s="3" t="s">
        <v>4256</v>
      </c>
      <c r="H68" s="7">
        <f>IFERROR(VLOOKUP(B68,'📊 Problem Tracker'!$B$4:$F$1200,5,FALSE()),"")</f>
        <v>0</v>
      </c>
      <c r="I68" s="7"/>
      <c r="J68" s="7"/>
      <c r="K68" s="3"/>
      <c r="L68" s="228" t="s">
        <v>531</v>
      </c>
      <c r="M68" s="7" t="s">
        <v>24</v>
      </c>
      <c r="N68" s="176" t="s">
        <v>503</v>
      </c>
      <c r="O68" s="191" t="str">
        <f>HYPERLINK("https://leetcode.com/problems/symmetric-tree/","https://leetcode.com/problems/symmetric-tree/")</f>
        <v>https://leetcode.com/problems/symmetric-tree/</v>
      </c>
    </row>
    <row r="69" spans="1:15" ht="31.5" customHeight="1" x14ac:dyDescent="0.2">
      <c r="A69" s="118">
        <v>64</v>
      </c>
      <c r="B69" s="118">
        <v>102</v>
      </c>
      <c r="C69" s="119" t="s">
        <v>533</v>
      </c>
      <c r="D69" s="118" t="s">
        <v>4524</v>
      </c>
      <c r="E69" s="120" t="s">
        <v>28</v>
      </c>
      <c r="F69" s="121" t="s">
        <v>534</v>
      </c>
      <c r="G69" s="121" t="s">
        <v>4270</v>
      </c>
      <c r="H69" s="118">
        <f>IFERROR(VLOOKUP(B69,'📊 Problem Tracker'!$B$4:$F$1200,5,FALSE()),"")</f>
        <v>0</v>
      </c>
      <c r="I69" s="118"/>
      <c r="J69" s="118"/>
      <c r="K69" s="121"/>
      <c r="L69" s="269" t="s">
        <v>536</v>
      </c>
      <c r="M69" s="118" t="s">
        <v>24</v>
      </c>
      <c r="N69" s="180" t="s">
        <v>24</v>
      </c>
      <c r="O69" s="193" t="str">
        <f>HYPERLINK("https://leetcode.com/problems/binary-tree-level-order-traversal/","https://leetcode.com/problems/binary-tree-level-order-traversal/")</f>
        <v>https://leetcode.com/problems/binary-tree-level-order-traversal/</v>
      </c>
    </row>
    <row r="70" spans="1:15" ht="31.5" customHeight="1" x14ac:dyDescent="0.2">
      <c r="A70" s="7">
        <v>65</v>
      </c>
      <c r="B70" s="7">
        <v>103</v>
      </c>
      <c r="C70" s="13" t="s">
        <v>538</v>
      </c>
      <c r="D70" s="7" t="s">
        <v>4525</v>
      </c>
      <c r="E70" s="18" t="s">
        <v>28</v>
      </c>
      <c r="F70" s="3" t="s">
        <v>539</v>
      </c>
      <c r="G70" s="3" t="s">
        <v>4270</v>
      </c>
      <c r="H70" s="7">
        <f>IFERROR(VLOOKUP(B70,'📊 Problem Tracker'!$B$4:$F$1200,5,FALSE()),"")</f>
        <v>0</v>
      </c>
      <c r="I70" s="7"/>
      <c r="J70" s="7"/>
      <c r="K70" s="3"/>
      <c r="L70" s="228" t="s">
        <v>542</v>
      </c>
      <c r="M70" s="7" t="s">
        <v>24</v>
      </c>
      <c r="N70" s="176" t="s">
        <v>24</v>
      </c>
      <c r="O70" s="191" t="str">
        <f>HYPERLINK("https://leetcode.com/problems/binary-tree-zigzag-level-order-traversal/","https://leetcode.com/problems/binary-tree-zigzag-level-order-traversal/")</f>
        <v>https://leetcode.com/problems/binary-tree-zigzag-level-order-traversal/</v>
      </c>
    </row>
    <row r="71" spans="1:15" ht="31.5" customHeight="1" x14ac:dyDescent="0.2">
      <c r="A71" s="118">
        <v>66</v>
      </c>
      <c r="B71" s="118">
        <v>104</v>
      </c>
      <c r="C71" s="119" t="s">
        <v>544</v>
      </c>
      <c r="D71" s="118" t="s">
        <v>4526</v>
      </c>
      <c r="E71" s="123" t="s">
        <v>20</v>
      </c>
      <c r="F71" s="121" t="s">
        <v>500</v>
      </c>
      <c r="G71" s="121" t="s">
        <v>4256</v>
      </c>
      <c r="H71" s="118">
        <f>IFERROR(VLOOKUP(B71,'📊 Problem Tracker'!$B$4:$F$1200,5,FALSE()),"")</f>
        <v>0</v>
      </c>
      <c r="I71" s="118"/>
      <c r="J71" s="118"/>
      <c r="K71" s="121"/>
      <c r="L71" s="269" t="s">
        <v>546</v>
      </c>
      <c r="M71" s="118" t="s">
        <v>24</v>
      </c>
      <c r="N71" s="180" t="s">
        <v>503</v>
      </c>
      <c r="O71" s="193" t="str">
        <f>HYPERLINK("https://leetcode.com/problems/maximum-depth-of-binary-tree/","https://leetcode.com/problems/maximum-depth-of-binary-tree/")</f>
        <v>https://leetcode.com/problems/maximum-depth-of-binary-tree/</v>
      </c>
    </row>
    <row r="72" spans="1:15" ht="31.5" customHeight="1" x14ac:dyDescent="0.2">
      <c r="A72" s="7">
        <v>67</v>
      </c>
      <c r="B72" s="7">
        <v>108</v>
      </c>
      <c r="C72" s="13" t="s">
        <v>561</v>
      </c>
      <c r="D72" s="7" t="s">
        <v>4485</v>
      </c>
      <c r="E72" s="21" t="s">
        <v>20</v>
      </c>
      <c r="F72" s="3" t="s">
        <v>4271</v>
      </c>
      <c r="G72" s="3" t="s">
        <v>4528</v>
      </c>
      <c r="H72" s="7">
        <f>IFERROR(VLOOKUP(B72,'📊 Problem Tracker'!$B$4:$F$1200,5,FALSE()),"")</f>
        <v>0</v>
      </c>
      <c r="I72" s="7"/>
      <c r="J72" s="7"/>
      <c r="K72" s="3"/>
      <c r="L72" s="228" t="s">
        <v>513</v>
      </c>
      <c r="M72" s="7" t="s">
        <v>24</v>
      </c>
      <c r="N72" s="176" t="s">
        <v>65</v>
      </c>
      <c r="O72" s="191" t="str">
        <f>HYPERLINK("https://leetcode.com/problems/convert-sorted-array-to-binary-search-tree/","https://leetcode.com/problems/convert-sorted-array-to-binary-search-tree/")</f>
        <v>https://leetcode.com/problems/convert-sorted-array-to-binary-search-tree/</v>
      </c>
    </row>
    <row r="73" spans="1:15" ht="31.5" customHeight="1" x14ac:dyDescent="0.2">
      <c r="A73" s="118">
        <v>68</v>
      </c>
      <c r="B73" s="118">
        <v>109</v>
      </c>
      <c r="C73" s="119" t="s">
        <v>565</v>
      </c>
      <c r="D73" s="118" t="s">
        <v>4444</v>
      </c>
      <c r="E73" s="120" t="s">
        <v>28</v>
      </c>
      <c r="F73" s="121" t="s">
        <v>566</v>
      </c>
      <c r="G73" s="121" t="s">
        <v>4736</v>
      </c>
      <c r="H73" s="118">
        <f>IFERROR(VLOOKUP(B73,'📊 Problem Tracker'!$B$4:$F$1200,5,FALSE()),"")</f>
        <v>0</v>
      </c>
      <c r="I73" s="118"/>
      <c r="J73" s="118"/>
      <c r="K73" s="121"/>
      <c r="L73" s="269" t="s">
        <v>513</v>
      </c>
      <c r="M73" s="118" t="s">
        <v>24</v>
      </c>
      <c r="N73" s="180" t="s">
        <v>65</v>
      </c>
      <c r="O73" s="193" t="str">
        <f>HYPERLINK("https://leetcode.com/problems/convert-sorted-list-to-binary-search-tree/","https://leetcode.com/problems/convert-sorted-list-to-binary-search-tree/")</f>
        <v>https://leetcode.com/problems/convert-sorted-list-to-binary-search-tree/</v>
      </c>
    </row>
    <row r="74" spans="1:15" ht="31.5" customHeight="1" x14ac:dyDescent="0.2">
      <c r="A74" s="7">
        <v>69</v>
      </c>
      <c r="B74" s="7">
        <v>112</v>
      </c>
      <c r="C74" s="13" t="s">
        <v>575</v>
      </c>
      <c r="D74" s="7" t="s">
        <v>4530</v>
      </c>
      <c r="E74" s="21" t="s">
        <v>20</v>
      </c>
      <c r="F74" s="3" t="s">
        <v>500</v>
      </c>
      <c r="G74" s="3" t="s">
        <v>4256</v>
      </c>
      <c r="H74" s="7">
        <f>IFERROR(VLOOKUP(B74,'📊 Problem Tracker'!$B$4:$F$1200,5,FALSE()),"")</f>
        <v>0</v>
      </c>
      <c r="I74" s="7"/>
      <c r="J74" s="7"/>
      <c r="K74" s="3"/>
      <c r="L74" s="228" t="s">
        <v>571</v>
      </c>
      <c r="M74" s="7" t="s">
        <v>24</v>
      </c>
      <c r="N74" s="176" t="s">
        <v>503</v>
      </c>
      <c r="O74" s="191" t="str">
        <f>HYPERLINK("https://leetcode.com/problems/path-sum/","https://leetcode.com/problems/path-sum/")</f>
        <v>https://leetcode.com/problems/path-sum/</v>
      </c>
    </row>
    <row r="75" spans="1:15" ht="31.5" customHeight="1" x14ac:dyDescent="0.2">
      <c r="A75" s="118">
        <v>70</v>
      </c>
      <c r="B75" s="118">
        <v>118</v>
      </c>
      <c r="C75" s="119" t="s">
        <v>591</v>
      </c>
      <c r="D75" s="118" t="s">
        <v>4533</v>
      </c>
      <c r="E75" s="123" t="s">
        <v>20</v>
      </c>
      <c r="F75" s="121" t="s">
        <v>376</v>
      </c>
      <c r="G75" s="121" t="s">
        <v>4534</v>
      </c>
      <c r="H75" s="118">
        <f>IFERROR(VLOOKUP(B75,'📊 Problem Tracker'!$B$4:$F$1200,5,FALSE()),"")</f>
        <v>0</v>
      </c>
      <c r="I75" s="118"/>
      <c r="J75" s="118"/>
      <c r="K75" s="121"/>
      <c r="L75" s="269" t="s">
        <v>508</v>
      </c>
      <c r="M75" s="118" t="s">
        <v>53</v>
      </c>
      <c r="N75" s="180" t="s">
        <v>53</v>
      </c>
      <c r="O75" s="193" t="str">
        <f>HYPERLINK("https://leetcode.com/problems/pascals-triangle/","https://leetcode.com/problems/pascals-triangle/")</f>
        <v>https://leetcode.com/problems/pascals-triangle/</v>
      </c>
    </row>
    <row r="76" spans="1:15" ht="31.5" customHeight="1" x14ac:dyDescent="0.2">
      <c r="A76" s="7">
        <v>71</v>
      </c>
      <c r="B76" s="7">
        <v>121</v>
      </c>
      <c r="C76" s="13" t="s">
        <v>595</v>
      </c>
      <c r="D76" s="7" t="s">
        <v>4536</v>
      </c>
      <c r="E76" s="21" t="s">
        <v>20</v>
      </c>
      <c r="F76" s="3" t="s">
        <v>318</v>
      </c>
      <c r="G76" s="3" t="s">
        <v>3091</v>
      </c>
      <c r="H76" s="7">
        <f>IFERROR(VLOOKUP(B76,'📊 Problem Tracker'!$B$4:$F$1200,5,FALSE()),"")</f>
        <v>0</v>
      </c>
      <c r="I76" s="7"/>
      <c r="J76" s="7"/>
      <c r="K76" s="3"/>
      <c r="L76" s="228" t="s">
        <v>597</v>
      </c>
      <c r="M76" s="7" t="s">
        <v>24</v>
      </c>
      <c r="N76" s="176" t="s">
        <v>47</v>
      </c>
      <c r="O76" s="191" t="str">
        <f>HYPERLINK("https://leetcode.com/problems/best-time-to-buy-and-sell-stock/","https://leetcode.com/problems/best-time-to-buy-and-sell-stock/")</f>
        <v>https://leetcode.com/problems/best-time-to-buy-and-sell-stock/</v>
      </c>
    </row>
    <row r="77" spans="1:15" ht="31.5" customHeight="1" x14ac:dyDescent="0.2">
      <c r="A77" s="118">
        <v>72</v>
      </c>
      <c r="B77" s="118">
        <v>122</v>
      </c>
      <c r="C77" s="119" t="s">
        <v>599</v>
      </c>
      <c r="D77" s="118" t="s">
        <v>4537</v>
      </c>
      <c r="E77" s="120" t="s">
        <v>28</v>
      </c>
      <c r="F77" s="121" t="s">
        <v>267</v>
      </c>
      <c r="G77" s="121" t="s">
        <v>4348</v>
      </c>
      <c r="H77" s="118">
        <f>IFERROR(VLOOKUP(B77,'📊 Problem Tracker'!$B$4:$F$1200,5,FALSE()),"")</f>
        <v>0</v>
      </c>
      <c r="I77" s="118"/>
      <c r="J77" s="118"/>
      <c r="K77" s="121"/>
      <c r="L77" s="269" t="s">
        <v>601</v>
      </c>
      <c r="M77" s="118" t="s">
        <v>24</v>
      </c>
      <c r="N77" s="180" t="s">
        <v>47</v>
      </c>
      <c r="O77" s="193" t="str">
        <f>HYPERLINK("https://leetcode.com/problems/best-time-to-buy-and-sell-stock-ii/","https://leetcode.com/problems/best-time-to-buy-and-sell-stock-ii/")</f>
        <v>https://leetcode.com/problems/best-time-to-buy-and-sell-stock-ii/</v>
      </c>
    </row>
    <row r="78" spans="1:15" ht="31.5" customHeight="1" x14ac:dyDescent="0.2">
      <c r="A78" s="7">
        <v>73</v>
      </c>
      <c r="B78" s="7">
        <v>123</v>
      </c>
      <c r="C78" s="13" t="s">
        <v>603</v>
      </c>
      <c r="D78" s="7" t="s">
        <v>4538</v>
      </c>
      <c r="E78" s="20" t="s">
        <v>42</v>
      </c>
      <c r="F78" s="3" t="s">
        <v>309</v>
      </c>
      <c r="G78" s="3" t="s">
        <v>4539</v>
      </c>
      <c r="H78" s="7">
        <f>IFERROR(VLOOKUP(B78,'📊 Problem Tracker'!$B$4:$F$1200,5,FALSE()),"")</f>
        <v>0</v>
      </c>
      <c r="I78" s="7"/>
      <c r="J78" s="7"/>
      <c r="K78" s="3"/>
      <c r="L78" s="228" t="s">
        <v>508</v>
      </c>
      <c r="M78" s="7" t="s">
        <v>24</v>
      </c>
      <c r="N78" s="176" t="s">
        <v>47</v>
      </c>
      <c r="O78" s="191" t="str">
        <f>HYPERLINK("https://leetcode.com/problems/best-time-to-buy-and-sell-stock-iii/","https://leetcode.com/problems/best-time-to-buy-and-sell-stock-iii/")</f>
        <v>https://leetcode.com/problems/best-time-to-buy-and-sell-stock-iii/</v>
      </c>
    </row>
    <row r="79" spans="1:15" ht="31.5" customHeight="1" x14ac:dyDescent="0.2">
      <c r="A79" s="118">
        <v>74</v>
      </c>
      <c r="B79" s="118">
        <v>124</v>
      </c>
      <c r="C79" s="119" t="s">
        <v>605</v>
      </c>
      <c r="D79" s="118" t="s">
        <v>4540</v>
      </c>
      <c r="E79" s="122" t="s">
        <v>42</v>
      </c>
      <c r="F79" s="121" t="s">
        <v>606</v>
      </c>
      <c r="G79" s="121" t="s">
        <v>4256</v>
      </c>
      <c r="H79" s="118">
        <f>IFERROR(VLOOKUP(B79,'📊 Problem Tracker'!$B$4:$F$1200,5,FALSE()),"")</f>
        <v>0</v>
      </c>
      <c r="I79" s="118"/>
      <c r="J79" s="118"/>
      <c r="K79" s="121"/>
      <c r="L79" s="269" t="s">
        <v>608</v>
      </c>
      <c r="M79" s="118" t="s">
        <v>24</v>
      </c>
      <c r="N79" s="180" t="s">
        <v>503</v>
      </c>
      <c r="O79" s="193" t="str">
        <f>HYPERLINK("https://leetcode.com/problems/binary-tree-maximum-path-sum/","https://leetcode.com/problems/binary-tree-maximum-path-sum/")</f>
        <v>https://leetcode.com/problems/binary-tree-maximum-path-sum/</v>
      </c>
    </row>
    <row r="80" spans="1:15" ht="31.5" customHeight="1" x14ac:dyDescent="0.2">
      <c r="A80" s="7">
        <v>75</v>
      </c>
      <c r="B80" s="7">
        <v>125</v>
      </c>
      <c r="C80" s="13" t="s">
        <v>610</v>
      </c>
      <c r="D80" s="7" t="s">
        <v>4486</v>
      </c>
      <c r="E80" s="21" t="s">
        <v>20</v>
      </c>
      <c r="F80" s="3" t="s">
        <v>611</v>
      </c>
      <c r="G80" s="3" t="s">
        <v>689</v>
      </c>
      <c r="H80" s="7">
        <f>IFERROR(VLOOKUP(B80,'📊 Problem Tracker'!$B$4:$F$1200,5,FALSE()),"")</f>
        <v>0</v>
      </c>
      <c r="I80" s="7"/>
      <c r="J80" s="7"/>
      <c r="K80" s="3"/>
      <c r="L80" s="228" t="s">
        <v>613</v>
      </c>
      <c r="M80" s="7" t="s">
        <v>24</v>
      </c>
      <c r="N80" s="176" t="s">
        <v>47</v>
      </c>
      <c r="O80" s="191" t="str">
        <f>HYPERLINK("https://leetcode.com/problems/valid-palindrome/","https://leetcode.com/problems/valid-palindrome/")</f>
        <v>https://leetcode.com/problems/valid-palindrome/</v>
      </c>
    </row>
    <row r="81" spans="1:15" ht="31.5" customHeight="1" x14ac:dyDescent="0.2">
      <c r="A81" s="118">
        <v>76</v>
      </c>
      <c r="B81" s="118">
        <v>126</v>
      </c>
      <c r="C81" s="119" t="s">
        <v>615</v>
      </c>
      <c r="D81" s="118" t="s">
        <v>4541</v>
      </c>
      <c r="E81" s="122" t="s">
        <v>42</v>
      </c>
      <c r="F81" s="121" t="s">
        <v>1142</v>
      </c>
      <c r="G81" s="121" t="s">
        <v>4542</v>
      </c>
      <c r="H81" s="118">
        <f>IFERROR(VLOOKUP(B81,'📊 Problem Tracker'!$B$4:$F$1200,5,FALSE()),"")</f>
        <v>0</v>
      </c>
      <c r="I81" s="118"/>
      <c r="J81" s="118"/>
      <c r="K81" s="121"/>
      <c r="L81" s="269" t="s">
        <v>302</v>
      </c>
      <c r="M81" s="118" t="s">
        <v>620</v>
      </c>
      <c r="N81" s="180" t="s">
        <v>621</v>
      </c>
      <c r="O81" s="193" t="str">
        <f>HYPERLINK("https://leetcode.com/problems/word-ladder-ii/","https://leetcode.com/problems/word-ladder-ii/")</f>
        <v>https://leetcode.com/problems/word-ladder-ii/</v>
      </c>
    </row>
    <row r="82" spans="1:15" ht="31.5" customHeight="1" x14ac:dyDescent="0.2">
      <c r="A82" s="7">
        <v>77</v>
      </c>
      <c r="B82" s="7">
        <v>127</v>
      </c>
      <c r="C82" s="13" t="s">
        <v>623</v>
      </c>
      <c r="D82" s="7" t="s">
        <v>4543</v>
      </c>
      <c r="E82" s="20" t="s">
        <v>42</v>
      </c>
      <c r="F82" s="3" t="s">
        <v>624</v>
      </c>
      <c r="G82" s="3" t="s">
        <v>4258</v>
      </c>
      <c r="H82" s="7">
        <f>IFERROR(VLOOKUP(B82,'📊 Problem Tracker'!$B$4:$F$1200,5,FALSE()),"")</f>
        <v>0</v>
      </c>
      <c r="I82" s="7"/>
      <c r="J82" s="7"/>
      <c r="K82" s="3"/>
      <c r="L82" s="228" t="s">
        <v>619</v>
      </c>
      <c r="M82" s="7" t="s">
        <v>625</v>
      </c>
      <c r="N82" s="176" t="s">
        <v>626</v>
      </c>
      <c r="O82" s="191" t="str">
        <f>HYPERLINK("https://leetcode.com/problems/word-ladder/","https://leetcode.com/problems/word-ladder/")</f>
        <v>https://leetcode.com/problems/word-ladder/</v>
      </c>
    </row>
    <row r="83" spans="1:15" ht="31.5" customHeight="1" x14ac:dyDescent="0.2">
      <c r="A83" s="118">
        <v>78</v>
      </c>
      <c r="B83" s="118">
        <v>128</v>
      </c>
      <c r="C83" s="119" t="s">
        <v>628</v>
      </c>
      <c r="D83" s="118" t="s">
        <v>4544</v>
      </c>
      <c r="E83" s="120" t="s">
        <v>28</v>
      </c>
      <c r="F83" s="121" t="s">
        <v>629</v>
      </c>
      <c r="G83" s="121" t="s">
        <v>4545</v>
      </c>
      <c r="H83" s="118">
        <f>IFERROR(VLOOKUP(B83,'📊 Problem Tracker'!$B$4:$F$1200,5,FALSE()),"")</f>
        <v>0</v>
      </c>
      <c r="I83" s="118"/>
      <c r="J83" s="118"/>
      <c r="K83" s="121"/>
      <c r="L83" s="269" t="s">
        <v>631</v>
      </c>
      <c r="M83" s="118" t="s">
        <v>24</v>
      </c>
      <c r="N83" s="180" t="s">
        <v>24</v>
      </c>
      <c r="O83" s="193" t="str">
        <f>HYPERLINK("https://leetcode.com/problems/longest-consecutive-sequence/","https://leetcode.com/problems/longest-consecutive-sequence/")</f>
        <v>https://leetcode.com/problems/longest-consecutive-sequence/</v>
      </c>
    </row>
    <row r="84" spans="1:15" ht="31.5" customHeight="1" x14ac:dyDescent="0.2">
      <c r="A84" s="7">
        <v>79</v>
      </c>
      <c r="B84" s="7">
        <v>133</v>
      </c>
      <c r="C84" s="13" t="s">
        <v>645</v>
      </c>
      <c r="D84" s="7" t="s">
        <v>4737</v>
      </c>
      <c r="E84" s="18" t="s">
        <v>28</v>
      </c>
      <c r="F84" s="3" t="s">
        <v>646</v>
      </c>
      <c r="G84" s="3" t="s">
        <v>4274</v>
      </c>
      <c r="H84" s="7">
        <f>IFERROR(VLOOKUP(B84,'📊 Problem Tracker'!$B$4:$F$1200,5,FALSE()),"")</f>
        <v>0</v>
      </c>
      <c r="I84" s="7"/>
      <c r="J84" s="7"/>
      <c r="K84" s="3"/>
      <c r="L84" s="228" t="s">
        <v>619</v>
      </c>
      <c r="M84" s="7" t="s">
        <v>648</v>
      </c>
      <c r="N84" s="176" t="s">
        <v>649</v>
      </c>
      <c r="O84" s="191" t="str">
        <f>HYPERLINK("https://leetcode.com/problems/clone-graph/","https://leetcode.com/problems/clone-graph/")</f>
        <v>https://leetcode.com/problems/clone-graph/</v>
      </c>
    </row>
    <row r="85" spans="1:15" ht="31.5" customHeight="1" x14ac:dyDescent="0.2">
      <c r="A85" s="118">
        <v>80</v>
      </c>
      <c r="B85" s="118">
        <v>134</v>
      </c>
      <c r="C85" s="119" t="s">
        <v>651</v>
      </c>
      <c r="D85" s="118" t="s">
        <v>4550</v>
      </c>
      <c r="E85" s="120" t="s">
        <v>28</v>
      </c>
      <c r="F85" s="121" t="s">
        <v>318</v>
      </c>
      <c r="G85" s="121" t="s">
        <v>3091</v>
      </c>
      <c r="H85" s="118">
        <f>IFERROR(VLOOKUP(B85,'📊 Problem Tracker'!$B$4:$F$1200,5,FALSE()),"")</f>
        <v>0</v>
      </c>
      <c r="I85" s="118"/>
      <c r="J85" s="118"/>
      <c r="K85" s="121"/>
      <c r="L85" s="269" t="s">
        <v>654</v>
      </c>
      <c r="M85" s="118" t="s">
        <v>24</v>
      </c>
      <c r="N85" s="180" t="s">
        <v>47</v>
      </c>
      <c r="O85" s="193" t="str">
        <f>HYPERLINK("https://leetcode.com/problems/gas-station/","https://leetcode.com/problems/gas-station/")</f>
        <v>https://leetcode.com/problems/gas-station/</v>
      </c>
    </row>
    <row r="86" spans="1:15" ht="31.5" customHeight="1" x14ac:dyDescent="0.2">
      <c r="A86" s="7">
        <v>81</v>
      </c>
      <c r="B86" s="7">
        <v>138</v>
      </c>
      <c r="C86" s="13" t="s">
        <v>668</v>
      </c>
      <c r="D86" s="7" t="s">
        <v>4472</v>
      </c>
      <c r="E86" s="18" t="s">
        <v>28</v>
      </c>
      <c r="F86" s="3" t="s">
        <v>669</v>
      </c>
      <c r="G86" s="3" t="s">
        <v>4552</v>
      </c>
      <c r="H86" s="7">
        <f>IFERROR(VLOOKUP(B86,'📊 Problem Tracker'!$B$4:$F$1200,5,FALSE()),"")</f>
        <v>0</v>
      </c>
      <c r="I86" s="7"/>
      <c r="J86" s="7"/>
      <c r="K86" s="3"/>
      <c r="L86" s="228" t="s">
        <v>461</v>
      </c>
      <c r="M86" s="7" t="s">
        <v>24</v>
      </c>
      <c r="N86" s="176" t="s">
        <v>24</v>
      </c>
      <c r="O86" s="191" t="str">
        <f>HYPERLINK("https://leetcode.com/problems/copy-list-with-random-pointer/","https://leetcode.com/problems/copy-list-with-random-pointer/")</f>
        <v>https://leetcode.com/problems/copy-list-with-random-pointer/</v>
      </c>
    </row>
    <row r="87" spans="1:15" ht="31.5" customHeight="1" x14ac:dyDescent="0.2">
      <c r="A87" s="118">
        <v>82</v>
      </c>
      <c r="B87" s="118">
        <v>139</v>
      </c>
      <c r="C87" s="119" t="s">
        <v>671</v>
      </c>
      <c r="D87" s="118" t="s">
        <v>4553</v>
      </c>
      <c r="E87" s="120" t="s">
        <v>28</v>
      </c>
      <c r="F87" s="121" t="s">
        <v>672</v>
      </c>
      <c r="G87" s="121" t="s">
        <v>1042</v>
      </c>
      <c r="H87" s="118">
        <f>IFERROR(VLOOKUP(B87,'📊 Problem Tracker'!$B$4:$F$1200,5,FALSE()),"")</f>
        <v>0</v>
      </c>
      <c r="I87" s="118"/>
      <c r="J87" s="118"/>
      <c r="K87" s="121"/>
      <c r="L87" s="269" t="s">
        <v>508</v>
      </c>
      <c r="M87" s="118" t="s">
        <v>53</v>
      </c>
      <c r="N87" s="180" t="s">
        <v>24</v>
      </c>
      <c r="O87" s="193" t="str">
        <f>HYPERLINK("https://leetcode.com/problems/word-break/","https://leetcode.com/problems/word-break/")</f>
        <v>https://leetcode.com/problems/word-break/</v>
      </c>
    </row>
    <row r="88" spans="1:15" ht="31.5" customHeight="1" x14ac:dyDescent="0.2">
      <c r="A88" s="7">
        <v>83</v>
      </c>
      <c r="B88" s="7">
        <v>143</v>
      </c>
      <c r="C88" s="13" t="s">
        <v>688</v>
      </c>
      <c r="D88" s="7" t="s">
        <v>4556</v>
      </c>
      <c r="E88" s="18" t="s">
        <v>28</v>
      </c>
      <c r="F88" s="3" t="s">
        <v>679</v>
      </c>
      <c r="G88" s="3" t="s">
        <v>127</v>
      </c>
      <c r="H88" s="7">
        <f>IFERROR(VLOOKUP(B88,'📊 Problem Tracker'!$B$4:$F$1200,5,FALSE()),"")</f>
        <v>0</v>
      </c>
      <c r="I88" s="7"/>
      <c r="J88" s="7"/>
      <c r="K88" s="3"/>
      <c r="L88" s="228" t="s">
        <v>690</v>
      </c>
      <c r="M88" s="7" t="s">
        <v>24</v>
      </c>
      <c r="N88" s="176" t="s">
        <v>47</v>
      </c>
      <c r="O88" s="191" t="str">
        <f>HYPERLINK("https://leetcode.com/problems/reorder-list/","https://leetcode.com/problems/reorder-list/")</f>
        <v>https://leetcode.com/problems/reorder-list/</v>
      </c>
    </row>
    <row r="89" spans="1:15" ht="31.5" customHeight="1" x14ac:dyDescent="0.2">
      <c r="A89" s="118">
        <v>84</v>
      </c>
      <c r="B89" s="118">
        <v>146</v>
      </c>
      <c r="C89" s="119" t="s">
        <v>692</v>
      </c>
      <c r="D89" s="118" t="s">
        <v>4510</v>
      </c>
      <c r="E89" s="120" t="s">
        <v>28</v>
      </c>
      <c r="F89" s="121" t="s">
        <v>693</v>
      </c>
      <c r="G89" s="121" t="s">
        <v>4557</v>
      </c>
      <c r="H89" s="118">
        <f>IFERROR(VLOOKUP(B89,'📊 Problem Tracker'!$B$4:$F$1200,5,FALSE()),"")</f>
        <v>0</v>
      </c>
      <c r="I89" s="118"/>
      <c r="J89" s="118"/>
      <c r="K89" s="121"/>
      <c r="L89" s="269" t="s">
        <v>695</v>
      </c>
      <c r="M89" s="118" t="s">
        <v>696</v>
      </c>
      <c r="N89" s="180" t="s">
        <v>697</v>
      </c>
      <c r="O89" s="193" t="str">
        <f>HYPERLINK("https://leetcode.com/problems/lru-cache/","https://leetcode.com/problems/lru-cache/")</f>
        <v>https://leetcode.com/problems/lru-cache/</v>
      </c>
    </row>
    <row r="90" spans="1:15" ht="31.5" customHeight="1" x14ac:dyDescent="0.2">
      <c r="A90" s="7">
        <v>85</v>
      </c>
      <c r="B90" s="7">
        <v>149</v>
      </c>
      <c r="C90" s="13" t="s">
        <v>702</v>
      </c>
      <c r="D90" s="7" t="s">
        <v>4560</v>
      </c>
      <c r="E90" s="20" t="s">
        <v>42</v>
      </c>
      <c r="F90" s="3" t="s">
        <v>703</v>
      </c>
      <c r="G90" s="3" t="s">
        <v>4561</v>
      </c>
      <c r="H90" s="7">
        <f>IFERROR(VLOOKUP(B90,'📊 Problem Tracker'!$B$4:$F$1200,5,FALSE()),"")</f>
        <v>0</v>
      </c>
      <c r="I90" s="7"/>
      <c r="J90" s="7"/>
      <c r="K90" s="3"/>
      <c r="L90" s="228" t="s">
        <v>705</v>
      </c>
      <c r="M90" s="7" t="s">
        <v>53</v>
      </c>
      <c r="N90" s="176" t="s">
        <v>24</v>
      </c>
      <c r="O90" s="191" t="str">
        <f>HYPERLINK("https://leetcode.com/problems/max-points-on-a-line/","https://leetcode.com/problems/max-points-on-a-line/")</f>
        <v>https://leetcode.com/problems/max-points-on-a-line/</v>
      </c>
    </row>
    <row r="91" spans="1:15" ht="31.5" customHeight="1" x14ac:dyDescent="0.2">
      <c r="A91" s="118">
        <v>86</v>
      </c>
      <c r="B91" s="118">
        <v>150</v>
      </c>
      <c r="C91" s="119" t="s">
        <v>707</v>
      </c>
      <c r="D91" s="118" t="s">
        <v>4562</v>
      </c>
      <c r="E91" s="120" t="s">
        <v>28</v>
      </c>
      <c r="F91" s="121" t="s">
        <v>708</v>
      </c>
      <c r="G91" s="121" t="s">
        <v>540</v>
      </c>
      <c r="H91" s="118">
        <f>IFERROR(VLOOKUP(B91,'📊 Problem Tracker'!$B$4:$F$1200,5,FALSE()),"")</f>
        <v>0</v>
      </c>
      <c r="I91" s="118"/>
      <c r="J91" s="118"/>
      <c r="K91" s="121"/>
      <c r="L91" s="269" t="s">
        <v>711</v>
      </c>
      <c r="M91" s="118" t="s">
        <v>24</v>
      </c>
      <c r="N91" s="180" t="s">
        <v>24</v>
      </c>
      <c r="O91" s="193" t="str">
        <f>HYPERLINK("https://leetcode.com/problems/evaluate-reverse-polish-notation/","https://leetcode.com/problems/evaluate-reverse-polish-notation/")</f>
        <v>https://leetcode.com/problems/evaluate-reverse-polish-notation/</v>
      </c>
    </row>
    <row r="92" spans="1:15" ht="31.5" customHeight="1" x14ac:dyDescent="0.2">
      <c r="A92" s="7">
        <v>87</v>
      </c>
      <c r="B92" s="7">
        <v>151</v>
      </c>
      <c r="C92" s="13" t="s">
        <v>713</v>
      </c>
      <c r="D92" s="7" t="s">
        <v>4563</v>
      </c>
      <c r="E92" s="18" t="s">
        <v>28</v>
      </c>
      <c r="F92" s="3" t="s">
        <v>611</v>
      </c>
      <c r="G92" s="3" t="s">
        <v>4564</v>
      </c>
      <c r="H92" s="7">
        <f>IFERROR(VLOOKUP(B92,'📊 Problem Tracker'!$B$4:$F$1200,5,FALSE()),"")</f>
        <v>0</v>
      </c>
      <c r="I92" s="7"/>
      <c r="J92" s="7"/>
      <c r="K92" s="3"/>
      <c r="L92" s="228" t="s">
        <v>690</v>
      </c>
      <c r="M92" s="7" t="s">
        <v>24</v>
      </c>
      <c r="N92" s="176" t="s">
        <v>24</v>
      </c>
      <c r="O92" s="191" t="str">
        <f>HYPERLINK("https://leetcode.com/problems/reverse-words-in-a-string/","https://leetcode.com/problems/reverse-words-in-a-string/")</f>
        <v>https://leetcode.com/problems/reverse-words-in-a-string/</v>
      </c>
    </row>
    <row r="93" spans="1:15" ht="31.5" customHeight="1" x14ac:dyDescent="0.2">
      <c r="A93" s="118">
        <v>88</v>
      </c>
      <c r="B93" s="118">
        <v>153</v>
      </c>
      <c r="C93" s="119" t="s">
        <v>720</v>
      </c>
      <c r="D93" s="118" t="s">
        <v>4566</v>
      </c>
      <c r="E93" s="120" t="s">
        <v>28</v>
      </c>
      <c r="F93" s="121" t="s">
        <v>41</v>
      </c>
      <c r="G93" s="121" t="s">
        <v>512</v>
      </c>
      <c r="H93" s="118">
        <f>IFERROR(VLOOKUP(B93,'📊 Problem Tracker'!$B$4:$F$1200,5,FALSE()),"")</f>
        <v>0</v>
      </c>
      <c r="I93" s="118"/>
      <c r="J93" s="118"/>
      <c r="K93" s="121"/>
      <c r="L93" s="269" t="s">
        <v>722</v>
      </c>
      <c r="M93" s="118" t="s">
        <v>65</v>
      </c>
      <c r="N93" s="180" t="s">
        <v>47</v>
      </c>
      <c r="O93" s="193" t="str">
        <f>HYPERLINK("https://leetcode.com/problems/find-minimum-in-rotated-sorted-array/","https://leetcode.com/problems/find-minimum-in-rotated-sorted-array/")</f>
        <v>https://leetcode.com/problems/find-minimum-in-rotated-sorted-array/</v>
      </c>
    </row>
    <row r="94" spans="1:15" ht="31.5" customHeight="1" x14ac:dyDescent="0.2">
      <c r="A94" s="7">
        <v>89</v>
      </c>
      <c r="B94" s="7">
        <v>155</v>
      </c>
      <c r="C94" s="13" t="s">
        <v>728</v>
      </c>
      <c r="D94" s="7" t="s">
        <v>4567</v>
      </c>
      <c r="E94" s="18" t="s">
        <v>28</v>
      </c>
      <c r="F94" s="3" t="s">
        <v>729</v>
      </c>
      <c r="G94" s="3" t="s">
        <v>4568</v>
      </c>
      <c r="H94" s="7">
        <f>IFERROR(VLOOKUP(B94,'📊 Problem Tracker'!$B$4:$F$1200,5,FALSE()),"")</f>
        <v>0</v>
      </c>
      <c r="I94" s="7"/>
      <c r="J94" s="7"/>
      <c r="K94" s="3"/>
      <c r="L94" s="228" t="s">
        <v>731</v>
      </c>
      <c r="M94" s="7" t="s">
        <v>732</v>
      </c>
      <c r="N94" s="176" t="s">
        <v>24</v>
      </c>
      <c r="O94" s="191" t="str">
        <f>HYPERLINK("https://leetcode.com/problems/min-stack/","https://leetcode.com/problems/min-stack/")</f>
        <v>https://leetcode.com/problems/min-stack/</v>
      </c>
    </row>
    <row r="95" spans="1:15" ht="31.5" customHeight="1" x14ac:dyDescent="0.2">
      <c r="A95" s="118">
        <v>90</v>
      </c>
      <c r="B95" s="118">
        <v>157</v>
      </c>
      <c r="C95" s="119" t="s">
        <v>734</v>
      </c>
      <c r="D95" s="118" t="s">
        <v>4494</v>
      </c>
      <c r="E95" s="123" t="s">
        <v>20</v>
      </c>
      <c r="F95" s="121" t="s">
        <v>735</v>
      </c>
      <c r="G95" s="121" t="s">
        <v>2570</v>
      </c>
      <c r="H95" s="118">
        <f>IFERROR(VLOOKUP(B95,'📊 Problem Tracker'!$B$4:$F$1200,5,FALSE()),"")</f>
        <v>0</v>
      </c>
      <c r="I95" s="118"/>
      <c r="J95" s="118"/>
      <c r="K95" s="121"/>
      <c r="L95" s="269" t="s">
        <v>750</v>
      </c>
      <c r="M95" s="118" t="s">
        <v>24</v>
      </c>
      <c r="N95" s="180" t="s">
        <v>24</v>
      </c>
      <c r="O95" s="193" t="str">
        <f>HYPERLINK("https://leetcode.com/problems/read-n-characters-given-read4/","https://leetcode.com/problems/read-n-characters-given-read4/")</f>
        <v>https://leetcode.com/problems/read-n-characters-given-read4/</v>
      </c>
    </row>
    <row r="96" spans="1:15" ht="31.5" customHeight="1" x14ac:dyDescent="0.2">
      <c r="A96" s="7">
        <v>91</v>
      </c>
      <c r="B96" s="7">
        <v>158</v>
      </c>
      <c r="C96" s="13" t="s">
        <v>739</v>
      </c>
      <c r="D96" s="7" t="s">
        <v>4738</v>
      </c>
      <c r="E96" s="20" t="s">
        <v>42</v>
      </c>
      <c r="F96" s="3" t="s">
        <v>735</v>
      </c>
      <c r="G96" s="3" t="s">
        <v>2570</v>
      </c>
      <c r="H96" s="7">
        <f>IFERROR(VLOOKUP(B96,'📊 Problem Tracker'!$B$4:$F$1200,5,FALSE()),"")</f>
        <v>0</v>
      </c>
      <c r="I96" s="7"/>
      <c r="J96" s="7"/>
      <c r="K96" s="3"/>
      <c r="L96" s="228" t="s">
        <v>750</v>
      </c>
      <c r="M96" s="7" t="s">
        <v>24</v>
      </c>
      <c r="N96" s="176" t="s">
        <v>24</v>
      </c>
      <c r="O96" s="191" t="str">
        <f>HYPERLINK("https://leetcode.com/problems/read-n-characters-given-read4-ii-call-multiple-times/","https://leetcode.com/problems/read-n-characters-given-read4-ii-call-multiple-times/")</f>
        <v>https://leetcode.com/problems/read-n-characters-given-read4-ii-call-multiple-times/</v>
      </c>
    </row>
    <row r="97" spans="1:15" ht="31.5" customHeight="1" x14ac:dyDescent="0.2">
      <c r="A97" s="118">
        <v>92</v>
      </c>
      <c r="B97" s="118">
        <v>160</v>
      </c>
      <c r="C97" s="119" t="s">
        <v>743</v>
      </c>
      <c r="D97" s="118" t="s">
        <v>4525</v>
      </c>
      <c r="E97" s="123" t="s">
        <v>20</v>
      </c>
      <c r="F97" s="121" t="s">
        <v>679</v>
      </c>
      <c r="G97" s="121" t="s">
        <v>127</v>
      </c>
      <c r="H97" s="118">
        <f>IFERROR(VLOOKUP(B97,'📊 Problem Tracker'!$B$4:$F$1200,5,FALSE()),"")</f>
        <v>0</v>
      </c>
      <c r="I97" s="118"/>
      <c r="J97" s="118"/>
      <c r="K97" s="121"/>
      <c r="L97" s="269" t="s">
        <v>745</v>
      </c>
      <c r="M97" s="118" t="s">
        <v>259</v>
      </c>
      <c r="N97" s="180" t="s">
        <v>47</v>
      </c>
      <c r="O97" s="193" t="str">
        <f>HYPERLINK("https://leetcode.com/problems/intersection-of-two-linked-lists/","https://leetcode.com/problems/intersection-of-two-linked-lists/")</f>
        <v>https://leetcode.com/problems/intersection-of-two-linked-lists/</v>
      </c>
    </row>
    <row r="98" spans="1:15" ht="31.5" customHeight="1" x14ac:dyDescent="0.2">
      <c r="A98" s="7">
        <v>93</v>
      </c>
      <c r="B98" s="7">
        <v>161</v>
      </c>
      <c r="C98" s="13" t="s">
        <v>747</v>
      </c>
      <c r="D98" s="7" t="s">
        <v>4739</v>
      </c>
      <c r="E98" s="18" t="s">
        <v>28</v>
      </c>
      <c r="F98" s="3" t="s">
        <v>98</v>
      </c>
      <c r="G98" s="3" t="s">
        <v>98</v>
      </c>
      <c r="H98" s="7">
        <f>IFERROR(VLOOKUP(B98,'📊 Problem Tracker'!$B$4:$F$1200,5,FALSE()),"")</f>
        <v>0</v>
      </c>
      <c r="I98" s="7"/>
      <c r="J98" s="7"/>
      <c r="K98" s="3"/>
      <c r="L98" s="228" t="s">
        <v>750</v>
      </c>
      <c r="M98" s="7" t="s">
        <v>24</v>
      </c>
      <c r="N98" s="176" t="s">
        <v>24</v>
      </c>
      <c r="O98" s="191" t="str">
        <f>HYPERLINK("https://leetcode.com/problems/one-edit-distance/","https://leetcode.com/problems/one-edit-distance/")</f>
        <v>https://leetcode.com/problems/one-edit-distance/</v>
      </c>
    </row>
    <row r="99" spans="1:15" ht="31.5" customHeight="1" x14ac:dyDescent="0.2">
      <c r="A99" s="118">
        <v>94</v>
      </c>
      <c r="B99" s="118">
        <v>162</v>
      </c>
      <c r="C99" s="119" t="s">
        <v>752</v>
      </c>
      <c r="D99" s="118" t="s">
        <v>4569</v>
      </c>
      <c r="E99" s="120" t="s">
        <v>28</v>
      </c>
      <c r="F99" s="121" t="s">
        <v>41</v>
      </c>
      <c r="G99" s="121" t="s">
        <v>512</v>
      </c>
      <c r="H99" s="118">
        <f>IFERROR(VLOOKUP(B99,'📊 Problem Tracker'!$B$4:$F$1200,5,FALSE()),"")</f>
        <v>0</v>
      </c>
      <c r="I99" s="118"/>
      <c r="J99" s="118"/>
      <c r="K99" s="121"/>
      <c r="L99" s="269" t="s">
        <v>513</v>
      </c>
      <c r="M99" s="118" t="s">
        <v>65</v>
      </c>
      <c r="N99" s="180" t="s">
        <v>47</v>
      </c>
      <c r="O99" s="193" t="str">
        <f>HYPERLINK("https://leetcode.com/problems/find-peak-element/","https://leetcode.com/problems/find-peak-element/")</f>
        <v>https://leetcode.com/problems/find-peak-element/</v>
      </c>
    </row>
    <row r="100" spans="1:15" ht="31.5" customHeight="1" x14ac:dyDescent="0.2">
      <c r="A100" s="7">
        <v>95</v>
      </c>
      <c r="B100" s="7">
        <v>163</v>
      </c>
      <c r="C100" s="13" t="s">
        <v>754</v>
      </c>
      <c r="D100" s="7" t="s">
        <v>4519</v>
      </c>
      <c r="E100" s="21" t="s">
        <v>20</v>
      </c>
      <c r="F100" s="3" t="s">
        <v>166</v>
      </c>
      <c r="G100" s="3" t="s">
        <v>166</v>
      </c>
      <c r="H100" s="7">
        <f>IFERROR(VLOOKUP(B100,'📊 Problem Tracker'!$B$4:$F$1200,5,FALSE()),"")</f>
        <v>0</v>
      </c>
      <c r="I100" s="7"/>
      <c r="J100" s="7"/>
      <c r="K100" s="3"/>
      <c r="L100" s="228" t="s">
        <v>654</v>
      </c>
      <c r="M100" s="7" t="s">
        <v>24</v>
      </c>
      <c r="N100" s="176" t="s">
        <v>47</v>
      </c>
      <c r="O100" s="191" t="str">
        <f>HYPERLINK("https://leetcode.com/problems/missing-ranges/","https://leetcode.com/problems/missing-ranges/")</f>
        <v>https://leetcode.com/problems/missing-ranges/</v>
      </c>
    </row>
    <row r="101" spans="1:15" ht="31.5" customHeight="1" x14ac:dyDescent="0.2">
      <c r="A101" s="118">
        <v>96</v>
      </c>
      <c r="B101" s="118">
        <v>165</v>
      </c>
      <c r="C101" s="119" t="s">
        <v>758</v>
      </c>
      <c r="D101" s="118" t="s">
        <v>4660</v>
      </c>
      <c r="E101" s="120" t="s">
        <v>28</v>
      </c>
      <c r="F101" s="121" t="s">
        <v>98</v>
      </c>
      <c r="G101" s="121" t="s">
        <v>98</v>
      </c>
      <c r="H101" s="118">
        <f>IFERROR(VLOOKUP(B101,'📊 Problem Tracker'!$B$4:$F$1200,5,FALSE()),"")</f>
        <v>0</v>
      </c>
      <c r="I101" s="118"/>
      <c r="J101" s="118"/>
      <c r="K101" s="121"/>
      <c r="L101" s="269" t="s">
        <v>750</v>
      </c>
      <c r="M101" s="118" t="s">
        <v>24</v>
      </c>
      <c r="N101" s="180" t="s">
        <v>24</v>
      </c>
      <c r="O101" s="193" t="str">
        <f>HYPERLINK("https://leetcode.com/problems/compare-version-numbers/","https://leetcode.com/problems/compare-version-numbers/")</f>
        <v>https://leetcode.com/problems/compare-version-numbers/</v>
      </c>
    </row>
    <row r="102" spans="1:15" ht="31.5" customHeight="1" x14ac:dyDescent="0.2">
      <c r="A102" s="7">
        <v>97</v>
      </c>
      <c r="B102" s="7">
        <v>167</v>
      </c>
      <c r="C102" s="13" t="s">
        <v>765</v>
      </c>
      <c r="D102" s="7" t="s">
        <v>4570</v>
      </c>
      <c r="E102" s="18" t="s">
        <v>28</v>
      </c>
      <c r="F102" s="3" t="s">
        <v>1110</v>
      </c>
      <c r="G102" s="3" t="s">
        <v>689</v>
      </c>
      <c r="H102" s="7">
        <f>IFERROR(VLOOKUP(B102,'📊 Problem Tracker'!$B$4:$F$1200,5,FALSE()),"")</f>
        <v>0</v>
      </c>
      <c r="I102" s="7"/>
      <c r="J102" s="7"/>
      <c r="K102" s="3"/>
      <c r="L102" s="228" t="s">
        <v>690</v>
      </c>
      <c r="M102" s="7" t="s">
        <v>24</v>
      </c>
      <c r="N102" s="176" t="s">
        <v>47</v>
      </c>
      <c r="O102" s="191" t="str">
        <f>HYPERLINK("https://leetcode.com/problems/two-sum-ii-input-array-is-sorted/","https://leetcode.com/problems/two-sum-ii-input-array-is-sorted/")</f>
        <v>https://leetcode.com/problems/two-sum-ii-input-array-is-sorted/</v>
      </c>
    </row>
    <row r="103" spans="1:15" ht="31.5" customHeight="1" x14ac:dyDescent="0.2">
      <c r="A103" s="118">
        <v>98</v>
      </c>
      <c r="B103" s="118">
        <v>173</v>
      </c>
      <c r="C103" s="119" t="s">
        <v>785</v>
      </c>
      <c r="D103" s="118" t="s">
        <v>4740</v>
      </c>
      <c r="E103" s="120" t="s">
        <v>28</v>
      </c>
      <c r="F103" s="121" t="s">
        <v>4741</v>
      </c>
      <c r="G103" s="121" t="s">
        <v>4742</v>
      </c>
      <c r="H103" s="118">
        <f>IFERROR(VLOOKUP(B103,'📊 Problem Tracker'!$B$4:$F$1200,5,FALSE()),"")</f>
        <v>0</v>
      </c>
      <c r="I103" s="118"/>
      <c r="J103" s="118"/>
      <c r="K103" s="121"/>
      <c r="L103" s="269" t="s">
        <v>513</v>
      </c>
      <c r="M103" s="118" t="s">
        <v>788</v>
      </c>
      <c r="N103" s="180" t="s">
        <v>503</v>
      </c>
      <c r="O103" s="193" t="str">
        <f>HYPERLINK("https://leetcode.com/problems/binary-search-tree-iterator/","https://leetcode.com/problems/binary-search-tree-iterator/")</f>
        <v>https://leetcode.com/problems/binary-search-tree-iterator/</v>
      </c>
    </row>
    <row r="104" spans="1:15" ht="31.5" customHeight="1" x14ac:dyDescent="0.2">
      <c r="A104" s="7">
        <v>99</v>
      </c>
      <c r="B104" s="7">
        <v>176</v>
      </c>
      <c r="C104" s="13" t="s">
        <v>800</v>
      </c>
      <c r="D104" s="7" t="s">
        <v>4569</v>
      </c>
      <c r="E104" s="18" t="s">
        <v>28</v>
      </c>
      <c r="F104" s="3" t="s">
        <v>796</v>
      </c>
      <c r="G104" s="3"/>
      <c r="H104" s="7">
        <f>IFERROR(VLOOKUP(B104,'📊 Problem Tracker'!$B$4:$F$1200,5,FALSE()),"")</f>
        <v>0</v>
      </c>
      <c r="I104" s="7"/>
      <c r="J104" s="7"/>
      <c r="K104" s="3"/>
      <c r="L104" s="228" t="s">
        <v>4239</v>
      </c>
      <c r="M104" s="7" t="s">
        <v>24</v>
      </c>
      <c r="N104" s="176" t="s">
        <v>24</v>
      </c>
      <c r="O104" s="191" t="str">
        <f>HYPERLINK("https://leetcode.com/problems/second-highest-salary/","https://leetcode.com/problems/second-highest-salary/")</f>
        <v>https://leetcode.com/problems/second-highest-salary/</v>
      </c>
    </row>
    <row r="105" spans="1:15" ht="31.5" customHeight="1" x14ac:dyDescent="0.2">
      <c r="A105" s="118">
        <v>100</v>
      </c>
      <c r="B105" s="118">
        <v>188</v>
      </c>
      <c r="C105" s="119" t="s">
        <v>850</v>
      </c>
      <c r="D105" s="118" t="s">
        <v>4600</v>
      </c>
      <c r="E105" s="122" t="s">
        <v>42</v>
      </c>
      <c r="F105" s="121" t="s">
        <v>309</v>
      </c>
      <c r="G105" s="121" t="s">
        <v>4539</v>
      </c>
      <c r="H105" s="118">
        <f>IFERROR(VLOOKUP(B105,'📊 Problem Tracker'!$B$4:$F$1200,5,FALSE()),"")</f>
        <v>0</v>
      </c>
      <c r="I105" s="118"/>
      <c r="J105" s="118"/>
      <c r="K105" s="121"/>
      <c r="L105" s="269" t="s">
        <v>508</v>
      </c>
      <c r="M105" s="118" t="s">
        <v>292</v>
      </c>
      <c r="N105" s="180" t="s">
        <v>153</v>
      </c>
      <c r="O105" s="193" t="str">
        <f>HYPERLINK("https://leetcode.com/problems/best-time-to-buy-and-sell-stock-iv/","https://leetcode.com/problems/best-time-to-buy-and-sell-stock-iv/")</f>
        <v>https://leetcode.com/problems/best-time-to-buy-and-sell-stock-iv/</v>
      </c>
    </row>
    <row r="106" spans="1:15" ht="31.5" customHeight="1" x14ac:dyDescent="0.2">
      <c r="A106" s="7">
        <v>101</v>
      </c>
      <c r="B106" s="7">
        <v>189</v>
      </c>
      <c r="C106" s="13" t="s">
        <v>852</v>
      </c>
      <c r="D106" s="7" t="s">
        <v>4574</v>
      </c>
      <c r="E106" s="18" t="s">
        <v>28</v>
      </c>
      <c r="F106" s="3" t="s">
        <v>853</v>
      </c>
      <c r="G106" s="3" t="s">
        <v>4575</v>
      </c>
      <c r="H106" s="7">
        <f>IFERROR(VLOOKUP(B106,'📊 Problem Tracker'!$B$4:$F$1200,5,FALSE()),"")</f>
        <v>0</v>
      </c>
      <c r="I106" s="7"/>
      <c r="J106" s="7"/>
      <c r="K106" s="3"/>
      <c r="L106" s="228" t="s">
        <v>690</v>
      </c>
      <c r="M106" s="7" t="s">
        <v>24</v>
      </c>
      <c r="N106" s="176" t="s">
        <v>47</v>
      </c>
      <c r="O106" s="191" t="str">
        <f>HYPERLINK("https://leetcode.com/problems/rotate-array/","https://leetcode.com/problems/rotate-array/")</f>
        <v>https://leetcode.com/problems/rotate-array/</v>
      </c>
    </row>
    <row r="107" spans="1:15" ht="31.5" customHeight="1" x14ac:dyDescent="0.2">
      <c r="A107" s="118">
        <v>102</v>
      </c>
      <c r="B107" s="118">
        <v>190</v>
      </c>
      <c r="C107" s="119" t="s">
        <v>855</v>
      </c>
      <c r="D107" s="118" t="s">
        <v>4743</v>
      </c>
      <c r="E107" s="123" t="s">
        <v>20</v>
      </c>
      <c r="F107" s="121" t="s">
        <v>666</v>
      </c>
      <c r="G107" s="121" t="s">
        <v>666</v>
      </c>
      <c r="H107" s="118">
        <f>IFERROR(VLOOKUP(B107,'📊 Problem Tracker'!$B$4:$F$1200,5,FALSE()),"")</f>
        <v>0</v>
      </c>
      <c r="I107" s="118"/>
      <c r="J107" s="118"/>
      <c r="K107" s="121"/>
      <c r="L107" s="269" t="s">
        <v>230</v>
      </c>
      <c r="M107" s="118" t="s">
        <v>47</v>
      </c>
      <c r="N107" s="180" t="s">
        <v>47</v>
      </c>
      <c r="O107" s="193" t="str">
        <f>HYPERLINK("https://leetcode.com/problems/reverse-bits/","https://leetcode.com/problems/reverse-bits/")</f>
        <v>https://leetcode.com/problems/reverse-bits/</v>
      </c>
    </row>
    <row r="108" spans="1:15" ht="31.5" customHeight="1" x14ac:dyDescent="0.2">
      <c r="A108" s="7">
        <v>103</v>
      </c>
      <c r="B108" s="7">
        <v>191</v>
      </c>
      <c r="C108" s="13" t="s">
        <v>858</v>
      </c>
      <c r="D108" s="7" t="s">
        <v>4576</v>
      </c>
      <c r="E108" s="21" t="s">
        <v>20</v>
      </c>
      <c r="F108" s="3" t="s">
        <v>666</v>
      </c>
      <c r="G108" s="3" t="s">
        <v>666</v>
      </c>
      <c r="H108" s="7">
        <f>IFERROR(VLOOKUP(B108,'📊 Problem Tracker'!$B$4:$F$1200,5,FALSE()),"")</f>
        <v>0</v>
      </c>
      <c r="I108" s="7"/>
      <c r="J108" s="7"/>
      <c r="K108" s="3"/>
      <c r="L108" s="228" t="s">
        <v>230</v>
      </c>
      <c r="M108" s="7" t="s">
        <v>47</v>
      </c>
      <c r="N108" s="176" t="s">
        <v>47</v>
      </c>
      <c r="O108" s="191" t="str">
        <f>HYPERLINK("https://leetcode.com/problems/number-of-1-bits/","https://leetcode.com/problems/number-of-1-bits/")</f>
        <v>https://leetcode.com/problems/number-of-1-bits/</v>
      </c>
    </row>
    <row r="109" spans="1:15" ht="31.5" customHeight="1" x14ac:dyDescent="0.2">
      <c r="A109" s="118">
        <v>104</v>
      </c>
      <c r="B109" s="118">
        <v>198</v>
      </c>
      <c r="C109" s="119" t="s">
        <v>874</v>
      </c>
      <c r="D109" s="118" t="s">
        <v>4578</v>
      </c>
      <c r="E109" s="120" t="s">
        <v>28</v>
      </c>
      <c r="F109" s="121" t="s">
        <v>309</v>
      </c>
      <c r="G109" s="121" t="s">
        <v>1042</v>
      </c>
      <c r="H109" s="118">
        <f>IFERROR(VLOOKUP(B109,'📊 Problem Tracker'!$B$4:$F$1200,5,FALSE()),"")</f>
        <v>0</v>
      </c>
      <c r="I109" s="118"/>
      <c r="J109" s="118"/>
      <c r="K109" s="121"/>
      <c r="L109" s="269" t="s">
        <v>876</v>
      </c>
      <c r="M109" s="118" t="s">
        <v>24</v>
      </c>
      <c r="N109" s="180" t="s">
        <v>47</v>
      </c>
      <c r="O109" s="193" t="str">
        <f>HYPERLINK("https://leetcode.com/problems/house-robber/","https://leetcode.com/problems/house-robber/")</f>
        <v>https://leetcode.com/problems/house-robber/</v>
      </c>
    </row>
    <row r="110" spans="1:15" ht="31.5" customHeight="1" x14ac:dyDescent="0.2">
      <c r="A110" s="7">
        <v>105</v>
      </c>
      <c r="B110" s="7">
        <v>199</v>
      </c>
      <c r="C110" s="13" t="s">
        <v>878</v>
      </c>
      <c r="D110" s="7" t="s">
        <v>4744</v>
      </c>
      <c r="E110" s="18" t="s">
        <v>28</v>
      </c>
      <c r="F110" s="3" t="s">
        <v>879</v>
      </c>
      <c r="G110" s="3" t="s">
        <v>4270</v>
      </c>
      <c r="H110" s="7">
        <f>IFERROR(VLOOKUP(B110,'📊 Problem Tracker'!$B$4:$F$1200,5,FALSE()),"")</f>
        <v>0</v>
      </c>
      <c r="I110" s="7"/>
      <c r="J110" s="7"/>
      <c r="K110" s="3"/>
      <c r="L110" s="228" t="s">
        <v>571</v>
      </c>
      <c r="M110" s="7" t="s">
        <v>24</v>
      </c>
      <c r="N110" s="176" t="s">
        <v>24</v>
      </c>
      <c r="O110" s="191" t="str">
        <f>HYPERLINK("https://leetcode.com/problems/binary-tree-right-side-view/","https://leetcode.com/problems/binary-tree-right-side-view/")</f>
        <v>https://leetcode.com/problems/binary-tree-right-side-view/</v>
      </c>
    </row>
    <row r="111" spans="1:15" ht="31.5" customHeight="1" x14ac:dyDescent="0.2">
      <c r="A111" s="118">
        <v>106</v>
      </c>
      <c r="B111" s="118">
        <v>200</v>
      </c>
      <c r="C111" s="119" t="s">
        <v>882</v>
      </c>
      <c r="D111" s="118" t="s">
        <v>4558</v>
      </c>
      <c r="E111" s="120" t="s">
        <v>28</v>
      </c>
      <c r="F111" s="121" t="s">
        <v>4159</v>
      </c>
      <c r="G111" s="121" t="s">
        <v>4579</v>
      </c>
      <c r="H111" s="118">
        <f>IFERROR(VLOOKUP(B111,'📊 Problem Tracker'!$B$4:$F$1200,5,FALSE()),"")</f>
        <v>0</v>
      </c>
      <c r="I111" s="118"/>
      <c r="J111" s="118"/>
      <c r="K111" s="121"/>
      <c r="L111" s="269" t="s">
        <v>884</v>
      </c>
      <c r="M111" s="118" t="s">
        <v>81</v>
      </c>
      <c r="N111" s="180" t="s">
        <v>81</v>
      </c>
      <c r="O111" s="193" t="str">
        <f>HYPERLINK("https://leetcode.com/problems/number-of-islands/","https://leetcode.com/problems/number-of-islands/")</f>
        <v>https://leetcode.com/problems/number-of-islands/</v>
      </c>
    </row>
    <row r="112" spans="1:15" ht="31.5" customHeight="1" x14ac:dyDescent="0.2">
      <c r="A112" s="7">
        <v>107</v>
      </c>
      <c r="B112" s="7">
        <v>202</v>
      </c>
      <c r="C112" s="13" t="s">
        <v>886</v>
      </c>
      <c r="D112" s="7" t="s">
        <v>4521</v>
      </c>
      <c r="E112" s="21" t="s">
        <v>20</v>
      </c>
      <c r="F112" s="3" t="s">
        <v>887</v>
      </c>
      <c r="G112" s="3" t="s">
        <v>4034</v>
      </c>
      <c r="H112" s="7">
        <f>IFERROR(VLOOKUP(B112,'📊 Problem Tracker'!$B$4:$F$1200,5,FALSE()),"")</f>
        <v>0</v>
      </c>
      <c r="I112" s="7"/>
      <c r="J112" s="7"/>
      <c r="K112" s="3"/>
      <c r="L112" s="228" t="s">
        <v>889</v>
      </c>
      <c r="M112" s="7" t="s">
        <v>65</v>
      </c>
      <c r="N112" s="176" t="s">
        <v>47</v>
      </c>
      <c r="O112" s="191" t="str">
        <f>HYPERLINK("https://leetcode.com/problems/happy-number/","https://leetcode.com/problems/happy-number/")</f>
        <v>https://leetcode.com/problems/happy-number/</v>
      </c>
    </row>
    <row r="113" spans="1:15" ht="31.5" customHeight="1" x14ac:dyDescent="0.2">
      <c r="A113" s="118">
        <v>108</v>
      </c>
      <c r="B113" s="118">
        <v>203</v>
      </c>
      <c r="C113" s="119" t="s">
        <v>891</v>
      </c>
      <c r="D113" s="118" t="s">
        <v>4745</v>
      </c>
      <c r="E113" s="123" t="s">
        <v>20</v>
      </c>
      <c r="F113" s="121" t="s">
        <v>127</v>
      </c>
      <c r="G113" s="121" t="s">
        <v>127</v>
      </c>
      <c r="H113" s="118">
        <f>IFERROR(VLOOKUP(B113,'📊 Problem Tracker'!$B$4:$F$1200,5,FALSE()),"")</f>
        <v>0</v>
      </c>
      <c r="I113" s="118"/>
      <c r="J113" s="118"/>
      <c r="K113" s="121"/>
      <c r="L113" s="269" t="s">
        <v>461</v>
      </c>
      <c r="M113" s="118" t="s">
        <v>24</v>
      </c>
      <c r="N113" s="180" t="s">
        <v>47</v>
      </c>
      <c r="O113" s="193" t="str">
        <f>HYPERLINK("https://leetcode.com/problems/remove-linked-list-elements/","https://leetcode.com/problems/remove-linked-list-elements/")</f>
        <v>https://leetcode.com/problems/remove-linked-list-elements/</v>
      </c>
    </row>
    <row r="114" spans="1:15" ht="31.5" customHeight="1" x14ac:dyDescent="0.2">
      <c r="A114" s="7">
        <v>109</v>
      </c>
      <c r="B114" s="7">
        <v>204</v>
      </c>
      <c r="C114" s="13" t="s">
        <v>893</v>
      </c>
      <c r="D114" s="7" t="s">
        <v>4580</v>
      </c>
      <c r="E114" s="18" t="s">
        <v>28</v>
      </c>
      <c r="F114" s="3" t="s">
        <v>62</v>
      </c>
      <c r="G114" s="3" t="s">
        <v>4746</v>
      </c>
      <c r="H114" s="7">
        <f>IFERROR(VLOOKUP(B114,'📊 Problem Tracker'!$B$4:$F$1200,5,FALSE()),"")</f>
        <v>0</v>
      </c>
      <c r="I114" s="7"/>
      <c r="J114" s="7"/>
      <c r="K114" s="3"/>
      <c r="L114" s="228" t="s">
        <v>230</v>
      </c>
      <c r="M114" s="7" t="s">
        <v>894</v>
      </c>
      <c r="N114" s="176" t="s">
        <v>24</v>
      </c>
      <c r="O114" s="191" t="str">
        <f>HYPERLINK("https://leetcode.com/problems/count-primes/","https://leetcode.com/problems/count-primes/")</f>
        <v>https://leetcode.com/problems/count-primes/</v>
      </c>
    </row>
    <row r="115" spans="1:15" ht="31.5" customHeight="1" x14ac:dyDescent="0.2">
      <c r="A115" s="118">
        <v>110</v>
      </c>
      <c r="B115" s="118">
        <v>206</v>
      </c>
      <c r="C115" s="119" t="s">
        <v>899</v>
      </c>
      <c r="D115" s="118" t="s">
        <v>4582</v>
      </c>
      <c r="E115" s="123" t="s">
        <v>20</v>
      </c>
      <c r="F115" s="121" t="s">
        <v>127</v>
      </c>
      <c r="G115" s="121" t="s">
        <v>127</v>
      </c>
      <c r="H115" s="118">
        <f>IFERROR(VLOOKUP(B115,'📊 Problem Tracker'!$B$4:$F$1200,5,FALSE()),"")</f>
        <v>0</v>
      </c>
      <c r="I115" s="118"/>
      <c r="J115" s="118"/>
      <c r="K115" s="121"/>
      <c r="L115" s="269" t="s">
        <v>901</v>
      </c>
      <c r="M115" s="118" t="s">
        <v>24</v>
      </c>
      <c r="N115" s="180" t="s">
        <v>47</v>
      </c>
      <c r="O115" s="193" t="str">
        <f>HYPERLINK("https://leetcode.com/problems/reverse-linked-list/","https://leetcode.com/problems/reverse-linked-list/")</f>
        <v>https://leetcode.com/problems/reverse-linked-list/</v>
      </c>
    </row>
    <row r="116" spans="1:15" ht="31.5" customHeight="1" x14ac:dyDescent="0.2">
      <c r="A116" s="7">
        <v>111</v>
      </c>
      <c r="B116" s="7">
        <v>207</v>
      </c>
      <c r="C116" s="13" t="s">
        <v>903</v>
      </c>
      <c r="D116" s="7" t="s">
        <v>4583</v>
      </c>
      <c r="E116" s="18" t="s">
        <v>28</v>
      </c>
      <c r="F116" s="3" t="s">
        <v>4156</v>
      </c>
      <c r="G116" s="3" t="s">
        <v>4282</v>
      </c>
      <c r="H116" s="7">
        <f>IFERROR(VLOOKUP(B116,'📊 Problem Tracker'!$B$4:$F$1200,5,FALSE()),"")</f>
        <v>0</v>
      </c>
      <c r="I116" s="7"/>
      <c r="J116" s="7"/>
      <c r="K116" s="3"/>
      <c r="L116" s="228" t="s">
        <v>906</v>
      </c>
      <c r="M116" s="7" t="s">
        <v>648</v>
      </c>
      <c r="N116" s="176" t="s">
        <v>648</v>
      </c>
      <c r="O116" s="191" t="str">
        <f>HYPERLINK("https://leetcode.com/problems/course-schedule/","https://leetcode.com/problems/course-schedule/")</f>
        <v>https://leetcode.com/problems/course-schedule/</v>
      </c>
    </row>
    <row r="117" spans="1:15" ht="31.5" customHeight="1" x14ac:dyDescent="0.2">
      <c r="A117" s="118">
        <v>112</v>
      </c>
      <c r="B117" s="118">
        <v>208</v>
      </c>
      <c r="C117" s="119" t="s">
        <v>908</v>
      </c>
      <c r="D117" s="118" t="s">
        <v>4456</v>
      </c>
      <c r="E117" s="120" t="s">
        <v>28</v>
      </c>
      <c r="F117" s="121" t="s">
        <v>909</v>
      </c>
      <c r="G117" s="121" t="s">
        <v>925</v>
      </c>
      <c r="H117" s="118">
        <f>IFERROR(VLOOKUP(B117,'📊 Problem Tracker'!$B$4:$F$1200,5,FALSE()),"")</f>
        <v>0</v>
      </c>
      <c r="I117" s="118"/>
      <c r="J117" s="118"/>
      <c r="K117" s="121"/>
      <c r="L117" s="269" t="s">
        <v>911</v>
      </c>
      <c r="M117" s="118" t="s">
        <v>912</v>
      </c>
      <c r="N117" s="180" t="s">
        <v>913</v>
      </c>
      <c r="O117" s="193" t="str">
        <f>HYPERLINK("https://leetcode.com/problems/implement-trie-prefix-tree/","https://leetcode.com/problems/implement-trie-prefix-tree/")</f>
        <v>https://leetcode.com/problems/implement-trie-prefix-tree/</v>
      </c>
    </row>
    <row r="118" spans="1:15" ht="31.5" customHeight="1" x14ac:dyDescent="0.2">
      <c r="A118" s="7">
        <v>113</v>
      </c>
      <c r="B118" s="7">
        <v>209</v>
      </c>
      <c r="C118" s="13" t="s">
        <v>915</v>
      </c>
      <c r="D118" s="7" t="s">
        <v>4450</v>
      </c>
      <c r="E118" s="18" t="s">
        <v>28</v>
      </c>
      <c r="F118" s="3" t="s">
        <v>4584</v>
      </c>
      <c r="G118" s="3" t="s">
        <v>917</v>
      </c>
      <c r="H118" s="7">
        <f>IFERROR(VLOOKUP(B118,'📊 Problem Tracker'!$B$4:$F$1200,5,FALSE()),"")</f>
        <v>0</v>
      </c>
      <c r="I118" s="7"/>
      <c r="J118" s="7"/>
      <c r="K118" s="3"/>
      <c r="L118" s="228" t="s">
        <v>919</v>
      </c>
      <c r="M118" s="7" t="s">
        <v>24</v>
      </c>
      <c r="N118" s="176" t="s">
        <v>47</v>
      </c>
      <c r="O118" s="191" t="str">
        <f>HYPERLINK("https://leetcode.com/problems/minimum-size-subarray-sum/","https://leetcode.com/problems/minimum-size-subarray-sum/")</f>
        <v>https://leetcode.com/problems/minimum-size-subarray-sum/</v>
      </c>
    </row>
    <row r="119" spans="1:15" ht="31.5" customHeight="1" x14ac:dyDescent="0.2">
      <c r="A119" s="118">
        <v>114</v>
      </c>
      <c r="B119" s="118">
        <v>210</v>
      </c>
      <c r="C119" s="119" t="s">
        <v>921</v>
      </c>
      <c r="D119" s="118" t="s">
        <v>4585</v>
      </c>
      <c r="E119" s="120" t="s">
        <v>28</v>
      </c>
      <c r="F119" s="121" t="s">
        <v>1167</v>
      </c>
      <c r="G119" s="121" t="s">
        <v>4282</v>
      </c>
      <c r="H119" s="118">
        <f>IFERROR(VLOOKUP(B119,'📊 Problem Tracker'!$B$4:$F$1200,5,FALSE()),"")</f>
        <v>0</v>
      </c>
      <c r="I119" s="118"/>
      <c r="J119" s="118"/>
      <c r="K119" s="121"/>
      <c r="L119" s="269" t="s">
        <v>619</v>
      </c>
      <c r="M119" s="118" t="s">
        <v>648</v>
      </c>
      <c r="N119" s="180" t="s">
        <v>648</v>
      </c>
      <c r="O119" s="193" t="str">
        <f>HYPERLINK("https://leetcode.com/problems/course-schedule-ii/","https://leetcode.com/problems/course-schedule-ii/")</f>
        <v>https://leetcode.com/problems/course-schedule-ii/</v>
      </c>
    </row>
    <row r="120" spans="1:15" ht="31.5" customHeight="1" x14ac:dyDescent="0.2">
      <c r="A120" s="7">
        <v>115</v>
      </c>
      <c r="B120" s="7">
        <v>211</v>
      </c>
      <c r="C120" s="13" t="s">
        <v>923</v>
      </c>
      <c r="D120" s="7" t="s">
        <v>4447</v>
      </c>
      <c r="E120" s="18" t="s">
        <v>28</v>
      </c>
      <c r="F120" s="3" t="s">
        <v>924</v>
      </c>
      <c r="G120" s="3" t="s">
        <v>4747</v>
      </c>
      <c r="H120" s="7">
        <f>IFERROR(VLOOKUP(B120,'📊 Problem Tracker'!$B$4:$F$1200,5,FALSE()),"")</f>
        <v>0</v>
      </c>
      <c r="I120" s="7"/>
      <c r="J120" s="7"/>
      <c r="K120" s="3"/>
      <c r="L120" s="228" t="s">
        <v>927</v>
      </c>
      <c r="M120" s="7" t="s">
        <v>928</v>
      </c>
      <c r="N120" s="176" t="s">
        <v>913</v>
      </c>
      <c r="O120" s="191" t="str">
        <f>HYPERLINK("https://leetcode.com/problems/add-and-search-word-data-structure-design/","https://leetcode.com/problems/add-and-search-word-data-structure-design/")</f>
        <v>https://leetcode.com/problems/add-and-search-word-data-structure-design/</v>
      </c>
    </row>
    <row r="121" spans="1:15" ht="31.5" customHeight="1" x14ac:dyDescent="0.2">
      <c r="A121" s="118">
        <v>116</v>
      </c>
      <c r="B121" s="118">
        <v>212</v>
      </c>
      <c r="C121" s="119" t="s">
        <v>930</v>
      </c>
      <c r="D121" s="118" t="s">
        <v>4586</v>
      </c>
      <c r="E121" s="122" t="s">
        <v>42</v>
      </c>
      <c r="F121" s="121" t="s">
        <v>4227</v>
      </c>
      <c r="G121" s="121" t="s">
        <v>4587</v>
      </c>
      <c r="H121" s="118">
        <f>IFERROR(VLOOKUP(B121,'📊 Problem Tracker'!$B$4:$F$1200,5,FALSE()),"")</f>
        <v>0</v>
      </c>
      <c r="I121" s="118"/>
      <c r="J121" s="118"/>
      <c r="K121" s="121"/>
      <c r="L121" s="269" t="s">
        <v>302</v>
      </c>
      <c r="M121" s="118" t="s">
        <v>446</v>
      </c>
      <c r="N121" s="180" t="s">
        <v>913</v>
      </c>
      <c r="O121" s="193" t="str">
        <f>HYPERLINK("https://leetcode.com/problems/word-search-ii/","https://leetcode.com/problems/word-search-ii/")</f>
        <v>https://leetcode.com/problems/word-search-ii/</v>
      </c>
    </row>
    <row r="122" spans="1:15" ht="31.5" customHeight="1" x14ac:dyDescent="0.2">
      <c r="A122" s="7">
        <v>117</v>
      </c>
      <c r="B122" s="7">
        <v>213</v>
      </c>
      <c r="C122" s="13" t="s">
        <v>934</v>
      </c>
      <c r="D122" s="7" t="s">
        <v>4574</v>
      </c>
      <c r="E122" s="18" t="s">
        <v>28</v>
      </c>
      <c r="F122" s="3" t="s">
        <v>309</v>
      </c>
      <c r="G122" s="3" t="s">
        <v>1042</v>
      </c>
      <c r="H122" s="7">
        <f>IFERROR(VLOOKUP(B122,'📊 Problem Tracker'!$B$4:$F$1200,5,FALSE()),"")</f>
        <v>0</v>
      </c>
      <c r="I122" s="7"/>
      <c r="J122" s="7"/>
      <c r="K122" s="3"/>
      <c r="L122" s="228" t="s">
        <v>508</v>
      </c>
      <c r="M122" s="7" t="s">
        <v>24</v>
      </c>
      <c r="N122" s="176" t="s">
        <v>24</v>
      </c>
      <c r="O122" s="191" t="str">
        <f>HYPERLINK("https://leetcode.com/problems/house-robber-ii/","https://leetcode.com/problems/house-robber-ii/")</f>
        <v>https://leetcode.com/problems/house-robber-ii/</v>
      </c>
    </row>
    <row r="123" spans="1:15" ht="31.5" customHeight="1" x14ac:dyDescent="0.2">
      <c r="A123" s="118">
        <v>118</v>
      </c>
      <c r="B123" s="118">
        <v>215</v>
      </c>
      <c r="C123" s="119" t="s">
        <v>940</v>
      </c>
      <c r="D123" s="118" t="s">
        <v>4590</v>
      </c>
      <c r="E123" s="120" t="s">
        <v>28</v>
      </c>
      <c r="F123" s="121" t="s">
        <v>4286</v>
      </c>
      <c r="G123" s="121" t="s">
        <v>4591</v>
      </c>
      <c r="H123" s="118">
        <f>IFERROR(VLOOKUP(B123,'📊 Problem Tracker'!$B$4:$F$1200,5,FALSE()),"")</f>
        <v>0</v>
      </c>
      <c r="I123" s="118"/>
      <c r="J123" s="118"/>
      <c r="K123" s="121"/>
      <c r="L123" s="269" t="s">
        <v>943</v>
      </c>
      <c r="M123" s="118" t="s">
        <v>944</v>
      </c>
      <c r="N123" s="180" t="s">
        <v>945</v>
      </c>
      <c r="O123" s="193" t="str">
        <f>HYPERLINK("https://leetcode.com/problems/kth-largest-element-in-an-array/","https://leetcode.com/problems/kth-largest-element-in-an-array/")</f>
        <v>https://leetcode.com/problems/kth-largest-element-in-an-array/</v>
      </c>
    </row>
    <row r="124" spans="1:15" ht="31.5" customHeight="1" x14ac:dyDescent="0.2">
      <c r="A124" s="7">
        <v>119</v>
      </c>
      <c r="B124" s="7">
        <v>217</v>
      </c>
      <c r="C124" s="13" t="s">
        <v>951</v>
      </c>
      <c r="D124" s="7" t="s">
        <v>4592</v>
      </c>
      <c r="E124" s="21" t="s">
        <v>20</v>
      </c>
      <c r="F124" s="3" t="s">
        <v>19</v>
      </c>
      <c r="G124" s="3" t="s">
        <v>4244</v>
      </c>
      <c r="H124" s="7">
        <f>IFERROR(VLOOKUP(B124,'📊 Problem Tracker'!$B$4:$F$1200,5,FALSE()),"")</f>
        <v>0</v>
      </c>
      <c r="I124" s="7"/>
      <c r="J124" s="7"/>
      <c r="K124" s="3"/>
      <c r="L124" s="228" t="s">
        <v>954</v>
      </c>
      <c r="M124" s="7" t="s">
        <v>24</v>
      </c>
      <c r="N124" s="176" t="s">
        <v>24</v>
      </c>
      <c r="O124" s="191" t="str">
        <f>HYPERLINK("https://leetcode.com/problems/contains-duplicate/","https://leetcode.com/problems/contains-duplicate/")</f>
        <v>https://leetcode.com/problems/contains-duplicate/</v>
      </c>
    </row>
    <row r="125" spans="1:15" ht="31.5" customHeight="1" x14ac:dyDescent="0.2">
      <c r="A125" s="118">
        <v>120</v>
      </c>
      <c r="B125" s="118">
        <v>218</v>
      </c>
      <c r="C125" s="119" t="s">
        <v>956</v>
      </c>
      <c r="D125" s="118" t="s">
        <v>4547</v>
      </c>
      <c r="E125" s="122" t="s">
        <v>42</v>
      </c>
      <c r="F125" s="121" t="s">
        <v>941</v>
      </c>
      <c r="G125" s="121" t="s">
        <v>4593</v>
      </c>
      <c r="H125" s="118">
        <f>IFERROR(VLOOKUP(B125,'📊 Problem Tracker'!$B$4:$F$1200,5,FALSE()),"")</f>
        <v>0</v>
      </c>
      <c r="I125" s="118"/>
      <c r="J125" s="118"/>
      <c r="K125" s="121"/>
      <c r="L125" s="269" t="s">
        <v>959</v>
      </c>
      <c r="M125" s="118" t="s">
        <v>960</v>
      </c>
      <c r="N125" s="180" t="s">
        <v>153</v>
      </c>
      <c r="O125" s="193" t="str">
        <f>HYPERLINK("https://leetcode.com/problems/the-skyline-problem/","https://leetcode.com/problems/the-skyline-problem/")</f>
        <v>https://leetcode.com/problems/the-skyline-problem/</v>
      </c>
    </row>
    <row r="126" spans="1:15" ht="31.5" customHeight="1" x14ac:dyDescent="0.2">
      <c r="A126" s="7">
        <v>121</v>
      </c>
      <c r="B126" s="7">
        <v>219</v>
      </c>
      <c r="C126" s="13" t="s">
        <v>962</v>
      </c>
      <c r="D126" s="7" t="s">
        <v>4577</v>
      </c>
      <c r="E126" s="21" t="s">
        <v>20</v>
      </c>
      <c r="F126" s="3" t="s">
        <v>3181</v>
      </c>
      <c r="G126" s="3" t="s">
        <v>4594</v>
      </c>
      <c r="H126" s="7">
        <f>IFERROR(VLOOKUP(B126,'📊 Problem Tracker'!$B$4:$F$1200,5,FALSE()),"")</f>
        <v>0</v>
      </c>
      <c r="I126" s="7"/>
      <c r="J126" s="7"/>
      <c r="K126" s="3"/>
      <c r="L126" s="228" t="s">
        <v>919</v>
      </c>
      <c r="M126" s="7" t="s">
        <v>24</v>
      </c>
      <c r="N126" s="176" t="s">
        <v>153</v>
      </c>
      <c r="O126" s="191" t="str">
        <f>HYPERLINK("https://leetcode.com/problems/contains-duplicate-ii/","https://leetcode.com/problems/contains-duplicate-ii/")</f>
        <v>https://leetcode.com/problems/contains-duplicate-ii/</v>
      </c>
    </row>
    <row r="127" spans="1:15" ht="31.5" customHeight="1" x14ac:dyDescent="0.2">
      <c r="A127" s="118">
        <v>122</v>
      </c>
      <c r="B127" s="118">
        <v>221</v>
      </c>
      <c r="C127" s="119" t="s">
        <v>964</v>
      </c>
      <c r="D127" s="118" t="s">
        <v>4595</v>
      </c>
      <c r="E127" s="120" t="s">
        <v>28</v>
      </c>
      <c r="F127" s="121" t="s">
        <v>360</v>
      </c>
      <c r="G127" s="121" t="s">
        <v>1042</v>
      </c>
      <c r="H127" s="118">
        <f>IFERROR(VLOOKUP(B127,'📊 Problem Tracker'!$B$4:$F$1200,5,FALSE()),"")</f>
        <v>0</v>
      </c>
      <c r="I127" s="118"/>
      <c r="J127" s="118"/>
      <c r="K127" s="121"/>
      <c r="L127" s="269" t="s">
        <v>508</v>
      </c>
      <c r="M127" s="118" t="s">
        <v>81</v>
      </c>
      <c r="N127" s="180" t="s">
        <v>24</v>
      </c>
      <c r="O127" s="193" t="str">
        <f>HYPERLINK("https://leetcode.com/problems/maximal-square/","https://leetcode.com/problems/maximal-square/")</f>
        <v>https://leetcode.com/problems/maximal-square/</v>
      </c>
    </row>
    <row r="128" spans="1:15" ht="31.5" customHeight="1" x14ac:dyDescent="0.2">
      <c r="A128" s="7">
        <v>123</v>
      </c>
      <c r="B128" s="7">
        <v>224</v>
      </c>
      <c r="C128" s="13" t="s">
        <v>970</v>
      </c>
      <c r="D128" s="7" t="s">
        <v>4596</v>
      </c>
      <c r="E128" s="20" t="s">
        <v>42</v>
      </c>
      <c r="F128" s="3" t="s">
        <v>971</v>
      </c>
      <c r="G128" s="3" t="s">
        <v>540</v>
      </c>
      <c r="H128" s="7">
        <f>IFERROR(VLOOKUP(B128,'📊 Problem Tracker'!$B$4:$F$1200,5,FALSE()),"")</f>
        <v>0</v>
      </c>
      <c r="I128" s="7"/>
      <c r="J128" s="7"/>
      <c r="K128" s="3"/>
      <c r="L128" s="228" t="s">
        <v>542</v>
      </c>
      <c r="M128" s="7" t="s">
        <v>24</v>
      </c>
      <c r="N128" s="176" t="s">
        <v>24</v>
      </c>
      <c r="O128" s="191" t="str">
        <f>HYPERLINK("https://leetcode.com/problems/basic-calculator/","https://leetcode.com/problems/basic-calculator/")</f>
        <v>https://leetcode.com/problems/basic-calculator/</v>
      </c>
    </row>
    <row r="129" spans="1:15" ht="31.5" customHeight="1" x14ac:dyDescent="0.2">
      <c r="A129" s="118">
        <v>124</v>
      </c>
      <c r="B129" s="118">
        <v>225</v>
      </c>
      <c r="C129" s="119" t="s">
        <v>973</v>
      </c>
      <c r="D129" s="118" t="s">
        <v>4546</v>
      </c>
      <c r="E129" s="123" t="s">
        <v>20</v>
      </c>
      <c r="F129" s="121" t="s">
        <v>974</v>
      </c>
      <c r="G129" s="121" t="s">
        <v>4597</v>
      </c>
      <c r="H129" s="118">
        <f>IFERROR(VLOOKUP(B129,'📊 Problem Tracker'!$B$4:$F$1200,5,FALSE()),"")</f>
        <v>0</v>
      </c>
      <c r="I129" s="118"/>
      <c r="J129" s="118"/>
      <c r="K129" s="121"/>
      <c r="L129" s="269" t="s">
        <v>542</v>
      </c>
      <c r="M129" s="118" t="s">
        <v>24</v>
      </c>
      <c r="N129" s="180" t="s">
        <v>24</v>
      </c>
      <c r="O129" s="193" t="str">
        <f>HYPERLINK("https://leetcode.com/problems/implement-stack-using-queues/","https://leetcode.com/problems/implement-stack-using-queues/")</f>
        <v>https://leetcode.com/problems/implement-stack-using-queues/</v>
      </c>
    </row>
    <row r="130" spans="1:15" ht="31.5" customHeight="1" x14ac:dyDescent="0.2">
      <c r="A130" s="7">
        <v>125</v>
      </c>
      <c r="B130" s="7">
        <v>227</v>
      </c>
      <c r="C130" s="13" t="s">
        <v>980</v>
      </c>
      <c r="D130" s="7" t="s">
        <v>4596</v>
      </c>
      <c r="E130" s="18" t="s">
        <v>28</v>
      </c>
      <c r="F130" s="3" t="s">
        <v>971</v>
      </c>
      <c r="G130" s="3" t="s">
        <v>540</v>
      </c>
      <c r="H130" s="7">
        <f>IFERROR(VLOOKUP(B130,'📊 Problem Tracker'!$B$4:$F$1200,5,FALSE()),"")</f>
        <v>0</v>
      </c>
      <c r="I130" s="7"/>
      <c r="J130" s="7"/>
      <c r="K130" s="3"/>
      <c r="L130" s="228" t="s">
        <v>542</v>
      </c>
      <c r="M130" s="7" t="s">
        <v>24</v>
      </c>
      <c r="N130" s="176" t="s">
        <v>24</v>
      </c>
      <c r="O130" s="191" t="str">
        <f>HYPERLINK("https://leetcode.com/problems/basic-calculator-ii/","https://leetcode.com/problems/basic-calculator-ii/")</f>
        <v>https://leetcode.com/problems/basic-calculator-ii/</v>
      </c>
    </row>
    <row r="131" spans="1:15" ht="31.5" customHeight="1" x14ac:dyDescent="0.2">
      <c r="A131" s="118">
        <v>126</v>
      </c>
      <c r="B131" s="118">
        <v>232</v>
      </c>
      <c r="C131" s="119" t="s">
        <v>995</v>
      </c>
      <c r="D131" s="118" t="s">
        <v>4601</v>
      </c>
      <c r="E131" s="123" t="s">
        <v>20</v>
      </c>
      <c r="F131" s="121" t="s">
        <v>974</v>
      </c>
      <c r="G131" s="121" t="s">
        <v>540</v>
      </c>
      <c r="H131" s="118">
        <f>IFERROR(VLOOKUP(B131,'📊 Problem Tracker'!$B$4:$F$1200,5,FALSE()),"")</f>
        <v>0</v>
      </c>
      <c r="I131" s="118"/>
      <c r="J131" s="118"/>
      <c r="K131" s="121"/>
      <c r="L131" s="269" t="s">
        <v>542</v>
      </c>
      <c r="M131" s="118" t="s">
        <v>996</v>
      </c>
      <c r="N131" s="180" t="s">
        <v>24</v>
      </c>
      <c r="O131" s="193" t="str">
        <f>HYPERLINK("https://leetcode.com/problems/implement-queue-using-stacks/","https://leetcode.com/problems/implement-queue-using-stacks/")</f>
        <v>https://leetcode.com/problems/implement-queue-using-stacks/</v>
      </c>
    </row>
    <row r="132" spans="1:15" ht="31.5" customHeight="1" x14ac:dyDescent="0.2">
      <c r="A132" s="7">
        <v>127</v>
      </c>
      <c r="B132" s="7">
        <v>235</v>
      </c>
      <c r="C132" s="13" t="s">
        <v>1002</v>
      </c>
      <c r="D132" s="7" t="s">
        <v>4602</v>
      </c>
      <c r="E132" s="18" t="s">
        <v>28</v>
      </c>
      <c r="F132" s="3" t="s">
        <v>518</v>
      </c>
      <c r="G132" s="3" t="s">
        <v>4520</v>
      </c>
      <c r="H132" s="7">
        <f>IFERROR(VLOOKUP(B132,'📊 Problem Tracker'!$B$4:$F$1200,5,FALSE()),"")</f>
        <v>0</v>
      </c>
      <c r="I132" s="7"/>
      <c r="J132" s="7"/>
      <c r="K132" s="3"/>
      <c r="L132" s="228" t="s">
        <v>513</v>
      </c>
      <c r="M132" s="7" t="s">
        <v>503</v>
      </c>
      <c r="N132" s="176" t="s">
        <v>47</v>
      </c>
      <c r="O132" s="191" t="str">
        <f>HYPERLINK("https://leetcode.com/problems/lowest-common-ancestor-of-a-binary-search-tree/","https://leetcode.com/problems/lowest-common-ancestor-of-a-binary-search-tree/")</f>
        <v>https://leetcode.com/problems/lowest-common-ancestor-of-a-binary-search-tree/</v>
      </c>
    </row>
    <row r="133" spans="1:15" ht="31.5" customHeight="1" x14ac:dyDescent="0.2">
      <c r="A133" s="118">
        <v>128</v>
      </c>
      <c r="B133" s="118">
        <v>236</v>
      </c>
      <c r="C133" s="119" t="s">
        <v>1004</v>
      </c>
      <c r="D133" s="118" t="s">
        <v>4603</v>
      </c>
      <c r="E133" s="120" t="s">
        <v>28</v>
      </c>
      <c r="F133" s="121" t="s">
        <v>500</v>
      </c>
      <c r="G133" s="121" t="s">
        <v>4256</v>
      </c>
      <c r="H133" s="118">
        <f>IFERROR(VLOOKUP(B133,'📊 Problem Tracker'!$B$4:$F$1200,5,FALSE()),"")</f>
        <v>0</v>
      </c>
      <c r="I133" s="118"/>
      <c r="J133" s="118"/>
      <c r="K133" s="121"/>
      <c r="L133" s="269" t="s">
        <v>571</v>
      </c>
      <c r="M133" s="118" t="s">
        <v>24</v>
      </c>
      <c r="N133" s="180" t="s">
        <v>503</v>
      </c>
      <c r="O133" s="193" t="str">
        <f>HYPERLINK("https://leetcode.com/problems/lowest-common-ancestor-of-a-binary-tree/","https://leetcode.com/problems/lowest-common-ancestor-of-a-binary-tree/")</f>
        <v>https://leetcode.com/problems/lowest-common-ancestor-of-a-binary-tree/</v>
      </c>
    </row>
    <row r="134" spans="1:15" ht="31.5" customHeight="1" x14ac:dyDescent="0.2">
      <c r="A134" s="7">
        <v>129</v>
      </c>
      <c r="B134" s="7">
        <v>237</v>
      </c>
      <c r="C134" s="13" t="s">
        <v>1006</v>
      </c>
      <c r="D134" s="7" t="s">
        <v>4604</v>
      </c>
      <c r="E134" s="18" t="s">
        <v>28</v>
      </c>
      <c r="F134" s="3" t="s">
        <v>127</v>
      </c>
      <c r="G134" s="3" t="s">
        <v>127</v>
      </c>
      <c r="H134" s="7">
        <f>IFERROR(VLOOKUP(B134,'📊 Problem Tracker'!$B$4:$F$1200,5,FALSE()),"")</f>
        <v>0</v>
      </c>
      <c r="I134" s="7"/>
      <c r="J134" s="7"/>
      <c r="K134" s="3"/>
      <c r="L134" s="228" t="s">
        <v>461</v>
      </c>
      <c r="M134" s="7" t="s">
        <v>47</v>
      </c>
      <c r="N134" s="176" t="s">
        <v>47</v>
      </c>
      <c r="O134" s="191" t="str">
        <f>HYPERLINK("https://leetcode.com/problems/delete-node-in-a-linked-list/","https://leetcode.com/problems/delete-node-in-a-linked-list/")</f>
        <v>https://leetcode.com/problems/delete-node-in-a-linked-list/</v>
      </c>
    </row>
    <row r="135" spans="1:15" ht="31.5" customHeight="1" x14ac:dyDescent="0.2">
      <c r="A135" s="118">
        <v>130</v>
      </c>
      <c r="B135" s="118">
        <v>238</v>
      </c>
      <c r="C135" s="119" t="s">
        <v>1008</v>
      </c>
      <c r="D135" s="118" t="s">
        <v>4590</v>
      </c>
      <c r="E135" s="120" t="s">
        <v>28</v>
      </c>
      <c r="F135" s="121" t="s">
        <v>1009</v>
      </c>
      <c r="G135" s="121" t="s">
        <v>4316</v>
      </c>
      <c r="H135" s="118">
        <f>IFERROR(VLOOKUP(B135,'📊 Problem Tracker'!$B$4:$F$1200,5,FALSE()),"")</f>
        <v>0</v>
      </c>
      <c r="I135" s="118"/>
      <c r="J135" s="118"/>
      <c r="K135" s="121"/>
      <c r="L135" s="269" t="s">
        <v>1011</v>
      </c>
      <c r="M135" s="118" t="s">
        <v>24</v>
      </c>
      <c r="N135" s="180" t="s">
        <v>1012</v>
      </c>
      <c r="O135" s="193" t="str">
        <f>HYPERLINK("https://leetcode.com/problems/product-of-array-except-self/","https://leetcode.com/problems/product-of-array-except-self/")</f>
        <v>https://leetcode.com/problems/product-of-array-except-self/</v>
      </c>
    </row>
    <row r="136" spans="1:15" ht="31.5" customHeight="1" x14ac:dyDescent="0.2">
      <c r="A136" s="7">
        <v>131</v>
      </c>
      <c r="B136" s="7">
        <v>239</v>
      </c>
      <c r="C136" s="13" t="s">
        <v>1014</v>
      </c>
      <c r="D136" s="7" t="s">
        <v>4605</v>
      </c>
      <c r="E136" s="20" t="s">
        <v>42</v>
      </c>
      <c r="F136" s="3" t="s">
        <v>1015</v>
      </c>
      <c r="G136" s="3" t="s">
        <v>1016</v>
      </c>
      <c r="H136" s="7">
        <f>IFERROR(VLOOKUP(B136,'📊 Problem Tracker'!$B$4:$F$1200,5,FALSE()),"")</f>
        <v>0</v>
      </c>
      <c r="I136" s="7"/>
      <c r="J136" s="7"/>
      <c r="K136" s="3"/>
      <c r="L136" s="228" t="s">
        <v>1017</v>
      </c>
      <c r="M136" s="7" t="s">
        <v>24</v>
      </c>
      <c r="N136" s="176" t="s">
        <v>153</v>
      </c>
      <c r="O136" s="191" t="str">
        <f>HYPERLINK("https://leetcode.com/problems/sliding-window-maximum/","https://leetcode.com/problems/sliding-window-maximum/")</f>
        <v>https://leetcode.com/problems/sliding-window-maximum/</v>
      </c>
    </row>
    <row r="137" spans="1:15" ht="31.5" customHeight="1" x14ac:dyDescent="0.2">
      <c r="A137" s="118">
        <v>132</v>
      </c>
      <c r="B137" s="118">
        <v>240</v>
      </c>
      <c r="C137" s="119" t="s">
        <v>1019</v>
      </c>
      <c r="D137" s="118" t="s">
        <v>4606</v>
      </c>
      <c r="E137" s="120" t="s">
        <v>28</v>
      </c>
      <c r="F137" s="121" t="s">
        <v>416</v>
      </c>
      <c r="G137" s="121" t="s">
        <v>512</v>
      </c>
      <c r="H137" s="118">
        <f>IFERROR(VLOOKUP(B137,'📊 Problem Tracker'!$B$4:$F$1200,5,FALSE()),"")</f>
        <v>0</v>
      </c>
      <c r="I137" s="118"/>
      <c r="J137" s="118"/>
      <c r="K137" s="121"/>
      <c r="L137" s="269" t="s">
        <v>513</v>
      </c>
      <c r="M137" s="118" t="s">
        <v>259</v>
      </c>
      <c r="N137" s="180" t="s">
        <v>47</v>
      </c>
      <c r="O137" s="193" t="str">
        <f>HYPERLINK("https://leetcode.com/problems/search-a-2d-matrix-ii/","https://leetcode.com/problems/search-a-2d-matrix-ii/")</f>
        <v>https://leetcode.com/problems/search-a-2d-matrix-ii/</v>
      </c>
    </row>
    <row r="138" spans="1:15" ht="31.5" customHeight="1" x14ac:dyDescent="0.2">
      <c r="A138" s="7">
        <v>133</v>
      </c>
      <c r="B138" s="7">
        <v>242</v>
      </c>
      <c r="C138" s="13" t="s">
        <v>1022</v>
      </c>
      <c r="D138" s="7" t="s">
        <v>4607</v>
      </c>
      <c r="E138" s="21" t="s">
        <v>20</v>
      </c>
      <c r="F138" s="3" t="s">
        <v>897</v>
      </c>
      <c r="G138" s="3" t="s">
        <v>4244</v>
      </c>
      <c r="H138" s="7">
        <f>IFERROR(VLOOKUP(B138,'📊 Problem Tracker'!$B$4:$F$1200,5,FALSE()),"")</f>
        <v>0</v>
      </c>
      <c r="I138" s="7"/>
      <c r="J138" s="7"/>
      <c r="K138" s="3"/>
      <c r="L138" s="228" t="s">
        <v>1024</v>
      </c>
      <c r="M138" s="7" t="s">
        <v>24</v>
      </c>
      <c r="N138" s="176" t="s">
        <v>47</v>
      </c>
      <c r="O138" s="191" t="str">
        <f>HYPERLINK("https://leetcode.com/problems/valid-anagram/","https://leetcode.com/problems/valid-anagram/")</f>
        <v>https://leetcode.com/problems/valid-anagram/</v>
      </c>
    </row>
    <row r="139" spans="1:15" ht="31.5" customHeight="1" x14ac:dyDescent="0.2">
      <c r="A139" s="118">
        <v>134</v>
      </c>
      <c r="B139" s="118">
        <v>243</v>
      </c>
      <c r="C139" s="119" t="s">
        <v>1026</v>
      </c>
      <c r="D139" s="118" t="s">
        <v>4571</v>
      </c>
      <c r="E139" s="123" t="s">
        <v>20</v>
      </c>
      <c r="F139" s="121" t="s">
        <v>387</v>
      </c>
      <c r="G139" s="121" t="s">
        <v>166</v>
      </c>
      <c r="H139" s="118">
        <f>IFERROR(VLOOKUP(B139,'📊 Problem Tracker'!$B$4:$F$1200,5,FALSE()),"")</f>
        <v>0</v>
      </c>
      <c r="I139" s="118"/>
      <c r="J139" s="118"/>
      <c r="K139" s="121"/>
      <c r="L139" s="269" t="s">
        <v>750</v>
      </c>
      <c r="M139" s="118" t="s">
        <v>24</v>
      </c>
      <c r="N139" s="180" t="s">
        <v>47</v>
      </c>
      <c r="O139" s="193" t="str">
        <f>HYPERLINK("https://leetcode.com/problems/shortest-word-distance/","https://leetcode.com/problems/shortest-word-distance/")</f>
        <v>https://leetcode.com/problems/shortest-word-distance/</v>
      </c>
    </row>
    <row r="140" spans="1:15" ht="31.5" customHeight="1" x14ac:dyDescent="0.2">
      <c r="A140" s="7">
        <v>135</v>
      </c>
      <c r="B140" s="7">
        <v>252</v>
      </c>
      <c r="C140" s="13" t="s">
        <v>1033</v>
      </c>
      <c r="D140" s="7" t="s">
        <v>4474</v>
      </c>
      <c r="E140" s="21" t="s">
        <v>20</v>
      </c>
      <c r="F140" s="3" t="s">
        <v>4172</v>
      </c>
      <c r="G140" s="3" t="s">
        <v>4748</v>
      </c>
      <c r="H140" s="7">
        <f>IFERROR(VLOOKUP(B140,'📊 Problem Tracker'!$B$4:$F$1200,5,FALSE()),"")</f>
        <v>0</v>
      </c>
      <c r="I140" s="7"/>
      <c r="J140" s="7"/>
      <c r="K140" s="3"/>
      <c r="L140" s="228" t="s">
        <v>1077</v>
      </c>
      <c r="M140" s="7" t="s">
        <v>326</v>
      </c>
      <c r="N140" s="176" t="s">
        <v>24</v>
      </c>
      <c r="O140" s="191" t="str">
        <f>HYPERLINK("https://leetcode.com/problems/meeting-rooms/","https://leetcode.com/problems/meeting-rooms/")</f>
        <v>https://leetcode.com/problems/meeting-rooms/</v>
      </c>
    </row>
    <row r="141" spans="1:15" ht="31.5" customHeight="1" x14ac:dyDescent="0.2">
      <c r="A141" s="118">
        <v>136</v>
      </c>
      <c r="B141" s="118">
        <v>253</v>
      </c>
      <c r="C141" s="119" t="s">
        <v>1036</v>
      </c>
      <c r="D141" s="118" t="s">
        <v>4609</v>
      </c>
      <c r="E141" s="120" t="s">
        <v>28</v>
      </c>
      <c r="F141" s="121" t="s">
        <v>4174</v>
      </c>
      <c r="G141" s="121" t="s">
        <v>4353</v>
      </c>
      <c r="H141" s="118">
        <f>IFERROR(VLOOKUP(B141,'📊 Problem Tracker'!$B$4:$F$1200,5,FALSE()),"")</f>
        <v>0</v>
      </c>
      <c r="I141" s="118"/>
      <c r="J141" s="118"/>
      <c r="K141" s="121"/>
      <c r="L141" s="269" t="s">
        <v>959</v>
      </c>
      <c r="M141" s="118" t="s">
        <v>960</v>
      </c>
      <c r="N141" s="180" t="s">
        <v>153</v>
      </c>
      <c r="O141" s="193" t="str">
        <f>HYPERLINK("https://leetcode.com/problems/meeting-rooms-ii/","https://leetcode.com/problems/meeting-rooms-ii/")</f>
        <v>https://leetcode.com/problems/meeting-rooms-ii/</v>
      </c>
    </row>
    <row r="142" spans="1:15" ht="31.5" customHeight="1" x14ac:dyDescent="0.2">
      <c r="A142" s="7">
        <v>137</v>
      </c>
      <c r="B142" s="7">
        <v>257</v>
      </c>
      <c r="C142" s="13" t="s">
        <v>1045</v>
      </c>
      <c r="D142" s="7" t="s">
        <v>4610</v>
      </c>
      <c r="E142" s="21" t="s">
        <v>20</v>
      </c>
      <c r="F142" s="3" t="s">
        <v>579</v>
      </c>
      <c r="G142" s="3" t="s">
        <v>4749</v>
      </c>
      <c r="H142" s="7">
        <f>IFERROR(VLOOKUP(B142,'📊 Problem Tracker'!$B$4:$F$1200,5,FALSE()),"")</f>
        <v>0</v>
      </c>
      <c r="I142" s="7"/>
      <c r="J142" s="7"/>
      <c r="K142" s="3"/>
      <c r="L142" s="228" t="s">
        <v>302</v>
      </c>
      <c r="M142" s="7" t="s">
        <v>53</v>
      </c>
      <c r="N142" s="176" t="s">
        <v>503</v>
      </c>
      <c r="O142" s="191" t="str">
        <f>HYPERLINK("https://leetcode.com/problems/binary-tree-paths/","https://leetcode.com/problems/binary-tree-paths/")</f>
        <v>https://leetcode.com/problems/binary-tree-paths/</v>
      </c>
    </row>
    <row r="143" spans="1:15" ht="31.5" customHeight="1" x14ac:dyDescent="0.2">
      <c r="A143" s="118">
        <v>138</v>
      </c>
      <c r="B143" s="118">
        <v>268</v>
      </c>
      <c r="C143" s="119" t="s">
        <v>1057</v>
      </c>
      <c r="D143" s="118" t="s">
        <v>4612</v>
      </c>
      <c r="E143" s="123" t="s">
        <v>20</v>
      </c>
      <c r="F143" s="121" t="s">
        <v>1058</v>
      </c>
      <c r="G143" s="121" t="s">
        <v>666</v>
      </c>
      <c r="H143" s="118">
        <f>IFERROR(VLOOKUP(B143,'📊 Problem Tracker'!$B$4:$F$1200,5,FALSE()),"")</f>
        <v>0</v>
      </c>
      <c r="I143" s="118"/>
      <c r="J143" s="118"/>
      <c r="K143" s="121"/>
      <c r="L143" s="269" t="s">
        <v>1061</v>
      </c>
      <c r="M143" s="118" t="s">
        <v>24</v>
      </c>
      <c r="N143" s="180" t="s">
        <v>47</v>
      </c>
      <c r="O143" s="193" t="str">
        <f>HYPERLINK("https://leetcode.com/problems/missing-number/","https://leetcode.com/problems/missing-number/")</f>
        <v>https://leetcode.com/problems/missing-number/</v>
      </c>
    </row>
    <row r="144" spans="1:15" ht="31.5" customHeight="1" x14ac:dyDescent="0.2">
      <c r="A144" s="7">
        <v>139</v>
      </c>
      <c r="B144" s="7">
        <v>269</v>
      </c>
      <c r="C144" s="13" t="s">
        <v>1063</v>
      </c>
      <c r="D144" s="7" t="s">
        <v>4750</v>
      </c>
      <c r="E144" s="20" t="s">
        <v>42</v>
      </c>
      <c r="F144" s="3" t="s">
        <v>1167</v>
      </c>
      <c r="G144" s="3" t="s">
        <v>4282</v>
      </c>
      <c r="H144" s="7">
        <f>IFERROR(VLOOKUP(B144,'📊 Problem Tracker'!$B$4:$F$1200,5,FALSE()),"")</f>
        <v>0</v>
      </c>
      <c r="I144" s="7"/>
      <c r="J144" s="7"/>
      <c r="K144" s="3"/>
      <c r="L144" s="228" t="s">
        <v>619</v>
      </c>
      <c r="M144" s="7" t="s">
        <v>1065</v>
      </c>
      <c r="N144" s="176" t="s">
        <v>47</v>
      </c>
      <c r="O144" s="191" t="str">
        <f>HYPERLINK("https://leetcode.com/problems/alien-dictionary/","https://leetcode.com/problems/alien-dictionary/")</f>
        <v>https://leetcode.com/problems/alien-dictionary/</v>
      </c>
    </row>
    <row r="145" spans="1:15" ht="31.5" customHeight="1" x14ac:dyDescent="0.2">
      <c r="A145" s="118">
        <v>140</v>
      </c>
      <c r="B145" s="118">
        <v>273</v>
      </c>
      <c r="C145" s="119" t="s">
        <v>1072</v>
      </c>
      <c r="D145" s="118" t="s">
        <v>4751</v>
      </c>
      <c r="E145" s="122" t="s">
        <v>42</v>
      </c>
      <c r="F145" s="121" t="s">
        <v>56</v>
      </c>
      <c r="G145" s="121" t="s">
        <v>4655</v>
      </c>
      <c r="H145" s="118">
        <f>IFERROR(VLOOKUP(B145,'📊 Problem Tracker'!$B$4:$F$1200,5,FALSE()),"")</f>
        <v>0</v>
      </c>
      <c r="I145" s="118"/>
      <c r="J145" s="118"/>
      <c r="K145" s="121"/>
      <c r="L145" s="269" t="s">
        <v>230</v>
      </c>
      <c r="M145" s="118" t="s">
        <v>24</v>
      </c>
      <c r="N145" s="180" t="s">
        <v>24</v>
      </c>
      <c r="O145" s="193" t="str">
        <f>HYPERLINK("https://leetcode.com/problems/integer-to-english-words/","https://leetcode.com/problems/integer-to-english-words/")</f>
        <v>https://leetcode.com/problems/integer-to-english-words/</v>
      </c>
    </row>
    <row r="146" spans="1:15" ht="31.5" customHeight="1" x14ac:dyDescent="0.2">
      <c r="A146" s="7">
        <v>141</v>
      </c>
      <c r="B146" s="7">
        <v>274</v>
      </c>
      <c r="C146" s="13" t="s">
        <v>1074</v>
      </c>
      <c r="D146" s="7" t="s">
        <v>4752</v>
      </c>
      <c r="E146" s="18" t="s">
        <v>28</v>
      </c>
      <c r="F146" s="3" t="s">
        <v>1075</v>
      </c>
      <c r="G146" s="3" t="s">
        <v>4249</v>
      </c>
      <c r="H146" s="7">
        <f>IFERROR(VLOOKUP(B146,'📊 Problem Tracker'!$B$4:$F$1200,5,FALSE()),"")</f>
        <v>0</v>
      </c>
      <c r="I146" s="7"/>
      <c r="J146" s="7"/>
      <c r="K146" s="3"/>
      <c r="L146" s="228" t="s">
        <v>1077</v>
      </c>
      <c r="M146" s="7" t="s">
        <v>24</v>
      </c>
      <c r="N146" s="176" t="s">
        <v>24</v>
      </c>
      <c r="O146" s="191" t="str">
        <f>HYPERLINK("https://leetcode.com/problems/h-index/","https://leetcode.com/problems/h-index/")</f>
        <v>https://leetcode.com/problems/h-index/</v>
      </c>
    </row>
    <row r="147" spans="1:15" ht="31.5" customHeight="1" x14ac:dyDescent="0.2">
      <c r="A147" s="118">
        <v>142</v>
      </c>
      <c r="B147" s="118">
        <v>277</v>
      </c>
      <c r="C147" s="119" t="s">
        <v>1079</v>
      </c>
      <c r="D147" s="118" t="s">
        <v>4644</v>
      </c>
      <c r="E147" s="120" t="s">
        <v>28</v>
      </c>
      <c r="F147" s="121" t="s">
        <v>1080</v>
      </c>
      <c r="G147" s="121" t="s">
        <v>4753</v>
      </c>
      <c r="H147" s="118">
        <f>IFERROR(VLOOKUP(B147,'📊 Problem Tracker'!$B$4:$F$1200,5,FALSE()),"")</f>
        <v>0</v>
      </c>
      <c r="I147" s="118"/>
      <c r="J147" s="118"/>
      <c r="K147" s="121"/>
      <c r="L147" s="269" t="s">
        <v>619</v>
      </c>
      <c r="M147" s="118" t="s">
        <v>24</v>
      </c>
      <c r="N147" s="180" t="s">
        <v>47</v>
      </c>
      <c r="O147" s="193" t="str">
        <f>HYPERLINK("https://leetcode.com/problems/find-the-celebrity/","https://leetcode.com/problems/find-the-celebrity/")</f>
        <v>https://leetcode.com/problems/find-the-celebrity/</v>
      </c>
    </row>
    <row r="148" spans="1:15" ht="31.5" customHeight="1" x14ac:dyDescent="0.2">
      <c r="A148" s="7">
        <v>143</v>
      </c>
      <c r="B148" s="7">
        <v>278</v>
      </c>
      <c r="C148" s="13" t="s">
        <v>1082</v>
      </c>
      <c r="D148" s="7" t="s">
        <v>4544</v>
      </c>
      <c r="E148" s="21" t="s">
        <v>20</v>
      </c>
      <c r="F148" s="3" t="s">
        <v>512</v>
      </c>
      <c r="G148" s="3" t="s">
        <v>512</v>
      </c>
      <c r="H148" s="7">
        <f>IFERROR(VLOOKUP(B148,'📊 Problem Tracker'!$B$4:$F$1200,5,FALSE()),"")</f>
        <v>0</v>
      </c>
      <c r="I148" s="7"/>
      <c r="J148" s="7"/>
      <c r="K148" s="3"/>
      <c r="L148" s="228" t="s">
        <v>513</v>
      </c>
      <c r="M148" s="7" t="s">
        <v>65</v>
      </c>
      <c r="N148" s="176" t="s">
        <v>47</v>
      </c>
      <c r="O148" s="191" t="str">
        <f>HYPERLINK("https://leetcode.com/problems/first-bad-version/","https://leetcode.com/problems/first-bad-version/")</f>
        <v>https://leetcode.com/problems/first-bad-version/</v>
      </c>
    </row>
    <row r="149" spans="1:15" ht="31.5" customHeight="1" x14ac:dyDescent="0.2">
      <c r="A149" s="118">
        <v>144</v>
      </c>
      <c r="B149" s="118">
        <v>283</v>
      </c>
      <c r="C149" s="119" t="s">
        <v>1093</v>
      </c>
      <c r="D149" s="118" t="s">
        <v>4616</v>
      </c>
      <c r="E149" s="123" t="s">
        <v>20</v>
      </c>
      <c r="F149" s="121" t="s">
        <v>84</v>
      </c>
      <c r="G149" s="121" t="s">
        <v>689</v>
      </c>
      <c r="H149" s="118">
        <f>IFERROR(VLOOKUP(B149,'📊 Problem Tracker'!$B$4:$F$1200,5,FALSE()),"")</f>
        <v>0</v>
      </c>
      <c r="I149" s="118"/>
      <c r="J149" s="118"/>
      <c r="K149" s="121"/>
      <c r="L149" s="269" t="s">
        <v>1095</v>
      </c>
      <c r="M149" s="118" t="s">
        <v>24</v>
      </c>
      <c r="N149" s="180" t="s">
        <v>1096</v>
      </c>
      <c r="O149" s="193" t="str">
        <f>HYPERLINK("https://leetcode.com/problems/move-zeroes/","https://leetcode.com/problems/move-zeroes/")</f>
        <v>https://leetcode.com/problems/move-zeroes/</v>
      </c>
    </row>
    <row r="150" spans="1:15" ht="31.5" customHeight="1" x14ac:dyDescent="0.2">
      <c r="A150" s="7">
        <v>145</v>
      </c>
      <c r="B150" s="7">
        <v>284</v>
      </c>
      <c r="C150" s="13" t="s">
        <v>1098</v>
      </c>
      <c r="D150" s="7" t="s">
        <v>4754</v>
      </c>
      <c r="E150" s="18" t="s">
        <v>28</v>
      </c>
      <c r="F150" s="3" t="s">
        <v>4755</v>
      </c>
      <c r="G150" s="3" t="s">
        <v>4756</v>
      </c>
      <c r="H150" s="7">
        <f>IFERROR(VLOOKUP(B150,'📊 Problem Tracker'!$B$4:$F$1200,5,FALSE()),"")</f>
        <v>0</v>
      </c>
      <c r="I150" s="7"/>
      <c r="J150" s="7"/>
      <c r="K150" s="3"/>
      <c r="L150" s="228" t="s">
        <v>654</v>
      </c>
      <c r="M150" s="7" t="s">
        <v>24</v>
      </c>
      <c r="N150" s="176" t="s">
        <v>1100</v>
      </c>
      <c r="O150" s="191" t="str">
        <f>HYPERLINK("https://leetcode.com/problems/peeking-iterator/","https://leetcode.com/problems/peeking-iterator/")</f>
        <v>https://leetcode.com/problems/peeking-iterator/</v>
      </c>
    </row>
    <row r="151" spans="1:15" ht="31.5" customHeight="1" x14ac:dyDescent="0.2">
      <c r="A151" s="118">
        <v>146</v>
      </c>
      <c r="B151" s="118">
        <v>291</v>
      </c>
      <c r="C151" s="119" t="s">
        <v>1118</v>
      </c>
      <c r="D151" s="118" t="s">
        <v>4676</v>
      </c>
      <c r="E151" s="120" t="s">
        <v>28</v>
      </c>
      <c r="F151" s="121" t="s">
        <v>114</v>
      </c>
      <c r="G151" s="121" t="s">
        <v>300</v>
      </c>
      <c r="H151" s="118">
        <f>IFERROR(VLOOKUP(B151,'📊 Problem Tracker'!$B$4:$F$1200,5,FALSE()),"")</f>
        <v>0</v>
      </c>
      <c r="I151" s="118"/>
      <c r="J151" s="118"/>
      <c r="K151" s="121"/>
      <c r="L151" s="269" t="s">
        <v>302</v>
      </c>
      <c r="M151" s="118" t="s">
        <v>303</v>
      </c>
      <c r="N151" s="180" t="s">
        <v>304</v>
      </c>
      <c r="O151" s="193" t="str">
        <f>HYPERLINK("https://leetcode.com/problems/word-pattern-ii/","https://leetcode.com/problems/word-pattern-ii/")</f>
        <v>https://leetcode.com/problems/word-pattern-ii/</v>
      </c>
    </row>
    <row r="152" spans="1:15" ht="31.5" customHeight="1" x14ac:dyDescent="0.2">
      <c r="A152" s="7">
        <v>147</v>
      </c>
      <c r="B152" s="7">
        <v>295</v>
      </c>
      <c r="C152" s="13" t="s">
        <v>1120</v>
      </c>
      <c r="D152" s="7" t="s">
        <v>4619</v>
      </c>
      <c r="E152" s="20" t="s">
        <v>42</v>
      </c>
      <c r="F152" s="3" t="s">
        <v>4233</v>
      </c>
      <c r="G152" s="3" t="s">
        <v>4297</v>
      </c>
      <c r="H152" s="7">
        <f>IFERROR(VLOOKUP(B152,'📊 Problem Tracker'!$B$4:$F$1200,5,FALSE()),"")</f>
        <v>0</v>
      </c>
      <c r="I152" s="7"/>
      <c r="J152" s="7"/>
      <c r="K152" s="3"/>
      <c r="L152" s="228" t="s">
        <v>1123</v>
      </c>
      <c r="M152" s="7" t="s">
        <v>1124</v>
      </c>
      <c r="N152" s="176" t="s">
        <v>24</v>
      </c>
      <c r="O152" s="191" t="str">
        <f>HYPERLINK("https://leetcode.com/problems/find-median-from-data-stream/","https://leetcode.com/problems/find-median-from-data-stream/")</f>
        <v>https://leetcode.com/problems/find-median-from-data-stream/</v>
      </c>
    </row>
    <row r="153" spans="1:15" ht="31.5" customHeight="1" x14ac:dyDescent="0.2">
      <c r="A153" s="118">
        <v>148</v>
      </c>
      <c r="B153" s="118">
        <v>297</v>
      </c>
      <c r="C153" s="119" t="s">
        <v>1126</v>
      </c>
      <c r="D153" s="118" t="s">
        <v>4620</v>
      </c>
      <c r="E153" s="122" t="s">
        <v>42</v>
      </c>
      <c r="F153" s="121" t="s">
        <v>4215</v>
      </c>
      <c r="G153" s="121" t="s">
        <v>4621</v>
      </c>
      <c r="H153" s="118">
        <f>IFERROR(VLOOKUP(B153,'📊 Problem Tracker'!$B$4:$F$1200,5,FALSE()),"")</f>
        <v>0</v>
      </c>
      <c r="I153" s="118"/>
      <c r="J153" s="118"/>
      <c r="K153" s="121"/>
      <c r="L153" s="269" t="s">
        <v>571</v>
      </c>
      <c r="M153" s="118" t="s">
        <v>24</v>
      </c>
      <c r="N153" s="180" t="s">
        <v>24</v>
      </c>
      <c r="O153" s="193" t="str">
        <f>HYPERLINK("https://leetcode.com/problems/serialize-and-deserialize-binary-tree/","https://leetcode.com/problems/serialize-and-deserialize-binary-tree/")</f>
        <v>https://leetcode.com/problems/serialize-and-deserialize-binary-tree/</v>
      </c>
    </row>
    <row r="154" spans="1:15" ht="31.5" customHeight="1" x14ac:dyDescent="0.2">
      <c r="A154" s="7">
        <v>149</v>
      </c>
      <c r="B154" s="7">
        <v>309</v>
      </c>
      <c r="C154" s="13" t="s">
        <v>1163</v>
      </c>
      <c r="D154" s="7" t="s">
        <v>4622</v>
      </c>
      <c r="E154" s="18" t="s">
        <v>28</v>
      </c>
      <c r="F154" s="3" t="s">
        <v>309</v>
      </c>
      <c r="G154" s="3" t="s">
        <v>4539</v>
      </c>
      <c r="H154" s="7">
        <f>IFERROR(VLOOKUP(B154,'📊 Problem Tracker'!$B$4:$F$1200,5,FALSE()),"")</f>
        <v>0</v>
      </c>
      <c r="I154" s="7"/>
      <c r="J154" s="7"/>
      <c r="K154" s="3"/>
      <c r="L154" s="228" t="s">
        <v>508</v>
      </c>
      <c r="M154" s="7" t="s">
        <v>24</v>
      </c>
      <c r="N154" s="176" t="s">
        <v>47</v>
      </c>
      <c r="O154" s="191" t="str">
        <f>HYPERLINK("https://leetcode.com/problems/best-time-to-buy-and-sell-stock-with-cooldown/","https://leetcode.com/problems/best-time-to-buy-and-sell-stock-with-cooldown/")</f>
        <v>https://leetcode.com/problems/best-time-to-buy-and-sell-stock-with-cooldown/</v>
      </c>
    </row>
    <row r="155" spans="1:15" ht="31.5" customHeight="1" x14ac:dyDescent="0.2">
      <c r="A155" s="118">
        <v>150</v>
      </c>
      <c r="B155" s="118">
        <v>314</v>
      </c>
      <c r="C155" s="119" t="s">
        <v>1184</v>
      </c>
      <c r="D155" s="118" t="s">
        <v>4757</v>
      </c>
      <c r="E155" s="120" t="s">
        <v>28</v>
      </c>
      <c r="F155" s="121" t="s">
        <v>1185</v>
      </c>
      <c r="G155" s="121" t="s">
        <v>4758</v>
      </c>
      <c r="H155" s="118">
        <f>IFERROR(VLOOKUP(B155,'📊 Problem Tracker'!$B$4:$F$1200,5,FALSE()),"")</f>
        <v>0</v>
      </c>
      <c r="I155" s="118"/>
      <c r="J155" s="118"/>
      <c r="K155" s="121"/>
      <c r="L155" s="269" t="s">
        <v>571</v>
      </c>
      <c r="M155" s="118" t="s">
        <v>326</v>
      </c>
      <c r="N155" s="180" t="s">
        <v>24</v>
      </c>
      <c r="O155" s="193" t="str">
        <f>HYPERLINK("https://leetcode.com/problems/binary-tree-vertical-order-traversal/","https://leetcode.com/problems/binary-tree-vertical-order-traversal/")</f>
        <v>https://leetcode.com/problems/binary-tree-vertical-order-traversal/</v>
      </c>
    </row>
    <row r="156" spans="1:15" ht="31.5" customHeight="1" x14ac:dyDescent="0.2">
      <c r="A156" s="7">
        <v>151</v>
      </c>
      <c r="B156" s="7">
        <v>317</v>
      </c>
      <c r="C156" s="13" t="s">
        <v>1197</v>
      </c>
      <c r="D156" s="7" t="s">
        <v>4574</v>
      </c>
      <c r="E156" s="20" t="s">
        <v>42</v>
      </c>
      <c r="F156" s="3" t="s">
        <v>1198</v>
      </c>
      <c r="G156" s="3" t="s">
        <v>4618</v>
      </c>
      <c r="H156" s="7">
        <f>IFERROR(VLOOKUP(B156,'📊 Problem Tracker'!$B$4:$F$1200,5,FALSE()),"")</f>
        <v>0</v>
      </c>
      <c r="I156" s="7"/>
      <c r="J156" s="7"/>
      <c r="K156" s="3"/>
      <c r="L156" s="228" t="s">
        <v>619</v>
      </c>
      <c r="M156" s="7" t="s">
        <v>648</v>
      </c>
      <c r="N156" s="176" t="s">
        <v>648</v>
      </c>
      <c r="O156" s="191" t="str">
        <f>HYPERLINK("https://leetcode.com/problems/shortest-distance-from-all-buildings/","https://leetcode.com/problems/shortest-distance-from-all-buildings/")</f>
        <v>https://leetcode.com/problems/shortest-distance-from-all-buildings/</v>
      </c>
    </row>
    <row r="157" spans="1:15" ht="31.5" customHeight="1" x14ac:dyDescent="0.2">
      <c r="A157" s="118">
        <v>152</v>
      </c>
      <c r="B157" s="118">
        <v>322</v>
      </c>
      <c r="C157" s="119" t="s">
        <v>1205</v>
      </c>
      <c r="D157" s="118" t="s">
        <v>4433</v>
      </c>
      <c r="E157" s="120" t="s">
        <v>28</v>
      </c>
      <c r="F157" s="121" t="s">
        <v>1206</v>
      </c>
      <c r="G157" s="121" t="s">
        <v>4302</v>
      </c>
      <c r="H157" s="118">
        <f>IFERROR(VLOOKUP(B157,'📊 Problem Tracker'!$B$4:$F$1200,5,FALSE()),"")</f>
        <v>0</v>
      </c>
      <c r="I157" s="118"/>
      <c r="J157" s="118"/>
      <c r="K157" s="121"/>
      <c r="L157" s="269" t="s">
        <v>1208</v>
      </c>
      <c r="M157" s="118" t="s">
        <v>1209</v>
      </c>
      <c r="N157" s="180" t="s">
        <v>1210</v>
      </c>
      <c r="O157" s="193" t="str">
        <f>HYPERLINK("https://leetcode.com/problems/coin-change/","https://leetcode.com/problems/coin-change/")</f>
        <v>https://leetcode.com/problems/coin-change/</v>
      </c>
    </row>
    <row r="158" spans="1:15" ht="31.5" customHeight="1" x14ac:dyDescent="0.2">
      <c r="A158" s="7">
        <v>153</v>
      </c>
      <c r="B158" s="7">
        <v>328</v>
      </c>
      <c r="C158" s="13" t="s">
        <v>1224</v>
      </c>
      <c r="D158" s="7" t="s">
        <v>4624</v>
      </c>
      <c r="E158" s="18" t="s">
        <v>28</v>
      </c>
      <c r="F158" s="3" t="s">
        <v>127</v>
      </c>
      <c r="G158" s="3" t="s">
        <v>127</v>
      </c>
      <c r="H158" s="7">
        <f>IFERROR(VLOOKUP(B158,'📊 Problem Tracker'!$B$4:$F$1200,5,FALSE()),"")</f>
        <v>0</v>
      </c>
      <c r="I158" s="7"/>
      <c r="J158" s="7"/>
      <c r="K158" s="3"/>
      <c r="L158" s="228" t="s">
        <v>461</v>
      </c>
      <c r="M158" s="7" t="s">
        <v>24</v>
      </c>
      <c r="N158" s="176" t="s">
        <v>47</v>
      </c>
      <c r="O158" s="191" t="str">
        <f>HYPERLINK("https://leetcode.com/problems/odd-even-linked-list/","https://leetcode.com/problems/odd-even-linked-list/")</f>
        <v>https://leetcode.com/problems/odd-even-linked-list/</v>
      </c>
    </row>
    <row r="159" spans="1:15" ht="31.5" customHeight="1" x14ac:dyDescent="0.2">
      <c r="A159" s="118">
        <v>154</v>
      </c>
      <c r="B159" s="118">
        <v>329</v>
      </c>
      <c r="C159" s="119" t="s">
        <v>1226</v>
      </c>
      <c r="D159" s="118" t="s">
        <v>4625</v>
      </c>
      <c r="E159" s="122" t="s">
        <v>42</v>
      </c>
      <c r="F159" s="121" t="s">
        <v>1227</v>
      </c>
      <c r="G159" s="121" t="s">
        <v>4304</v>
      </c>
      <c r="H159" s="118">
        <f>IFERROR(VLOOKUP(B159,'📊 Problem Tracker'!$B$4:$F$1200,5,FALSE()),"")</f>
        <v>0</v>
      </c>
      <c r="I159" s="118"/>
      <c r="J159" s="118"/>
      <c r="K159" s="121"/>
      <c r="L159" s="269" t="s">
        <v>508</v>
      </c>
      <c r="M159" s="118" t="s">
        <v>81</v>
      </c>
      <c r="N159" s="180" t="s">
        <v>81</v>
      </c>
      <c r="O159" s="193" t="str">
        <f>HYPERLINK("https://leetcode.com/problems/longest-increasing-path-in-a-matrix/","https://leetcode.com/problems/longest-increasing-path-in-a-matrix/")</f>
        <v>https://leetcode.com/problems/longest-increasing-path-in-a-matrix/</v>
      </c>
    </row>
    <row r="160" spans="1:15" ht="31.5" customHeight="1" x14ac:dyDescent="0.2">
      <c r="A160" s="7">
        <v>155</v>
      </c>
      <c r="B160" s="7">
        <v>332</v>
      </c>
      <c r="C160" s="13" t="s">
        <v>1231</v>
      </c>
      <c r="D160" s="7" t="s">
        <v>4466</v>
      </c>
      <c r="E160" s="20" t="s">
        <v>42</v>
      </c>
      <c r="F160" s="3" t="s">
        <v>1232</v>
      </c>
      <c r="G160" s="3" t="s">
        <v>4339</v>
      </c>
      <c r="H160" s="7">
        <f>IFERROR(VLOOKUP(B160,'📊 Problem Tracker'!$B$4:$F$1200,5,FALSE()),"")</f>
        <v>0</v>
      </c>
      <c r="I160" s="7"/>
      <c r="J160" s="7"/>
      <c r="K160" s="3"/>
      <c r="L160" s="228" t="s">
        <v>619</v>
      </c>
      <c r="M160" s="7" t="s">
        <v>648</v>
      </c>
      <c r="N160" s="176" t="s">
        <v>648</v>
      </c>
      <c r="O160" s="191" t="str">
        <f>HYPERLINK("https://leetcode.com/problems/reconstruct-itinerary/","https://leetcode.com/problems/reconstruct-itinerary/")</f>
        <v>https://leetcode.com/problems/reconstruct-itinerary/</v>
      </c>
    </row>
    <row r="161" spans="1:15" ht="31.5" customHeight="1" x14ac:dyDescent="0.2">
      <c r="A161" s="118">
        <v>156</v>
      </c>
      <c r="B161" s="118">
        <v>338</v>
      </c>
      <c r="C161" s="119" t="s">
        <v>1247</v>
      </c>
      <c r="D161" s="118" t="s">
        <v>4759</v>
      </c>
      <c r="E161" s="123" t="s">
        <v>20</v>
      </c>
      <c r="F161" s="121" t="s">
        <v>1248</v>
      </c>
      <c r="G161" s="121"/>
      <c r="H161" s="118">
        <f>IFERROR(VLOOKUP(B161,'📊 Problem Tracker'!$B$4:$F$1200,5,FALSE()),"")</f>
        <v>0</v>
      </c>
      <c r="I161" s="118"/>
      <c r="J161" s="118"/>
      <c r="K161" s="121"/>
      <c r="L161" s="269" t="s">
        <v>230</v>
      </c>
      <c r="M161" s="118" t="s">
        <v>24</v>
      </c>
      <c r="N161" s="180" t="s">
        <v>24</v>
      </c>
      <c r="O161" s="193" t="str">
        <f>HYPERLINK("https://leetcode.com/problems/counting-bits/","https://leetcode.com/problems/counting-bits/")</f>
        <v>https://leetcode.com/problems/counting-bits/</v>
      </c>
    </row>
    <row r="162" spans="1:15" ht="31.5" customHeight="1" x14ac:dyDescent="0.2">
      <c r="A162" s="7">
        <v>157</v>
      </c>
      <c r="B162" s="7">
        <v>339</v>
      </c>
      <c r="C162" s="13" t="s">
        <v>1250</v>
      </c>
      <c r="D162" s="7" t="s">
        <v>4760</v>
      </c>
      <c r="E162" s="18" t="s">
        <v>28</v>
      </c>
      <c r="F162" s="3" t="s">
        <v>500</v>
      </c>
      <c r="G162" s="3" t="s">
        <v>4256</v>
      </c>
      <c r="H162" s="7">
        <f>IFERROR(VLOOKUP(B162,'📊 Problem Tracker'!$B$4:$F$1200,5,FALSE()),"")</f>
        <v>0</v>
      </c>
      <c r="I162" s="7"/>
      <c r="J162" s="7"/>
      <c r="K162" s="3"/>
      <c r="L162" s="228" t="s">
        <v>571</v>
      </c>
      <c r="M162" s="7" t="s">
        <v>24</v>
      </c>
      <c r="N162" s="176" t="s">
        <v>24</v>
      </c>
      <c r="O162" s="191" t="str">
        <f>HYPERLINK("https://leetcode.com/problems/nested-list-weight-sum/","https://leetcode.com/problems/nested-list-weight-sum/")</f>
        <v>https://leetcode.com/problems/nested-list-weight-sum/</v>
      </c>
    </row>
    <row r="163" spans="1:15" ht="31.5" customHeight="1" x14ac:dyDescent="0.2">
      <c r="A163" s="118">
        <v>158</v>
      </c>
      <c r="B163" s="118">
        <v>340</v>
      </c>
      <c r="C163" s="119" t="s">
        <v>1253</v>
      </c>
      <c r="D163" s="118" t="s">
        <v>4682</v>
      </c>
      <c r="E163" s="120" t="s">
        <v>28</v>
      </c>
      <c r="F163" s="121" t="s">
        <v>427</v>
      </c>
      <c r="G163" s="121" t="s">
        <v>917</v>
      </c>
      <c r="H163" s="118">
        <f>IFERROR(VLOOKUP(B163,'📊 Problem Tracker'!$B$4:$F$1200,5,FALSE()),"")</f>
        <v>0</v>
      </c>
      <c r="I163" s="118"/>
      <c r="J163" s="118"/>
      <c r="K163" s="121"/>
      <c r="L163" s="269" t="s">
        <v>919</v>
      </c>
      <c r="M163" s="118" t="s">
        <v>24</v>
      </c>
      <c r="N163" s="180" t="s">
        <v>153</v>
      </c>
      <c r="O163" s="193" t="str">
        <f>HYPERLINK("https://leetcode.com/problems/longest-substring-with-at-most-k-distinct-characters/","https://leetcode.com/problems/longest-substring-with-at-most-k-distinct-characters/")</f>
        <v>https://leetcode.com/problems/longest-substring-with-at-most-k-distinct-characters/</v>
      </c>
    </row>
    <row r="164" spans="1:15" ht="31.5" customHeight="1" x14ac:dyDescent="0.2">
      <c r="A164" s="7">
        <v>159</v>
      </c>
      <c r="B164" s="7">
        <v>341</v>
      </c>
      <c r="C164" s="13" t="s">
        <v>1255</v>
      </c>
      <c r="D164" s="7" t="s">
        <v>4761</v>
      </c>
      <c r="E164" s="18" t="s">
        <v>28</v>
      </c>
      <c r="F164" s="3" t="s">
        <v>4762</v>
      </c>
      <c r="G164" s="3" t="s">
        <v>4568</v>
      </c>
      <c r="H164" s="7">
        <f>IFERROR(VLOOKUP(B164,'📊 Problem Tracker'!$B$4:$F$1200,5,FALSE()),"")</f>
        <v>0</v>
      </c>
      <c r="I164" s="7"/>
      <c r="J164" s="7"/>
      <c r="K164" s="3"/>
      <c r="L164" s="228" t="s">
        <v>542</v>
      </c>
      <c r="M164" s="7" t="s">
        <v>24</v>
      </c>
      <c r="N164" s="176" t="s">
        <v>47</v>
      </c>
      <c r="O164" s="191" t="str">
        <f>HYPERLINK("https://leetcode.com/problems/flatten-nested-list-iterator/","https://leetcode.com/problems/flatten-nested-list-iterator/")</f>
        <v>https://leetcode.com/problems/flatten-nested-list-iterator/</v>
      </c>
    </row>
    <row r="165" spans="1:15" ht="31.5" customHeight="1" x14ac:dyDescent="0.2">
      <c r="A165" s="118">
        <v>160</v>
      </c>
      <c r="B165" s="118">
        <v>344</v>
      </c>
      <c r="C165" s="119" t="s">
        <v>1262</v>
      </c>
      <c r="D165" s="118" t="s">
        <v>4628</v>
      </c>
      <c r="E165" s="123" t="s">
        <v>20</v>
      </c>
      <c r="F165" s="121" t="s">
        <v>611</v>
      </c>
      <c r="G165" s="121" t="s">
        <v>689</v>
      </c>
      <c r="H165" s="118">
        <f>IFERROR(VLOOKUP(B165,'📊 Problem Tracker'!$B$4:$F$1200,5,FALSE()),"")</f>
        <v>0</v>
      </c>
      <c r="I165" s="118"/>
      <c r="J165" s="118"/>
      <c r="K165" s="121"/>
      <c r="L165" s="269" t="s">
        <v>690</v>
      </c>
      <c r="M165" s="118" t="s">
        <v>24</v>
      </c>
      <c r="N165" s="180" t="s">
        <v>1096</v>
      </c>
      <c r="O165" s="193" t="str">
        <f>HYPERLINK("https://leetcode.com/problems/reverse-string/","https://leetcode.com/problems/reverse-string/")</f>
        <v>https://leetcode.com/problems/reverse-string/</v>
      </c>
    </row>
    <row r="166" spans="1:15" ht="31.5" customHeight="1" x14ac:dyDescent="0.2">
      <c r="A166" s="7">
        <v>161</v>
      </c>
      <c r="B166" s="7">
        <v>345</v>
      </c>
      <c r="C166" s="13" t="s">
        <v>1264</v>
      </c>
      <c r="D166" s="7" t="s">
        <v>4523</v>
      </c>
      <c r="E166" s="21" t="s">
        <v>20</v>
      </c>
      <c r="F166" s="3" t="s">
        <v>611</v>
      </c>
      <c r="G166" s="3" t="s">
        <v>689</v>
      </c>
      <c r="H166" s="7">
        <f>IFERROR(VLOOKUP(B166,'📊 Problem Tracker'!$B$4:$F$1200,5,FALSE()),"")</f>
        <v>0</v>
      </c>
      <c r="I166" s="7"/>
      <c r="J166" s="7"/>
      <c r="K166" s="3"/>
      <c r="L166" s="228" t="s">
        <v>690</v>
      </c>
      <c r="M166" s="7" t="s">
        <v>24</v>
      </c>
      <c r="N166" s="176" t="s">
        <v>1096</v>
      </c>
      <c r="O166" s="191" t="str">
        <f>HYPERLINK("https://leetcode.com/problems/reverse-vowels-of-a-string/","https://leetcode.com/problems/reverse-vowels-of-a-string/")</f>
        <v>https://leetcode.com/problems/reverse-vowels-of-a-string/</v>
      </c>
    </row>
    <row r="167" spans="1:15" ht="31.5" customHeight="1" x14ac:dyDescent="0.2">
      <c r="A167" s="118">
        <v>162</v>
      </c>
      <c r="B167" s="118">
        <v>346</v>
      </c>
      <c r="C167" s="119" t="s">
        <v>1266</v>
      </c>
      <c r="D167" s="118" t="s">
        <v>4763</v>
      </c>
      <c r="E167" s="123" t="s">
        <v>20</v>
      </c>
      <c r="F167" s="121" t="s">
        <v>4764</v>
      </c>
      <c r="G167" s="121" t="s">
        <v>4634</v>
      </c>
      <c r="H167" s="118">
        <f>IFERROR(VLOOKUP(B167,'📊 Problem Tracker'!$B$4:$F$1200,5,FALSE()),"")</f>
        <v>0</v>
      </c>
      <c r="I167" s="118"/>
      <c r="J167" s="118"/>
      <c r="K167" s="121"/>
      <c r="L167" s="269" t="s">
        <v>919</v>
      </c>
      <c r="M167" s="118" t="s">
        <v>47</v>
      </c>
      <c r="N167" s="180" t="s">
        <v>153</v>
      </c>
      <c r="O167" s="193" t="str">
        <f>HYPERLINK("https://leetcode.com/problems/moving-average-from-data-stream/","https://leetcode.com/problems/moving-average-from-data-stream/")</f>
        <v>https://leetcode.com/problems/moving-average-from-data-stream/</v>
      </c>
    </row>
    <row r="168" spans="1:15" ht="31.5" customHeight="1" x14ac:dyDescent="0.2">
      <c r="A168" s="7">
        <v>163</v>
      </c>
      <c r="B168" s="7">
        <v>347</v>
      </c>
      <c r="C168" s="13" t="s">
        <v>1269</v>
      </c>
      <c r="D168" s="7" t="s">
        <v>4629</v>
      </c>
      <c r="E168" s="18" t="s">
        <v>28</v>
      </c>
      <c r="F168" s="3" t="s">
        <v>1270</v>
      </c>
      <c r="G168" s="3" t="s">
        <v>4280</v>
      </c>
      <c r="H168" s="7">
        <f>IFERROR(VLOOKUP(B168,'📊 Problem Tracker'!$B$4:$F$1200,5,FALSE()),"")</f>
        <v>0</v>
      </c>
      <c r="I168" s="7"/>
      <c r="J168" s="7"/>
      <c r="K168" s="3"/>
      <c r="L168" s="228" t="s">
        <v>1273</v>
      </c>
      <c r="M168" s="7" t="s">
        <v>24</v>
      </c>
      <c r="N168" s="176" t="s">
        <v>24</v>
      </c>
      <c r="O168" s="191" t="str">
        <f>HYPERLINK("https://leetcode.com/problems/top-k-frequent-elements/","https://leetcode.com/problems/top-k-frequent-elements/")</f>
        <v>https://leetcode.com/problems/top-k-frequent-elements/</v>
      </c>
    </row>
    <row r="169" spans="1:15" ht="31.5" customHeight="1" x14ac:dyDescent="0.2">
      <c r="A169" s="118">
        <v>164</v>
      </c>
      <c r="B169" s="118">
        <v>348</v>
      </c>
      <c r="C169" s="119" t="s">
        <v>1275</v>
      </c>
      <c r="D169" s="118" t="s">
        <v>4512</v>
      </c>
      <c r="E169" s="120" t="s">
        <v>28</v>
      </c>
      <c r="F169" s="121" t="s">
        <v>4765</v>
      </c>
      <c r="G169" s="121" t="s">
        <v>2570</v>
      </c>
      <c r="H169" s="118">
        <f>IFERROR(VLOOKUP(B169,'📊 Problem Tracker'!$B$4:$F$1200,5,FALSE()),"")</f>
        <v>0</v>
      </c>
      <c r="I169" s="118"/>
      <c r="J169" s="118"/>
      <c r="K169" s="121"/>
      <c r="L169" s="269" t="s">
        <v>705</v>
      </c>
      <c r="M169" s="118" t="s">
        <v>1277</v>
      </c>
      <c r="N169" s="180" t="s">
        <v>24</v>
      </c>
      <c r="O169" s="193" t="str">
        <f>HYPERLINK("https://leetcode.com/problems/design-tic-tac-toe/","https://leetcode.com/problems/design-tic-tac-toe/")</f>
        <v>https://leetcode.com/problems/design-tic-tac-toe/</v>
      </c>
    </row>
    <row r="170" spans="1:15" ht="31.5" customHeight="1" x14ac:dyDescent="0.2">
      <c r="A170" s="7">
        <v>165</v>
      </c>
      <c r="B170" s="7">
        <v>349</v>
      </c>
      <c r="C170" s="13" t="s">
        <v>1279</v>
      </c>
      <c r="D170" s="7" t="s">
        <v>4630</v>
      </c>
      <c r="E170" s="21" t="s">
        <v>20</v>
      </c>
      <c r="F170" s="3" t="s">
        <v>4631</v>
      </c>
      <c r="G170" s="3" t="s">
        <v>4244</v>
      </c>
      <c r="H170" s="7">
        <f>IFERROR(VLOOKUP(B170,'📊 Problem Tracker'!$B$4:$F$1200,5,FALSE()),"")</f>
        <v>0</v>
      </c>
      <c r="I170" s="7"/>
      <c r="J170" s="7"/>
      <c r="K170" s="3"/>
      <c r="L170" s="228" t="s">
        <v>690</v>
      </c>
      <c r="M170" s="7" t="s">
        <v>259</v>
      </c>
      <c r="N170" s="176" t="s">
        <v>1280</v>
      </c>
      <c r="O170" s="191" t="str">
        <f>HYPERLINK("https://leetcode.com/problems/intersection-of-two-arrays/","https://leetcode.com/problems/intersection-of-two-arrays/")</f>
        <v>https://leetcode.com/problems/intersection-of-two-arrays/</v>
      </c>
    </row>
    <row r="171" spans="1:15" ht="31.5" customHeight="1" x14ac:dyDescent="0.2">
      <c r="A171" s="118">
        <v>166</v>
      </c>
      <c r="B171" s="118">
        <v>355</v>
      </c>
      <c r="C171" s="119" t="s">
        <v>1290</v>
      </c>
      <c r="D171" s="118" t="s">
        <v>4766</v>
      </c>
      <c r="E171" s="120" t="s">
        <v>28</v>
      </c>
      <c r="F171" s="121" t="s">
        <v>1291</v>
      </c>
      <c r="G171" s="121" t="s">
        <v>4767</v>
      </c>
      <c r="H171" s="118">
        <f>IFERROR(VLOOKUP(B171,'📊 Problem Tracker'!$B$4:$F$1200,5,FALSE()),"")</f>
        <v>0</v>
      </c>
      <c r="I171" s="118"/>
      <c r="J171" s="118"/>
      <c r="K171" s="121"/>
      <c r="L171" s="269" t="s">
        <v>959</v>
      </c>
      <c r="M171" s="118" t="s">
        <v>960</v>
      </c>
      <c r="N171" s="180" t="s">
        <v>153</v>
      </c>
      <c r="O171" s="193" t="str">
        <f>HYPERLINK("https://leetcode.com/problems/design-twitter/","https://leetcode.com/problems/design-twitter/")</f>
        <v>https://leetcode.com/problems/design-twitter/</v>
      </c>
    </row>
    <row r="172" spans="1:15" ht="31.5" customHeight="1" x14ac:dyDescent="0.2">
      <c r="A172" s="7">
        <v>167</v>
      </c>
      <c r="B172" s="7">
        <v>359</v>
      </c>
      <c r="C172" s="13" t="s">
        <v>1294</v>
      </c>
      <c r="D172" s="7" t="s">
        <v>4576</v>
      </c>
      <c r="E172" s="21" t="s">
        <v>20</v>
      </c>
      <c r="F172" s="3" t="s">
        <v>1295</v>
      </c>
      <c r="G172" s="3"/>
      <c r="H172" s="7">
        <f>IFERROR(VLOOKUP(B172,'📊 Problem Tracker'!$B$4:$F$1200,5,FALSE()),"")</f>
        <v>0</v>
      </c>
      <c r="I172" s="7"/>
      <c r="J172" s="7"/>
      <c r="K172" s="3"/>
      <c r="L172" s="228" t="s">
        <v>4239</v>
      </c>
      <c r="M172" s="7" t="s">
        <v>24</v>
      </c>
      <c r="N172" s="176" t="s">
        <v>24</v>
      </c>
      <c r="O172" s="191" t="str">
        <f>HYPERLINK("https://leetcode.com/problems/logger-rate-limiter/","https://leetcode.com/problems/logger-rate-limiter/")</f>
        <v>https://leetcode.com/problems/logger-rate-limiter/</v>
      </c>
    </row>
    <row r="173" spans="1:15" ht="31.5" customHeight="1" x14ac:dyDescent="0.2">
      <c r="A173" s="118">
        <v>168</v>
      </c>
      <c r="B173" s="118">
        <v>362</v>
      </c>
      <c r="C173" s="119" t="s">
        <v>1297</v>
      </c>
      <c r="D173" s="118" t="s">
        <v>4633</v>
      </c>
      <c r="E173" s="120" t="s">
        <v>28</v>
      </c>
      <c r="F173" s="121" t="s">
        <v>4306</v>
      </c>
      <c r="G173" s="121" t="s">
        <v>4634</v>
      </c>
      <c r="H173" s="118">
        <f>IFERROR(VLOOKUP(B173,'📊 Problem Tracker'!$B$4:$F$1200,5,FALSE()),"")</f>
        <v>0</v>
      </c>
      <c r="I173" s="118"/>
      <c r="J173" s="118"/>
      <c r="K173" s="121"/>
      <c r="L173" s="269" t="s">
        <v>919</v>
      </c>
      <c r="M173" s="118" t="s">
        <v>47</v>
      </c>
      <c r="N173" s="180" t="s">
        <v>1096</v>
      </c>
      <c r="O173" s="193" t="str">
        <f>HYPERLINK("https://leetcode.com/problems/design-hit-counter/","https://leetcode.com/problems/design-hit-counter/")</f>
        <v>https://leetcode.com/problems/design-hit-counter/</v>
      </c>
    </row>
    <row r="174" spans="1:15" ht="31.5" customHeight="1" x14ac:dyDescent="0.2">
      <c r="A174" s="7">
        <v>169</v>
      </c>
      <c r="B174" s="7">
        <v>365</v>
      </c>
      <c r="C174" s="13" t="s">
        <v>1309</v>
      </c>
      <c r="D174" s="7" t="s">
        <v>4768</v>
      </c>
      <c r="E174" s="18" t="s">
        <v>28</v>
      </c>
      <c r="F174" s="3" t="s">
        <v>1310</v>
      </c>
      <c r="G174" s="3" t="s">
        <v>4769</v>
      </c>
      <c r="H174" s="7">
        <f>IFERROR(VLOOKUP(B174,'📊 Problem Tracker'!$B$4:$F$1200,5,FALSE()),"")</f>
        <v>0</v>
      </c>
      <c r="I174" s="7"/>
      <c r="J174" s="7"/>
      <c r="K174" s="3"/>
      <c r="L174" s="228" t="s">
        <v>619</v>
      </c>
      <c r="M174" s="7" t="s">
        <v>1311</v>
      </c>
      <c r="N174" s="176" t="s">
        <v>47</v>
      </c>
      <c r="O174" s="191" t="str">
        <f>HYPERLINK("https://leetcode.com/problems/water-and-jug-problem/","https://leetcode.com/problems/water-and-jug-problem/")</f>
        <v>https://leetcode.com/problems/water-and-jug-problem/</v>
      </c>
    </row>
    <row r="175" spans="1:15" ht="31.5" customHeight="1" x14ac:dyDescent="0.2">
      <c r="A175" s="118">
        <v>170</v>
      </c>
      <c r="B175" s="118">
        <v>378</v>
      </c>
      <c r="C175" s="119" t="s">
        <v>1329</v>
      </c>
      <c r="D175" s="118" t="s">
        <v>4770</v>
      </c>
      <c r="E175" s="120" t="s">
        <v>28</v>
      </c>
      <c r="F175" s="121" t="s">
        <v>1330</v>
      </c>
      <c r="G175" s="121" t="s">
        <v>4771</v>
      </c>
      <c r="H175" s="118">
        <f>IFERROR(VLOOKUP(B175,'📊 Problem Tracker'!$B$4:$F$1200,5,FALSE()),"")</f>
        <v>0</v>
      </c>
      <c r="I175" s="118"/>
      <c r="J175" s="118"/>
      <c r="K175" s="121"/>
      <c r="L175" s="269" t="s">
        <v>513</v>
      </c>
      <c r="M175" s="118" t="s">
        <v>65</v>
      </c>
      <c r="N175" s="180" t="s">
        <v>47</v>
      </c>
      <c r="O175" s="193" t="str">
        <f>HYPERLINK("https://leetcode.com/problems/kth-smallest-element-in-a-sorted-matrix/","https://leetcode.com/problems/kth-smallest-element-in-a-sorted-matrix/")</f>
        <v>https://leetcode.com/problems/kth-smallest-element-in-a-sorted-matrix/</v>
      </c>
    </row>
    <row r="176" spans="1:15" ht="31.5" customHeight="1" x14ac:dyDescent="0.2">
      <c r="A176" s="7">
        <v>171</v>
      </c>
      <c r="B176" s="7">
        <v>380</v>
      </c>
      <c r="C176" s="13" t="s">
        <v>1333</v>
      </c>
      <c r="D176" s="7" t="s">
        <v>4642</v>
      </c>
      <c r="E176" s="18" t="s">
        <v>28</v>
      </c>
      <c r="F176" s="3" t="s">
        <v>1334</v>
      </c>
      <c r="G176" s="3" t="s">
        <v>4557</v>
      </c>
      <c r="H176" s="7">
        <f>IFERROR(VLOOKUP(B176,'📊 Problem Tracker'!$B$4:$F$1200,5,FALSE()),"")</f>
        <v>0</v>
      </c>
      <c r="I176" s="7"/>
      <c r="J176" s="7"/>
      <c r="K176" s="3"/>
      <c r="L176" s="228" t="s">
        <v>705</v>
      </c>
      <c r="M176" s="7" t="s">
        <v>24</v>
      </c>
      <c r="N176" s="176" t="s">
        <v>24</v>
      </c>
      <c r="O176" s="191" t="str">
        <f>HYPERLINK("https://leetcode.com/problems/insert-delete-getrandom-o1/","https://leetcode.com/problems/insert-delete-getrandom-o1/")</f>
        <v>https://leetcode.com/problems/insert-delete-getrandom-o1/</v>
      </c>
    </row>
    <row r="177" spans="1:15" ht="31.5" customHeight="1" x14ac:dyDescent="0.2">
      <c r="A177" s="118">
        <v>172</v>
      </c>
      <c r="B177" s="118">
        <v>383</v>
      </c>
      <c r="C177" s="119" t="s">
        <v>1337</v>
      </c>
      <c r="D177" s="118" t="s">
        <v>4772</v>
      </c>
      <c r="E177" s="123" t="s">
        <v>20</v>
      </c>
      <c r="F177" s="121" t="s">
        <v>897</v>
      </c>
      <c r="G177" s="121" t="s">
        <v>4244</v>
      </c>
      <c r="H177" s="118">
        <f>IFERROR(VLOOKUP(B177,'📊 Problem Tracker'!$B$4:$F$1200,5,FALSE()),"")</f>
        <v>0</v>
      </c>
      <c r="I177" s="118"/>
      <c r="J177" s="118"/>
      <c r="K177" s="121"/>
      <c r="L177" s="269" t="s">
        <v>1340</v>
      </c>
      <c r="M177" s="118" t="s">
        <v>259</v>
      </c>
      <c r="N177" s="180" t="s">
        <v>47</v>
      </c>
      <c r="O177" s="193" t="str">
        <f>HYPERLINK("https://leetcode.com/problems/ransom-note/","https://leetcode.com/problems/ransom-note/")</f>
        <v>https://leetcode.com/problems/ransom-note/</v>
      </c>
    </row>
    <row r="178" spans="1:15" ht="31.5" customHeight="1" x14ac:dyDescent="0.2">
      <c r="A178" s="7">
        <v>173</v>
      </c>
      <c r="B178" s="7">
        <v>387</v>
      </c>
      <c r="C178" s="13" t="s">
        <v>1348</v>
      </c>
      <c r="D178" s="7" t="s">
        <v>4471</v>
      </c>
      <c r="E178" s="21" t="s">
        <v>20</v>
      </c>
      <c r="F178" s="3" t="s">
        <v>897</v>
      </c>
      <c r="G178" s="3" t="s">
        <v>4244</v>
      </c>
      <c r="H178" s="7">
        <f>IFERROR(VLOOKUP(B178,'📊 Problem Tracker'!$B$4:$F$1200,5,FALSE()),"")</f>
        <v>0</v>
      </c>
      <c r="I178" s="7"/>
      <c r="J178" s="7"/>
      <c r="K178" s="3"/>
      <c r="L178" s="228" t="s">
        <v>705</v>
      </c>
      <c r="M178" s="7" t="s">
        <v>24</v>
      </c>
      <c r="N178" s="176" t="s">
        <v>47</v>
      </c>
      <c r="O178" s="191" t="str">
        <f>HYPERLINK("https://leetcode.com/problems/first-unique-character-in-a-string/","https://leetcode.com/problems/first-unique-character-in-a-string/")</f>
        <v>https://leetcode.com/problems/first-unique-character-in-a-string/</v>
      </c>
    </row>
    <row r="179" spans="1:15" ht="31.5" customHeight="1" x14ac:dyDescent="0.2">
      <c r="A179" s="118">
        <v>174</v>
      </c>
      <c r="B179" s="118">
        <v>394</v>
      </c>
      <c r="C179" s="119" t="s">
        <v>1365</v>
      </c>
      <c r="D179" s="118" t="s">
        <v>4645</v>
      </c>
      <c r="E179" s="120" t="s">
        <v>28</v>
      </c>
      <c r="F179" s="121" t="s">
        <v>133</v>
      </c>
      <c r="G179" s="121" t="s">
        <v>540</v>
      </c>
      <c r="H179" s="118">
        <f>IFERROR(VLOOKUP(B179,'📊 Problem Tracker'!$B$4:$F$1200,5,FALSE()),"")</f>
        <v>0</v>
      </c>
      <c r="I179" s="118"/>
      <c r="J179" s="118"/>
      <c r="K179" s="121"/>
      <c r="L179" s="269" t="s">
        <v>542</v>
      </c>
      <c r="M179" s="118" t="s">
        <v>24</v>
      </c>
      <c r="N179" s="180" t="s">
        <v>24</v>
      </c>
      <c r="O179" s="193" t="str">
        <f>HYPERLINK("https://leetcode.com/problems/decode-string/","https://leetcode.com/problems/decode-string/")</f>
        <v>https://leetcode.com/problems/decode-string/</v>
      </c>
    </row>
    <row r="180" spans="1:15" ht="31.5" customHeight="1" x14ac:dyDescent="0.2">
      <c r="A180" s="7">
        <v>175</v>
      </c>
      <c r="B180" s="7">
        <v>399</v>
      </c>
      <c r="C180" s="13" t="s">
        <v>1377</v>
      </c>
      <c r="D180" s="7" t="s">
        <v>4646</v>
      </c>
      <c r="E180" s="18" t="s">
        <v>28</v>
      </c>
      <c r="F180" s="3" t="s">
        <v>4647</v>
      </c>
      <c r="G180" s="3" t="s">
        <v>4648</v>
      </c>
      <c r="H180" s="7">
        <f>IFERROR(VLOOKUP(B180,'📊 Problem Tracker'!$B$4:$F$1200,5,FALSE()),"")</f>
        <v>0</v>
      </c>
      <c r="I180" s="7"/>
      <c r="J180" s="7"/>
      <c r="K180" s="3"/>
      <c r="L180" s="228" t="s">
        <v>619</v>
      </c>
      <c r="M180" s="7" t="s">
        <v>648</v>
      </c>
      <c r="N180" s="176" t="s">
        <v>648</v>
      </c>
      <c r="O180" s="191" t="str">
        <f>HYPERLINK("https://leetcode.com/problems/evaluate-division/","https://leetcode.com/problems/evaluate-division/")</f>
        <v>https://leetcode.com/problems/evaluate-division/</v>
      </c>
    </row>
    <row r="181" spans="1:15" ht="31.5" customHeight="1" x14ac:dyDescent="0.2">
      <c r="A181" s="118">
        <v>176</v>
      </c>
      <c r="B181" s="118">
        <v>412</v>
      </c>
      <c r="C181" s="119" t="s">
        <v>1399</v>
      </c>
      <c r="D181" s="118" t="s">
        <v>4485</v>
      </c>
      <c r="E181" s="123" t="s">
        <v>20</v>
      </c>
      <c r="F181" s="121" t="s">
        <v>62</v>
      </c>
      <c r="G181" s="121" t="s">
        <v>62</v>
      </c>
      <c r="H181" s="118">
        <f>IFERROR(VLOOKUP(B181,'📊 Problem Tracker'!$B$4:$F$1200,5,FALSE()),"")</f>
        <v>0</v>
      </c>
      <c r="I181" s="118"/>
      <c r="J181" s="118"/>
      <c r="K181" s="121"/>
      <c r="L181" s="269" t="s">
        <v>230</v>
      </c>
      <c r="M181" s="118" t="s">
        <v>24</v>
      </c>
      <c r="N181" s="180" t="s">
        <v>24</v>
      </c>
      <c r="O181" s="193" t="str">
        <f>HYPERLINK("https://leetcode.com/problems/fizz-buzz/","https://leetcode.com/problems/fizz-buzz/")</f>
        <v>https://leetcode.com/problems/fizz-buzz/</v>
      </c>
    </row>
    <row r="182" spans="1:15" ht="31.5" customHeight="1" x14ac:dyDescent="0.2">
      <c r="A182" s="7">
        <v>177</v>
      </c>
      <c r="B182" s="7">
        <v>424</v>
      </c>
      <c r="C182" s="13" t="s">
        <v>1416</v>
      </c>
      <c r="D182" s="7" t="s">
        <v>4521</v>
      </c>
      <c r="E182" s="18" t="s">
        <v>28</v>
      </c>
      <c r="F182" s="3" t="s">
        <v>427</v>
      </c>
      <c r="G182" s="3" t="s">
        <v>917</v>
      </c>
      <c r="H182" s="7">
        <f>IFERROR(VLOOKUP(B182,'📊 Problem Tracker'!$B$4:$F$1200,5,FALSE()),"")</f>
        <v>0</v>
      </c>
      <c r="I182" s="7"/>
      <c r="J182" s="7"/>
      <c r="K182" s="3"/>
      <c r="L182" s="228" t="s">
        <v>1418</v>
      </c>
      <c r="M182" s="7" t="s">
        <v>24</v>
      </c>
      <c r="N182" s="176" t="s">
        <v>1096</v>
      </c>
      <c r="O182" s="191" t="str">
        <f>HYPERLINK("https://leetcode.com/problems/longest-repeating-character-replacement/","https://leetcode.com/problems/longest-repeating-character-replacement/")</f>
        <v>https://leetcode.com/problems/longest-repeating-character-replacement/</v>
      </c>
    </row>
    <row r="183" spans="1:15" ht="31.5" customHeight="1" x14ac:dyDescent="0.2">
      <c r="A183" s="118">
        <v>178</v>
      </c>
      <c r="B183" s="118">
        <v>428</v>
      </c>
      <c r="C183" s="119" t="s">
        <v>1422</v>
      </c>
      <c r="D183" s="118" t="s">
        <v>4527</v>
      </c>
      <c r="E183" s="122" t="s">
        <v>42</v>
      </c>
      <c r="F183" s="121" t="s">
        <v>4773</v>
      </c>
      <c r="G183" s="121" t="s">
        <v>4621</v>
      </c>
      <c r="H183" s="118">
        <f>IFERROR(VLOOKUP(B183,'📊 Problem Tracker'!$B$4:$F$1200,5,FALSE()),"")</f>
        <v>0</v>
      </c>
      <c r="I183" s="118"/>
      <c r="J183" s="118"/>
      <c r="K183" s="121"/>
      <c r="L183" s="269" t="s">
        <v>571</v>
      </c>
      <c r="M183" s="118" t="s">
        <v>24</v>
      </c>
      <c r="N183" s="180" t="s">
        <v>24</v>
      </c>
      <c r="O183" s="193" t="str">
        <f>HYPERLINK("https://leetcode.com/problems/serialize-and-deserialize-n-ary-tree/","https://leetcode.com/problems/serialize-and-deserialize-n-ary-tree/")</f>
        <v>https://leetcode.com/problems/serialize-and-deserialize-n-ary-tree/</v>
      </c>
    </row>
    <row r="184" spans="1:15" ht="31.5" customHeight="1" x14ac:dyDescent="0.2">
      <c r="A184" s="7">
        <v>179</v>
      </c>
      <c r="B184" s="7">
        <v>432</v>
      </c>
      <c r="C184" s="13" t="s">
        <v>1428</v>
      </c>
      <c r="D184" s="7" t="s">
        <v>4774</v>
      </c>
      <c r="E184" s="20" t="s">
        <v>42</v>
      </c>
      <c r="F184" s="3" t="s">
        <v>1295</v>
      </c>
      <c r="G184" s="3" t="s">
        <v>4557</v>
      </c>
      <c r="H184" s="7">
        <f>IFERROR(VLOOKUP(B184,'📊 Problem Tracker'!$B$4:$F$1200,5,FALSE()),"")</f>
        <v>0</v>
      </c>
      <c r="I184" s="7"/>
      <c r="J184" s="7"/>
      <c r="K184" s="3"/>
      <c r="L184" s="228" t="s">
        <v>705</v>
      </c>
      <c r="M184" s="7" t="s">
        <v>24</v>
      </c>
      <c r="N184" s="176" t="s">
        <v>24</v>
      </c>
      <c r="O184" s="191" t="str">
        <f>HYPERLINK("https://leetcode.com/problems/all-oone-data-structure/","https://leetcode.com/problems/all-oone-data-structure/")</f>
        <v>https://leetcode.com/problems/all-oone-data-structure/</v>
      </c>
    </row>
    <row r="185" spans="1:15" ht="31.5" customHeight="1" x14ac:dyDescent="0.2">
      <c r="A185" s="118">
        <v>180</v>
      </c>
      <c r="B185" s="118">
        <v>435</v>
      </c>
      <c r="C185" s="119" t="s">
        <v>1430</v>
      </c>
      <c r="D185" s="118" t="s">
        <v>4659</v>
      </c>
      <c r="E185" s="120" t="s">
        <v>28</v>
      </c>
      <c r="F185" s="121" t="s">
        <v>1431</v>
      </c>
      <c r="G185" s="121" t="s">
        <v>4315</v>
      </c>
      <c r="H185" s="118">
        <f>IFERROR(VLOOKUP(B185,'📊 Problem Tracker'!$B$4:$F$1200,5,FALSE()),"")</f>
        <v>0</v>
      </c>
      <c r="I185" s="118"/>
      <c r="J185" s="118"/>
      <c r="K185" s="121"/>
      <c r="L185" s="269" t="s">
        <v>654</v>
      </c>
      <c r="M185" s="118" t="s">
        <v>326</v>
      </c>
      <c r="N185" s="180" t="s">
        <v>47</v>
      </c>
      <c r="O185" s="193" t="str">
        <f>HYPERLINK("https://leetcode.com/problems/non-overlapping-intervals/","https://leetcode.com/problems/non-overlapping-intervals/")</f>
        <v>https://leetcode.com/problems/non-overlapping-intervals/</v>
      </c>
    </row>
    <row r="186" spans="1:15" ht="31.5" customHeight="1" x14ac:dyDescent="0.2">
      <c r="A186" s="7">
        <v>181</v>
      </c>
      <c r="B186" s="7">
        <v>438</v>
      </c>
      <c r="C186" s="13" t="s">
        <v>1441</v>
      </c>
      <c r="D186" s="7" t="s">
        <v>4538</v>
      </c>
      <c r="E186" s="18" t="s">
        <v>28</v>
      </c>
      <c r="F186" s="3" t="s">
        <v>427</v>
      </c>
      <c r="G186" s="3" t="s">
        <v>917</v>
      </c>
      <c r="H186" s="7">
        <f>IFERROR(VLOOKUP(B186,'📊 Problem Tracker'!$B$4:$F$1200,5,FALSE()),"")</f>
        <v>0</v>
      </c>
      <c r="I186" s="7"/>
      <c r="J186" s="7"/>
      <c r="K186" s="3"/>
      <c r="L186" s="228" t="s">
        <v>1443</v>
      </c>
      <c r="M186" s="7" t="s">
        <v>24</v>
      </c>
      <c r="N186" s="176" t="s">
        <v>47</v>
      </c>
      <c r="O186" s="191" t="str">
        <f>HYPERLINK("https://leetcode.com/problems/find-all-anagrams-in-a-string/","https://leetcode.com/problems/find-all-anagrams-in-a-string/")</f>
        <v>https://leetcode.com/problems/find-all-anagrams-in-a-string/</v>
      </c>
    </row>
    <row r="187" spans="1:15" ht="31.5" customHeight="1" x14ac:dyDescent="0.2">
      <c r="A187" s="118">
        <v>182</v>
      </c>
      <c r="B187" s="118">
        <v>443</v>
      </c>
      <c r="C187" s="119" t="s">
        <v>1451</v>
      </c>
      <c r="D187" s="118" t="s">
        <v>4535</v>
      </c>
      <c r="E187" s="120" t="s">
        <v>28</v>
      </c>
      <c r="F187" s="121" t="s">
        <v>611</v>
      </c>
      <c r="G187" s="121" t="s">
        <v>689</v>
      </c>
      <c r="H187" s="118">
        <f>IFERROR(VLOOKUP(B187,'📊 Problem Tracker'!$B$4:$F$1200,5,FALSE()),"")</f>
        <v>0</v>
      </c>
      <c r="I187" s="118"/>
      <c r="J187" s="118"/>
      <c r="K187" s="121"/>
      <c r="L187" s="269" t="s">
        <v>690</v>
      </c>
      <c r="M187" s="118" t="s">
        <v>24</v>
      </c>
      <c r="N187" s="180" t="s">
        <v>1096</v>
      </c>
      <c r="O187" s="193" t="str">
        <f>HYPERLINK("https://leetcode.com/problems/string-compression/","https://leetcode.com/problems/string-compression/")</f>
        <v>https://leetcode.com/problems/string-compression/</v>
      </c>
    </row>
    <row r="188" spans="1:15" ht="31.5" customHeight="1" x14ac:dyDescent="0.2">
      <c r="A188" s="7">
        <v>183</v>
      </c>
      <c r="B188" s="7">
        <v>455</v>
      </c>
      <c r="C188" s="13" t="s">
        <v>1469</v>
      </c>
      <c r="D188" s="7" t="s">
        <v>4530</v>
      </c>
      <c r="E188" s="21" t="s">
        <v>20</v>
      </c>
      <c r="F188" s="3" t="s">
        <v>318</v>
      </c>
      <c r="G188" s="3" t="s">
        <v>3091</v>
      </c>
      <c r="H188" s="7">
        <f>IFERROR(VLOOKUP(B188,'📊 Problem Tracker'!$B$4:$F$1200,5,FALSE()),"")</f>
        <v>0</v>
      </c>
      <c r="I188" s="7"/>
      <c r="J188" s="7"/>
      <c r="K188" s="3"/>
      <c r="L188" s="228" t="s">
        <v>654</v>
      </c>
      <c r="M188" s="7" t="s">
        <v>24</v>
      </c>
      <c r="N188" s="176" t="s">
        <v>1100</v>
      </c>
      <c r="O188" s="191" t="str">
        <f>HYPERLINK("https://leetcode.com/problems/assign-cookies/","https://leetcode.com/problems/assign-cookies/")</f>
        <v>https://leetcode.com/problems/assign-cookies/</v>
      </c>
    </row>
    <row r="189" spans="1:15" ht="31.5" customHeight="1" x14ac:dyDescent="0.2">
      <c r="A189" s="118">
        <v>184</v>
      </c>
      <c r="B189" s="118">
        <v>460</v>
      </c>
      <c r="C189" s="119" t="s">
        <v>1476</v>
      </c>
      <c r="D189" s="118" t="s">
        <v>4775</v>
      </c>
      <c r="E189" s="122" t="s">
        <v>42</v>
      </c>
      <c r="F189" s="121" t="s">
        <v>4776</v>
      </c>
      <c r="G189" s="121" t="s">
        <v>4777</v>
      </c>
      <c r="H189" s="118">
        <f>IFERROR(VLOOKUP(B189,'📊 Problem Tracker'!$B$4:$F$1200,5,FALSE()),"")</f>
        <v>0</v>
      </c>
      <c r="I189" s="118"/>
      <c r="J189" s="118"/>
      <c r="K189" s="121"/>
      <c r="L189" s="269" t="s">
        <v>959</v>
      </c>
      <c r="M189" s="118" t="s">
        <v>732</v>
      </c>
      <c r="N189" s="180" t="s">
        <v>24</v>
      </c>
      <c r="O189" s="193" t="str">
        <f>HYPERLINK("https://leetcode.com/problems/lfu-cache/","https://leetcode.com/problems/lfu-cache/")</f>
        <v>https://leetcode.com/problems/lfu-cache/</v>
      </c>
    </row>
    <row r="190" spans="1:15" ht="31.5" customHeight="1" x14ac:dyDescent="0.2">
      <c r="A190" s="7">
        <v>185</v>
      </c>
      <c r="B190" s="7">
        <v>463</v>
      </c>
      <c r="C190" s="13" t="s">
        <v>1480</v>
      </c>
      <c r="D190" s="7" t="s">
        <v>4778</v>
      </c>
      <c r="E190" s="21" t="s">
        <v>20</v>
      </c>
      <c r="F190" s="3" t="s">
        <v>283</v>
      </c>
      <c r="G190" s="3" t="s">
        <v>4779</v>
      </c>
      <c r="H190" s="7">
        <f>IFERROR(VLOOKUP(B190,'📊 Problem Tracker'!$B$4:$F$1200,5,FALSE()),"")</f>
        <v>0</v>
      </c>
      <c r="I190" s="7"/>
      <c r="J190" s="7"/>
      <c r="K190" s="3"/>
      <c r="L190" s="228" t="s">
        <v>654</v>
      </c>
      <c r="M190" s="7" t="s">
        <v>81</v>
      </c>
      <c r="N190" s="176" t="s">
        <v>81</v>
      </c>
      <c r="O190" s="191" t="str">
        <f>HYPERLINK("https://leetcode.com/problems/island-perimeter/","https://leetcode.com/problems/island-perimeter/")</f>
        <v>https://leetcode.com/problems/island-perimeter/</v>
      </c>
    </row>
    <row r="191" spans="1:15" ht="31.5" customHeight="1" x14ac:dyDescent="0.2">
      <c r="A191" s="118">
        <v>186</v>
      </c>
      <c r="B191" s="118">
        <v>468</v>
      </c>
      <c r="C191" s="119" t="s">
        <v>1485</v>
      </c>
      <c r="D191" s="118" t="s">
        <v>4780</v>
      </c>
      <c r="E191" s="120" t="s">
        <v>28</v>
      </c>
      <c r="F191" s="121" t="s">
        <v>98</v>
      </c>
      <c r="G191" s="121" t="s">
        <v>98</v>
      </c>
      <c r="H191" s="118">
        <f>IFERROR(VLOOKUP(B191,'📊 Problem Tracker'!$B$4:$F$1200,5,FALSE()),"")</f>
        <v>0</v>
      </c>
      <c r="I191" s="118"/>
      <c r="J191" s="118"/>
      <c r="K191" s="121"/>
      <c r="L191" s="269" t="s">
        <v>750</v>
      </c>
      <c r="M191" s="118" t="s">
        <v>24</v>
      </c>
      <c r="N191" s="180" t="s">
        <v>24</v>
      </c>
      <c r="O191" s="193" t="str">
        <f>HYPERLINK("https://leetcode.com/problems/validate-ip-address/","https://leetcode.com/problems/validate-ip-address/")</f>
        <v>https://leetcode.com/problems/validate-ip-address/</v>
      </c>
    </row>
    <row r="192" spans="1:15" ht="31.5" customHeight="1" x14ac:dyDescent="0.2">
      <c r="A192" s="7">
        <v>187</v>
      </c>
      <c r="B192" s="7">
        <v>477</v>
      </c>
      <c r="C192" s="13" t="s">
        <v>1499</v>
      </c>
      <c r="D192" s="7" t="s">
        <v>4530</v>
      </c>
      <c r="E192" s="18" t="s">
        <v>28</v>
      </c>
      <c r="F192" s="3" t="s">
        <v>660</v>
      </c>
      <c r="G192" s="3" t="s">
        <v>666</v>
      </c>
      <c r="H192" s="7">
        <f>IFERROR(VLOOKUP(B192,'📊 Problem Tracker'!$B$4:$F$1200,5,FALSE()),"")</f>
        <v>0</v>
      </c>
      <c r="I192" s="7"/>
      <c r="J192" s="7"/>
      <c r="K192" s="3"/>
      <c r="L192" s="228" t="s">
        <v>230</v>
      </c>
      <c r="M192" s="7" t="s">
        <v>24</v>
      </c>
      <c r="N192" s="176" t="s">
        <v>47</v>
      </c>
      <c r="O192" s="191" t="str">
        <f>HYPERLINK("https://leetcode.com/problems/total-hamming-distance/","https://leetcode.com/problems/total-hamming-distance/")</f>
        <v>https://leetcode.com/problems/total-hamming-distance/</v>
      </c>
    </row>
    <row r="193" spans="1:15" ht="31.5" customHeight="1" x14ac:dyDescent="0.2">
      <c r="A193" s="118">
        <v>188</v>
      </c>
      <c r="B193" s="118">
        <v>480</v>
      </c>
      <c r="C193" s="119" t="s">
        <v>1501</v>
      </c>
      <c r="D193" s="118" t="s">
        <v>4434</v>
      </c>
      <c r="E193" s="122" t="s">
        <v>42</v>
      </c>
      <c r="F193" s="121" t="s">
        <v>1502</v>
      </c>
      <c r="G193" s="121" t="s">
        <v>4664</v>
      </c>
      <c r="H193" s="118">
        <f>IFERROR(VLOOKUP(B193,'📊 Problem Tracker'!$B$4:$F$1200,5,FALSE()),"")</f>
        <v>0</v>
      </c>
      <c r="I193" s="118"/>
      <c r="J193" s="118"/>
      <c r="K193" s="121"/>
      <c r="L193" s="269" t="s">
        <v>919</v>
      </c>
      <c r="M193" s="118" t="s">
        <v>960</v>
      </c>
      <c r="N193" s="180" t="s">
        <v>153</v>
      </c>
      <c r="O193" s="193" t="str">
        <f>HYPERLINK("https://leetcode.com/problems/sliding-window-median/","https://leetcode.com/problems/sliding-window-median/")</f>
        <v>https://leetcode.com/problems/sliding-window-median/</v>
      </c>
    </row>
    <row r="194" spans="1:15" ht="31.5" customHeight="1" x14ac:dyDescent="0.2">
      <c r="A194" s="7">
        <v>189</v>
      </c>
      <c r="B194" s="7">
        <v>485</v>
      </c>
      <c r="C194" s="13" t="s">
        <v>1505</v>
      </c>
      <c r="D194" s="7" t="s">
        <v>4665</v>
      </c>
      <c r="E194" s="21" t="s">
        <v>20</v>
      </c>
      <c r="F194" s="3" t="s">
        <v>166</v>
      </c>
      <c r="G194" s="3" t="s">
        <v>166</v>
      </c>
      <c r="H194" s="7">
        <f>IFERROR(VLOOKUP(B194,'📊 Problem Tracker'!$B$4:$F$1200,5,FALSE()),"")</f>
        <v>0</v>
      </c>
      <c r="I194" s="7"/>
      <c r="J194" s="7"/>
      <c r="K194" s="3"/>
      <c r="L194" s="228" t="s">
        <v>654</v>
      </c>
      <c r="M194" s="7" t="s">
        <v>24</v>
      </c>
      <c r="N194" s="176" t="s">
        <v>1100</v>
      </c>
      <c r="O194" s="191" t="str">
        <f>HYPERLINK("https://leetcode.com/problems/max-consecutive-ones/","https://leetcode.com/problems/max-consecutive-ones/")</f>
        <v>https://leetcode.com/problems/max-consecutive-ones/</v>
      </c>
    </row>
    <row r="195" spans="1:15" ht="31.5" customHeight="1" x14ac:dyDescent="0.2">
      <c r="A195" s="118">
        <v>190</v>
      </c>
      <c r="B195" s="118">
        <v>490</v>
      </c>
      <c r="C195" s="119" t="s">
        <v>1511</v>
      </c>
      <c r="D195" s="118" t="s">
        <v>4652</v>
      </c>
      <c r="E195" s="120" t="s">
        <v>28</v>
      </c>
      <c r="F195" s="121" t="s">
        <v>1512</v>
      </c>
      <c r="G195" s="121" t="s">
        <v>4704</v>
      </c>
      <c r="H195" s="118">
        <f>IFERROR(VLOOKUP(B195,'📊 Problem Tracker'!$B$4:$F$1200,5,FALSE()),"")</f>
        <v>0</v>
      </c>
      <c r="I195" s="118"/>
      <c r="J195" s="118"/>
      <c r="K195" s="121"/>
      <c r="L195" s="269" t="s">
        <v>619</v>
      </c>
      <c r="M195" s="118" t="s">
        <v>648</v>
      </c>
      <c r="N195" s="180" t="s">
        <v>648</v>
      </c>
      <c r="O195" s="193" t="str">
        <f>HYPERLINK("https://leetcode.com/problems/the-maze/","https://leetcode.com/problems/the-maze/")</f>
        <v>https://leetcode.com/problems/the-maze/</v>
      </c>
    </row>
    <row r="196" spans="1:15" ht="31.5" customHeight="1" x14ac:dyDescent="0.2">
      <c r="A196" s="7">
        <v>191</v>
      </c>
      <c r="B196" s="7">
        <v>493</v>
      </c>
      <c r="C196" s="13" t="s">
        <v>1514</v>
      </c>
      <c r="D196" s="7" t="s">
        <v>4666</v>
      </c>
      <c r="E196" s="20" t="s">
        <v>42</v>
      </c>
      <c r="F196" s="3" t="s">
        <v>1515</v>
      </c>
      <c r="G196" s="3" t="s">
        <v>4559</v>
      </c>
      <c r="H196" s="7">
        <f>IFERROR(VLOOKUP(B196,'📊 Problem Tracker'!$B$4:$F$1200,5,FALSE()),"")</f>
        <v>0</v>
      </c>
      <c r="I196" s="7"/>
      <c r="J196" s="7"/>
      <c r="K196" s="3"/>
      <c r="L196" s="228" t="s">
        <v>1077</v>
      </c>
      <c r="M196" s="7" t="s">
        <v>326</v>
      </c>
      <c r="N196" s="176" t="s">
        <v>24</v>
      </c>
      <c r="O196" s="191" t="str">
        <f>HYPERLINK("https://leetcode.com/problems/reverse-pairs/","https://leetcode.com/problems/reverse-pairs/")</f>
        <v>https://leetcode.com/problems/reverse-pairs/</v>
      </c>
    </row>
    <row r="197" spans="1:15" ht="31.5" customHeight="1" x14ac:dyDescent="0.2">
      <c r="A197" s="118">
        <v>192</v>
      </c>
      <c r="B197" s="118">
        <v>503</v>
      </c>
      <c r="C197" s="119" t="s">
        <v>1535</v>
      </c>
      <c r="D197" s="118" t="s">
        <v>4452</v>
      </c>
      <c r="E197" s="120" t="s">
        <v>28</v>
      </c>
      <c r="F197" s="121" t="s">
        <v>466</v>
      </c>
      <c r="G197" s="121" t="s">
        <v>1473</v>
      </c>
      <c r="H197" s="118">
        <f>IFERROR(VLOOKUP(B197,'📊 Problem Tracker'!$B$4:$F$1200,5,FALSE()),"")</f>
        <v>0</v>
      </c>
      <c r="I197" s="118"/>
      <c r="J197" s="118"/>
      <c r="K197" s="121"/>
      <c r="L197" s="269" t="s">
        <v>542</v>
      </c>
      <c r="M197" s="118" t="s">
        <v>24</v>
      </c>
      <c r="N197" s="180" t="s">
        <v>24</v>
      </c>
      <c r="O197" s="193" t="str">
        <f>HYPERLINK("https://leetcode.com/problems/next-greater-element-ii/","https://leetcode.com/problems/next-greater-element-ii/")</f>
        <v>https://leetcode.com/problems/next-greater-element-ii/</v>
      </c>
    </row>
    <row r="198" spans="1:15" ht="31.5" customHeight="1" x14ac:dyDescent="0.2">
      <c r="A198" s="7">
        <v>193</v>
      </c>
      <c r="B198" s="7">
        <v>509</v>
      </c>
      <c r="C198" s="13" t="s">
        <v>1545</v>
      </c>
      <c r="D198" s="7" t="s">
        <v>4668</v>
      </c>
      <c r="E198" s="21" t="s">
        <v>20</v>
      </c>
      <c r="F198" s="3" t="s">
        <v>1258</v>
      </c>
      <c r="G198" s="3" t="s">
        <v>4637</v>
      </c>
      <c r="H198" s="7">
        <f>IFERROR(VLOOKUP(B198,'📊 Problem Tracker'!$B$4:$F$1200,5,FALSE()),"")</f>
        <v>0</v>
      </c>
      <c r="I198" s="7"/>
      <c r="J198" s="7"/>
      <c r="K198" s="3"/>
      <c r="L198" s="228" t="s">
        <v>508</v>
      </c>
      <c r="M198" s="7" t="s">
        <v>24</v>
      </c>
      <c r="N198" s="176" t="s">
        <v>24</v>
      </c>
      <c r="O198" s="191" t="str">
        <f>HYPERLINK("https://leetcode.com/problems/fibonacci-number/","https://leetcode.com/problems/fibonacci-number/")</f>
        <v>https://leetcode.com/problems/fibonacci-number/</v>
      </c>
    </row>
    <row r="199" spans="1:15" ht="31.5" customHeight="1" x14ac:dyDescent="0.2">
      <c r="A199" s="118">
        <v>194</v>
      </c>
      <c r="B199" s="118">
        <v>515</v>
      </c>
      <c r="C199" s="119" t="s">
        <v>1550</v>
      </c>
      <c r="D199" s="118" t="s">
        <v>4571</v>
      </c>
      <c r="E199" s="120" t="s">
        <v>28</v>
      </c>
      <c r="F199" s="121" t="s">
        <v>534</v>
      </c>
      <c r="G199" s="121" t="s">
        <v>4270</v>
      </c>
      <c r="H199" s="118">
        <f>IFERROR(VLOOKUP(B199,'📊 Problem Tracker'!$B$4:$F$1200,5,FALSE()),"")</f>
        <v>0</v>
      </c>
      <c r="I199" s="118"/>
      <c r="J199" s="118"/>
      <c r="K199" s="121"/>
      <c r="L199" s="269" t="s">
        <v>571</v>
      </c>
      <c r="M199" s="118" t="s">
        <v>24</v>
      </c>
      <c r="N199" s="180" t="s">
        <v>24</v>
      </c>
      <c r="O199" s="193" t="str">
        <f>HYPERLINK("https://leetcode.com/problems/find-largest-value-in-each-tree-row/","https://leetcode.com/problems/find-largest-value-in-each-tree-row/")</f>
        <v>https://leetcode.com/problems/find-largest-value-in-each-tree-row/</v>
      </c>
    </row>
    <row r="200" spans="1:15" ht="31.5" customHeight="1" x14ac:dyDescent="0.2">
      <c r="A200" s="7">
        <v>195</v>
      </c>
      <c r="B200" s="7">
        <v>523</v>
      </c>
      <c r="C200" s="13" t="s">
        <v>1558</v>
      </c>
      <c r="D200" s="7" t="s">
        <v>4781</v>
      </c>
      <c r="E200" s="18" t="s">
        <v>28</v>
      </c>
      <c r="F200" s="3" t="s">
        <v>1559</v>
      </c>
      <c r="G200" s="3" t="s">
        <v>4250</v>
      </c>
      <c r="H200" s="7">
        <f>IFERROR(VLOOKUP(B200,'📊 Problem Tracker'!$B$4:$F$1200,5,FALSE()),"")</f>
        <v>0</v>
      </c>
      <c r="I200" s="7"/>
      <c r="J200" s="7"/>
      <c r="K200" s="3"/>
      <c r="L200" s="228" t="s">
        <v>705</v>
      </c>
      <c r="M200" s="7" t="s">
        <v>24</v>
      </c>
      <c r="N200" s="176" t="s">
        <v>24</v>
      </c>
      <c r="O200" s="191" t="str">
        <f>HYPERLINK("https://leetcode.com/problems/continuous-subarray-sum/","https://leetcode.com/problems/continuous-subarray-sum/")</f>
        <v>https://leetcode.com/problems/continuous-subarray-sum/</v>
      </c>
    </row>
    <row r="201" spans="1:15" ht="31.5" customHeight="1" x14ac:dyDescent="0.2">
      <c r="A201" s="118">
        <v>196</v>
      </c>
      <c r="B201" s="118">
        <v>528</v>
      </c>
      <c r="C201" s="119" t="s">
        <v>1563</v>
      </c>
      <c r="D201" s="118" t="s">
        <v>4671</v>
      </c>
      <c r="E201" s="120" t="s">
        <v>28</v>
      </c>
      <c r="F201" s="121" t="s">
        <v>1564</v>
      </c>
      <c r="G201" s="121" t="s">
        <v>4672</v>
      </c>
      <c r="H201" s="118">
        <f>IFERROR(VLOOKUP(B201,'📊 Problem Tracker'!$B$4:$F$1200,5,FALSE()),"")</f>
        <v>0</v>
      </c>
      <c r="I201" s="118"/>
      <c r="J201" s="118"/>
      <c r="K201" s="121"/>
      <c r="L201" s="269" t="s">
        <v>513</v>
      </c>
      <c r="M201" s="118" t="s">
        <v>65</v>
      </c>
      <c r="N201" s="180" t="s">
        <v>47</v>
      </c>
      <c r="O201" s="193" t="str">
        <f>HYPERLINK("https://leetcode.com/problems/random-pick-with-weight/","https://leetcode.com/problems/random-pick-with-weight/")</f>
        <v>https://leetcode.com/problems/random-pick-with-weight/</v>
      </c>
    </row>
    <row r="202" spans="1:15" ht="31.5" customHeight="1" x14ac:dyDescent="0.2">
      <c r="A202" s="7">
        <v>197</v>
      </c>
      <c r="B202" s="7">
        <v>532</v>
      </c>
      <c r="C202" s="13" t="s">
        <v>1572</v>
      </c>
      <c r="D202" s="7" t="s">
        <v>4782</v>
      </c>
      <c r="E202" s="18" t="s">
        <v>28</v>
      </c>
      <c r="F202" s="3" t="s">
        <v>4631</v>
      </c>
      <c r="G202" s="3" t="s">
        <v>4783</v>
      </c>
      <c r="H202" s="7">
        <f>IFERROR(VLOOKUP(B202,'📊 Problem Tracker'!$B$4:$F$1200,5,FALSE()),"")</f>
        <v>0</v>
      </c>
      <c r="I202" s="7"/>
      <c r="J202" s="7"/>
      <c r="K202" s="3"/>
      <c r="L202" s="228" t="s">
        <v>690</v>
      </c>
      <c r="M202" s="7" t="s">
        <v>24</v>
      </c>
      <c r="N202" s="176" t="s">
        <v>24</v>
      </c>
      <c r="O202" s="191" t="str">
        <f>HYPERLINK("https://leetcode.com/problems/k-diff-pairs-in-an-array/","https://leetcode.com/problems/k-diff-pairs-in-an-array/")</f>
        <v>https://leetcode.com/problems/k-diff-pairs-in-an-array/</v>
      </c>
    </row>
    <row r="203" spans="1:15" ht="31.5" customHeight="1" x14ac:dyDescent="0.2">
      <c r="A203" s="118">
        <v>198</v>
      </c>
      <c r="B203" s="118">
        <v>535</v>
      </c>
      <c r="C203" s="119" t="s">
        <v>1574</v>
      </c>
      <c r="D203" s="118" t="s">
        <v>4784</v>
      </c>
      <c r="E203" s="120" t="s">
        <v>28</v>
      </c>
      <c r="F203" s="121" t="s">
        <v>1575</v>
      </c>
      <c r="G203" s="121" t="s">
        <v>4785</v>
      </c>
      <c r="H203" s="118">
        <f>IFERROR(VLOOKUP(B203,'📊 Problem Tracker'!$B$4:$F$1200,5,FALSE()),"")</f>
        <v>0</v>
      </c>
      <c r="I203" s="118"/>
      <c r="J203" s="118"/>
      <c r="K203" s="121"/>
      <c r="L203" s="269" t="s">
        <v>705</v>
      </c>
      <c r="M203" s="118" t="s">
        <v>24</v>
      </c>
      <c r="N203" s="180" t="s">
        <v>24</v>
      </c>
      <c r="O203" s="193" t="str">
        <f>HYPERLINK("https://leetcode.com/problems/encode-and-decode-tinyurl/","https://leetcode.com/problems/encode-and-decode-tinyurl/")</f>
        <v>https://leetcode.com/problems/encode-and-decode-tinyurl/</v>
      </c>
    </row>
    <row r="204" spans="1:15" ht="31.5" customHeight="1" x14ac:dyDescent="0.2">
      <c r="A204" s="7">
        <v>199</v>
      </c>
      <c r="B204" s="7">
        <v>542</v>
      </c>
      <c r="C204" s="13" t="s">
        <v>1581</v>
      </c>
      <c r="D204" s="7" t="s">
        <v>4505</v>
      </c>
      <c r="E204" s="18" t="s">
        <v>28</v>
      </c>
      <c r="F204" s="3" t="s">
        <v>1106</v>
      </c>
      <c r="G204" s="3" t="s">
        <v>4618</v>
      </c>
      <c r="H204" s="7">
        <f>IFERROR(VLOOKUP(B204,'📊 Problem Tracker'!$B$4:$F$1200,5,FALSE()),"")</f>
        <v>0</v>
      </c>
      <c r="I204" s="7"/>
      <c r="J204" s="7"/>
      <c r="K204" s="3"/>
      <c r="L204" s="228" t="s">
        <v>619</v>
      </c>
      <c r="M204" s="7" t="s">
        <v>81</v>
      </c>
      <c r="N204" s="176" t="s">
        <v>81</v>
      </c>
      <c r="O204" s="191" t="str">
        <f>HYPERLINK("https://leetcode.com/problems/01-matrix/","https://leetcode.com/problems/01-matrix/")</f>
        <v>https://leetcode.com/problems/01-matrix/</v>
      </c>
    </row>
    <row r="205" spans="1:15" ht="31.5" customHeight="1" x14ac:dyDescent="0.2">
      <c r="A205" s="118">
        <v>200</v>
      </c>
      <c r="B205" s="118">
        <v>543</v>
      </c>
      <c r="C205" s="119" t="s">
        <v>1584</v>
      </c>
      <c r="D205" s="118" t="s">
        <v>4471</v>
      </c>
      <c r="E205" s="123" t="s">
        <v>20</v>
      </c>
      <c r="F205" s="121" t="s">
        <v>500</v>
      </c>
      <c r="G205" s="121" t="s">
        <v>4256</v>
      </c>
      <c r="H205" s="118">
        <f>IFERROR(VLOOKUP(B205,'📊 Problem Tracker'!$B$4:$F$1200,5,FALSE()),"")</f>
        <v>0</v>
      </c>
      <c r="I205" s="118"/>
      <c r="J205" s="118"/>
      <c r="K205" s="121"/>
      <c r="L205" s="269" t="s">
        <v>571</v>
      </c>
      <c r="M205" s="118" t="s">
        <v>24</v>
      </c>
      <c r="N205" s="180" t="s">
        <v>503</v>
      </c>
      <c r="O205" s="193" t="str">
        <f>HYPERLINK("https://leetcode.com/problems/diameter-of-binary-tree/","https://leetcode.com/problems/diameter-of-binary-tree/")</f>
        <v>https://leetcode.com/problems/diameter-of-binary-tree/</v>
      </c>
    </row>
    <row r="206" spans="1:15" ht="31.5" customHeight="1" x14ac:dyDescent="0.2">
      <c r="A206" s="7">
        <v>201</v>
      </c>
      <c r="B206" s="7">
        <v>560</v>
      </c>
      <c r="C206" s="13" t="s">
        <v>1610</v>
      </c>
      <c r="D206" s="7" t="s">
        <v>4510</v>
      </c>
      <c r="E206" s="18" t="s">
        <v>28</v>
      </c>
      <c r="F206" s="3" t="s">
        <v>1559</v>
      </c>
      <c r="G206" s="3" t="s">
        <v>4250</v>
      </c>
      <c r="H206" s="7">
        <f>IFERROR(VLOOKUP(B206,'📊 Problem Tracker'!$B$4:$F$1200,5,FALSE()),"")</f>
        <v>0</v>
      </c>
      <c r="I206" s="7"/>
      <c r="J206" s="7"/>
      <c r="K206" s="3"/>
      <c r="L206" s="228" t="s">
        <v>1612</v>
      </c>
      <c r="M206" s="7" t="s">
        <v>24</v>
      </c>
      <c r="N206" s="176" t="s">
        <v>24</v>
      </c>
      <c r="O206" s="191" t="str">
        <f>HYPERLINK("https://leetcode.com/problems/subarray-sum-equals-k/","https://leetcode.com/problems/subarray-sum-equals-k/")</f>
        <v>https://leetcode.com/problems/subarray-sum-equals-k/</v>
      </c>
    </row>
    <row r="207" spans="1:15" ht="31.5" customHeight="1" x14ac:dyDescent="0.2">
      <c r="A207" s="118">
        <v>202</v>
      </c>
      <c r="B207" s="118">
        <v>565</v>
      </c>
      <c r="C207" s="119" t="s">
        <v>1620</v>
      </c>
      <c r="D207" s="118" t="s">
        <v>4625</v>
      </c>
      <c r="E207" s="120" t="s">
        <v>28</v>
      </c>
      <c r="F207" s="121" t="s">
        <v>4786</v>
      </c>
      <c r="G207" s="121" t="s">
        <v>4787</v>
      </c>
      <c r="H207" s="118">
        <f>IFERROR(VLOOKUP(B207,'📊 Problem Tracker'!$B$4:$F$1200,5,FALSE()),"")</f>
        <v>0</v>
      </c>
      <c r="I207" s="118"/>
      <c r="J207" s="118"/>
      <c r="K207" s="121"/>
      <c r="L207" s="269" t="s">
        <v>619</v>
      </c>
      <c r="M207" s="118" t="s">
        <v>24</v>
      </c>
      <c r="N207" s="180" t="s">
        <v>47</v>
      </c>
      <c r="O207" s="193" t="str">
        <f>HYPERLINK("https://leetcode.com/problems/array-nesting/","https://leetcode.com/problems/array-nesting/")</f>
        <v>https://leetcode.com/problems/array-nesting/</v>
      </c>
    </row>
    <row r="208" spans="1:15" ht="31.5" customHeight="1" x14ac:dyDescent="0.2">
      <c r="A208" s="7">
        <v>203</v>
      </c>
      <c r="B208" s="7">
        <v>567</v>
      </c>
      <c r="C208" s="13" t="s">
        <v>1622</v>
      </c>
      <c r="D208" s="7" t="s">
        <v>4676</v>
      </c>
      <c r="E208" s="18" t="s">
        <v>28</v>
      </c>
      <c r="F208" s="3" t="s">
        <v>427</v>
      </c>
      <c r="G208" s="3" t="s">
        <v>917</v>
      </c>
      <c r="H208" s="7">
        <f>IFERROR(VLOOKUP(B208,'📊 Problem Tracker'!$B$4:$F$1200,5,FALSE()),"")</f>
        <v>0</v>
      </c>
      <c r="I208" s="7"/>
      <c r="J208" s="7"/>
      <c r="K208" s="3"/>
      <c r="L208" s="228" t="s">
        <v>1624</v>
      </c>
      <c r="M208" s="7" t="s">
        <v>24</v>
      </c>
      <c r="N208" s="176" t="s">
        <v>1096</v>
      </c>
      <c r="O208" s="191" t="str">
        <f>HYPERLINK("https://leetcode.com/problems/permutation-in-string/","https://leetcode.com/problems/permutation-in-string/")</f>
        <v>https://leetcode.com/problems/permutation-in-string/</v>
      </c>
    </row>
    <row r="209" spans="1:15" ht="31.5" customHeight="1" x14ac:dyDescent="0.2">
      <c r="A209" s="118">
        <v>204</v>
      </c>
      <c r="B209" s="118">
        <v>605</v>
      </c>
      <c r="C209" s="119" t="s">
        <v>1655</v>
      </c>
      <c r="D209" s="118" t="s">
        <v>4679</v>
      </c>
      <c r="E209" s="123" t="s">
        <v>20</v>
      </c>
      <c r="F209" s="121" t="s">
        <v>318</v>
      </c>
      <c r="G209" s="121" t="s">
        <v>3091</v>
      </c>
      <c r="H209" s="118">
        <f>IFERROR(VLOOKUP(B209,'📊 Problem Tracker'!$B$4:$F$1200,5,FALSE()),"")</f>
        <v>0</v>
      </c>
      <c r="I209" s="118"/>
      <c r="J209" s="118"/>
      <c r="K209" s="121"/>
      <c r="L209" s="269" t="s">
        <v>654</v>
      </c>
      <c r="M209" s="118" t="s">
        <v>24</v>
      </c>
      <c r="N209" s="180" t="s">
        <v>1100</v>
      </c>
      <c r="O209" s="193" t="str">
        <f>HYPERLINK("https://leetcode.com/problems/can-place-flowers/","https://leetcode.com/problems/can-place-flowers/")</f>
        <v>https://leetcode.com/problems/can-place-flowers/</v>
      </c>
    </row>
    <row r="210" spans="1:15" ht="31.5" customHeight="1" x14ac:dyDescent="0.2">
      <c r="A210" s="7">
        <v>205</v>
      </c>
      <c r="B210" s="7">
        <v>621</v>
      </c>
      <c r="C210" s="13" t="s">
        <v>1665</v>
      </c>
      <c r="D210" s="7" t="s">
        <v>4680</v>
      </c>
      <c r="E210" s="18" t="s">
        <v>28</v>
      </c>
      <c r="F210" s="3" t="s">
        <v>1531</v>
      </c>
      <c r="G210" s="3" t="s">
        <v>4272</v>
      </c>
      <c r="H210" s="7">
        <f>IFERROR(VLOOKUP(B210,'📊 Problem Tracker'!$B$4:$F$1200,5,FALSE()),"")</f>
        <v>0</v>
      </c>
      <c r="I210" s="7"/>
      <c r="J210" s="7"/>
      <c r="K210" s="3"/>
      <c r="L210" s="228" t="s">
        <v>959</v>
      </c>
      <c r="M210" s="7" t="s">
        <v>24</v>
      </c>
      <c r="N210" s="176" t="s">
        <v>47</v>
      </c>
      <c r="O210" s="191" t="str">
        <f>HYPERLINK("https://leetcode.com/problems/task-scheduler/","https://leetcode.com/problems/task-scheduler/")</f>
        <v>https://leetcode.com/problems/task-scheduler/</v>
      </c>
    </row>
    <row r="211" spans="1:15" ht="31.5" customHeight="1" x14ac:dyDescent="0.2">
      <c r="A211" s="118">
        <v>206</v>
      </c>
      <c r="B211" s="118">
        <v>622</v>
      </c>
      <c r="C211" s="119" t="s">
        <v>1668</v>
      </c>
      <c r="D211" s="118" t="s">
        <v>4566</v>
      </c>
      <c r="E211" s="120" t="s">
        <v>28</v>
      </c>
      <c r="F211" s="121" t="s">
        <v>1298</v>
      </c>
      <c r="G211" s="121" t="s">
        <v>4788</v>
      </c>
      <c r="H211" s="118">
        <f>IFERROR(VLOOKUP(B211,'📊 Problem Tracker'!$B$4:$F$1200,5,FALSE()),"")</f>
        <v>0</v>
      </c>
      <c r="I211" s="118"/>
      <c r="J211" s="118"/>
      <c r="K211" s="121"/>
      <c r="L211" s="269" t="s">
        <v>4239</v>
      </c>
      <c r="M211" s="118" t="s">
        <v>24</v>
      </c>
      <c r="N211" s="180" t="s">
        <v>24</v>
      </c>
      <c r="O211" s="193" t="str">
        <f>HYPERLINK("https://leetcode.com/problems/design-circular-queue/","https://leetcode.com/problems/design-circular-queue/")</f>
        <v>https://leetcode.com/problems/design-circular-queue/</v>
      </c>
    </row>
    <row r="212" spans="1:15" ht="31.5" customHeight="1" x14ac:dyDescent="0.2">
      <c r="A212" s="7">
        <v>207</v>
      </c>
      <c r="B212" s="7">
        <v>628</v>
      </c>
      <c r="C212" s="13" t="s">
        <v>1676</v>
      </c>
      <c r="D212" s="7" t="s">
        <v>4782</v>
      </c>
      <c r="E212" s="21" t="s">
        <v>20</v>
      </c>
      <c r="F212" s="3" t="s">
        <v>376</v>
      </c>
      <c r="G212" s="3" t="s">
        <v>4575</v>
      </c>
      <c r="H212" s="7">
        <f>IFERROR(VLOOKUP(B212,'📊 Problem Tracker'!$B$4:$F$1200,5,FALSE()),"")</f>
        <v>0</v>
      </c>
      <c r="I212" s="7"/>
      <c r="J212" s="7"/>
      <c r="K212" s="3"/>
      <c r="L212" s="228" t="s">
        <v>230</v>
      </c>
      <c r="M212" s="7" t="s">
        <v>24</v>
      </c>
      <c r="N212" s="176" t="s">
        <v>47</v>
      </c>
      <c r="O212" s="191" t="str">
        <f>HYPERLINK("https://leetcode.com/problems/maximum-product-of-three-numbers/","https://leetcode.com/problems/maximum-product-of-three-numbers/")</f>
        <v>https://leetcode.com/problems/maximum-product-of-three-numbers/</v>
      </c>
    </row>
    <row r="213" spans="1:15" ht="31.5" customHeight="1" x14ac:dyDescent="0.2">
      <c r="A213" s="118">
        <v>208</v>
      </c>
      <c r="B213" s="118">
        <v>633</v>
      </c>
      <c r="C213" s="119" t="s">
        <v>1683</v>
      </c>
      <c r="D213" s="118" t="s">
        <v>4789</v>
      </c>
      <c r="E213" s="120" t="s">
        <v>28</v>
      </c>
      <c r="F213" s="121" t="s">
        <v>4790</v>
      </c>
      <c r="G213" s="121" t="s">
        <v>4791</v>
      </c>
      <c r="H213" s="118">
        <f>IFERROR(VLOOKUP(B213,'📊 Problem Tracker'!$B$4:$F$1200,5,FALSE()),"")</f>
        <v>0</v>
      </c>
      <c r="I213" s="118"/>
      <c r="J213" s="118"/>
      <c r="K213" s="121"/>
      <c r="L213" s="269" t="s">
        <v>690</v>
      </c>
      <c r="M213" s="118" t="s">
        <v>1684</v>
      </c>
      <c r="N213" s="180" t="s">
        <v>47</v>
      </c>
      <c r="O213" s="193" t="str">
        <f>HYPERLINK("https://leetcode.com/problems/sum-of-square-numbers/","https://leetcode.com/problems/sum-of-square-numbers/")</f>
        <v>https://leetcode.com/problems/sum-of-square-numbers/</v>
      </c>
    </row>
    <row r="214" spans="1:15" ht="31.5" customHeight="1" x14ac:dyDescent="0.2">
      <c r="A214" s="7">
        <v>209</v>
      </c>
      <c r="B214" s="7">
        <v>635</v>
      </c>
      <c r="C214" s="13" t="s">
        <v>1686</v>
      </c>
      <c r="D214" s="7" t="s">
        <v>4521</v>
      </c>
      <c r="E214" s="18" t="s">
        <v>28</v>
      </c>
      <c r="F214" s="3" t="s">
        <v>1295</v>
      </c>
      <c r="G214" s="3" t="s">
        <v>4557</v>
      </c>
      <c r="H214" s="7">
        <f>IFERROR(VLOOKUP(B214,'📊 Problem Tracker'!$B$4:$F$1200,5,FALSE()),"")</f>
        <v>0</v>
      </c>
      <c r="I214" s="7"/>
      <c r="J214" s="7"/>
      <c r="K214" s="3"/>
      <c r="L214" s="228" t="s">
        <v>705</v>
      </c>
      <c r="M214" s="7" t="s">
        <v>24</v>
      </c>
      <c r="N214" s="176" t="s">
        <v>24</v>
      </c>
      <c r="O214" s="191" t="str">
        <f>HYPERLINK("https://leetcode.com/problems/design-log-storage-system/","https://leetcode.com/problems/design-log-storage-system/")</f>
        <v>https://leetcode.com/problems/design-log-storage-system/</v>
      </c>
    </row>
    <row r="215" spans="1:15" ht="31.5" customHeight="1" x14ac:dyDescent="0.2">
      <c r="A215" s="118">
        <v>210</v>
      </c>
      <c r="B215" s="118">
        <v>636</v>
      </c>
      <c r="C215" s="119" t="s">
        <v>1690</v>
      </c>
      <c r="D215" s="118" t="s">
        <v>4681</v>
      </c>
      <c r="E215" s="120" t="s">
        <v>28</v>
      </c>
      <c r="F215" s="121" t="s">
        <v>1472</v>
      </c>
      <c r="G215" s="121" t="s">
        <v>540</v>
      </c>
      <c r="H215" s="118">
        <f>IFERROR(VLOOKUP(B215,'📊 Problem Tracker'!$B$4:$F$1200,5,FALSE()),"")</f>
        <v>0</v>
      </c>
      <c r="I215" s="118"/>
      <c r="J215" s="118"/>
      <c r="K215" s="121"/>
      <c r="L215" s="269" t="s">
        <v>542</v>
      </c>
      <c r="M215" s="118" t="s">
        <v>24</v>
      </c>
      <c r="N215" s="180" t="s">
        <v>24</v>
      </c>
      <c r="O215" s="193" t="str">
        <f>HYPERLINK("https://leetcode.com/problems/exclusive-time-of-functions/","https://leetcode.com/problems/exclusive-time-of-functions/")</f>
        <v>https://leetcode.com/problems/exclusive-time-of-functions/</v>
      </c>
    </row>
    <row r="216" spans="1:15" ht="31.5" customHeight="1" x14ac:dyDescent="0.2">
      <c r="A216" s="7">
        <v>211</v>
      </c>
      <c r="B216" s="7">
        <v>642</v>
      </c>
      <c r="C216" s="13" t="s">
        <v>1693</v>
      </c>
      <c r="D216" s="7" t="s">
        <v>4682</v>
      </c>
      <c r="E216" s="20" t="s">
        <v>42</v>
      </c>
      <c r="F216" s="3" t="s">
        <v>1694</v>
      </c>
      <c r="G216" s="3" t="s">
        <v>4792</v>
      </c>
      <c r="H216" s="7">
        <f>IFERROR(VLOOKUP(B216,'📊 Problem Tracker'!$B$4:$F$1200,5,FALSE()),"")</f>
        <v>0</v>
      </c>
      <c r="I216" s="7"/>
      <c r="J216" s="7"/>
      <c r="K216" s="3"/>
      <c r="L216" s="228" t="s">
        <v>959</v>
      </c>
      <c r="M216" s="7" t="s">
        <v>912</v>
      </c>
      <c r="N216" s="176" t="s">
        <v>913</v>
      </c>
      <c r="O216" s="191" t="str">
        <f>HYPERLINK("https://leetcode.com/problems/design-search-autocomplete-system/","https://leetcode.com/problems/design-search-autocomplete-system/")</f>
        <v>https://leetcode.com/problems/design-search-autocomplete-system/</v>
      </c>
    </row>
    <row r="217" spans="1:15" ht="31.5" customHeight="1" x14ac:dyDescent="0.2">
      <c r="A217" s="118">
        <v>212</v>
      </c>
      <c r="B217" s="118">
        <v>647</v>
      </c>
      <c r="C217" s="119" t="s">
        <v>1702</v>
      </c>
      <c r="D217" s="118" t="s">
        <v>4677</v>
      </c>
      <c r="E217" s="120" t="s">
        <v>28</v>
      </c>
      <c r="F217" s="121" t="s">
        <v>4204</v>
      </c>
      <c r="G217" s="121" t="s">
        <v>4731</v>
      </c>
      <c r="H217" s="118">
        <f>IFERROR(VLOOKUP(B217,'📊 Problem Tracker'!$B$4:$F$1200,5,FALSE()),"")</f>
        <v>0</v>
      </c>
      <c r="I217" s="118"/>
      <c r="J217" s="118"/>
      <c r="K217" s="121"/>
      <c r="L217" s="269" t="s">
        <v>690</v>
      </c>
      <c r="M217" s="118" t="s">
        <v>53</v>
      </c>
      <c r="N217" s="180" t="s">
        <v>47</v>
      </c>
      <c r="O217" s="193" t="str">
        <f>HYPERLINK("https://leetcode.com/problems/palindromic-substrings/","https://leetcode.com/problems/palindromic-substrings/")</f>
        <v>https://leetcode.com/problems/palindromic-substrings/</v>
      </c>
    </row>
    <row r="218" spans="1:15" ht="31.5" customHeight="1" x14ac:dyDescent="0.2">
      <c r="A218" s="7">
        <v>213</v>
      </c>
      <c r="B218" s="7">
        <v>658</v>
      </c>
      <c r="C218" s="13" t="s">
        <v>1712</v>
      </c>
      <c r="D218" s="7" t="s">
        <v>4684</v>
      </c>
      <c r="E218" s="18" t="s">
        <v>28</v>
      </c>
      <c r="F218" s="3" t="s">
        <v>4276</v>
      </c>
      <c r="G218" s="3" t="s">
        <v>512</v>
      </c>
      <c r="H218" s="7">
        <f>IFERROR(VLOOKUP(B218,'📊 Problem Tracker'!$B$4:$F$1200,5,FALSE()),"")</f>
        <v>0</v>
      </c>
      <c r="I218" s="7"/>
      <c r="J218" s="7"/>
      <c r="K218" s="3"/>
      <c r="L218" s="228" t="s">
        <v>919</v>
      </c>
      <c r="M218" s="7" t="s">
        <v>1713</v>
      </c>
      <c r="N218" s="176" t="s">
        <v>47</v>
      </c>
      <c r="O218" s="191" t="str">
        <f>HYPERLINK("https://leetcode.com/problems/find-k-closest-elements/","https://leetcode.com/problems/find-k-closest-elements/")</f>
        <v>https://leetcode.com/problems/find-k-closest-elements/</v>
      </c>
    </row>
    <row r="219" spans="1:15" ht="31.5" customHeight="1" x14ac:dyDescent="0.2">
      <c r="A219" s="118">
        <v>214</v>
      </c>
      <c r="B219" s="118">
        <v>661</v>
      </c>
      <c r="C219" s="119" t="s">
        <v>1717</v>
      </c>
      <c r="D219" s="118" t="s">
        <v>4603</v>
      </c>
      <c r="E219" s="123" t="s">
        <v>20</v>
      </c>
      <c r="F219" s="121" t="s">
        <v>283</v>
      </c>
      <c r="G219" s="121"/>
      <c r="H219" s="118">
        <f>IFERROR(VLOOKUP(B219,'📊 Problem Tracker'!$B$4:$F$1200,5,FALSE()),"")</f>
        <v>0</v>
      </c>
      <c r="I219" s="118"/>
      <c r="J219" s="118"/>
      <c r="K219" s="121"/>
      <c r="L219" s="269" t="s">
        <v>4239</v>
      </c>
      <c r="M219" s="118" t="s">
        <v>24</v>
      </c>
      <c r="N219" s="180" t="s">
        <v>24</v>
      </c>
      <c r="O219" s="193" t="str">
        <f>HYPERLINK("https://leetcode.com/problems/image-smoother/","https://leetcode.com/problems/image-smoother/")</f>
        <v>https://leetcode.com/problems/image-smoother/</v>
      </c>
    </row>
    <row r="220" spans="1:15" ht="31.5" customHeight="1" x14ac:dyDescent="0.2">
      <c r="A220" s="7">
        <v>215</v>
      </c>
      <c r="B220" s="7">
        <v>680</v>
      </c>
      <c r="C220" s="13" t="s">
        <v>1728</v>
      </c>
      <c r="D220" s="7" t="s">
        <v>4451</v>
      </c>
      <c r="E220" s="21" t="s">
        <v>20</v>
      </c>
      <c r="F220" s="3" t="s">
        <v>611</v>
      </c>
      <c r="G220" s="3" t="s">
        <v>689</v>
      </c>
      <c r="H220" s="7">
        <f>IFERROR(VLOOKUP(B220,'📊 Problem Tracker'!$B$4:$F$1200,5,FALSE()),"")</f>
        <v>0</v>
      </c>
      <c r="I220" s="7"/>
      <c r="J220" s="7"/>
      <c r="K220" s="3"/>
      <c r="L220" s="228" t="s">
        <v>690</v>
      </c>
      <c r="M220" s="7" t="s">
        <v>24</v>
      </c>
      <c r="N220" s="176" t="s">
        <v>47</v>
      </c>
      <c r="O220" s="191" t="str">
        <f>HYPERLINK("https://leetcode.com/problems/valid-palindrome-ii/","https://leetcode.com/problems/valid-palindrome-ii/")</f>
        <v>https://leetcode.com/problems/valid-palindrome-ii/</v>
      </c>
    </row>
    <row r="221" spans="1:15" ht="31.5" customHeight="1" x14ac:dyDescent="0.2">
      <c r="A221" s="118">
        <v>216</v>
      </c>
      <c r="B221" s="118">
        <v>688</v>
      </c>
      <c r="C221" s="119" t="s">
        <v>1740</v>
      </c>
      <c r="D221" s="118" t="s">
        <v>4793</v>
      </c>
      <c r="E221" s="120" t="s">
        <v>28</v>
      </c>
      <c r="F221" s="121" t="s">
        <v>354</v>
      </c>
      <c r="G221" s="121" t="s">
        <v>4637</v>
      </c>
      <c r="H221" s="118">
        <f>IFERROR(VLOOKUP(B221,'📊 Problem Tracker'!$B$4:$F$1200,5,FALSE()),"")</f>
        <v>0</v>
      </c>
      <c r="I221" s="118"/>
      <c r="J221" s="118"/>
      <c r="K221" s="121"/>
      <c r="L221" s="269" t="s">
        <v>508</v>
      </c>
      <c r="M221" s="118" t="s">
        <v>24</v>
      </c>
      <c r="N221" s="180" t="s">
        <v>24</v>
      </c>
      <c r="O221" s="193" t="str">
        <f>HYPERLINK("https://leetcode.com/problems/knight-probability-in-chessboard/","https://leetcode.com/problems/knight-probability-in-chessboard/")</f>
        <v>https://leetcode.com/problems/knight-probability-in-chessboard/</v>
      </c>
    </row>
    <row r="222" spans="1:15" ht="31.5" customHeight="1" x14ac:dyDescent="0.2">
      <c r="A222" s="7">
        <v>217</v>
      </c>
      <c r="B222" s="7">
        <v>692</v>
      </c>
      <c r="C222" s="13" t="s">
        <v>1745</v>
      </c>
      <c r="D222" s="7" t="s">
        <v>4687</v>
      </c>
      <c r="E222" s="18" t="s">
        <v>28</v>
      </c>
      <c r="F222" s="3" t="s">
        <v>1746</v>
      </c>
      <c r="G222" s="3" t="s">
        <v>4229</v>
      </c>
      <c r="H222" s="7">
        <f>IFERROR(VLOOKUP(B222,'📊 Problem Tracker'!$B$4:$F$1200,5,FALSE()),"")</f>
        <v>0</v>
      </c>
      <c r="I222" s="7"/>
      <c r="J222" s="7"/>
      <c r="K222" s="3"/>
      <c r="L222" s="228" t="s">
        <v>959</v>
      </c>
      <c r="M222" s="7" t="s">
        <v>24</v>
      </c>
      <c r="N222" s="176" t="s">
        <v>24</v>
      </c>
      <c r="O222" s="191" t="str">
        <f>HYPERLINK("https://leetcode.com/problems/top-k-frequent-words/","https://leetcode.com/problems/top-k-frequent-words/")</f>
        <v>https://leetcode.com/problems/top-k-frequent-words/</v>
      </c>
    </row>
    <row r="223" spans="1:15" ht="31.5" customHeight="1" x14ac:dyDescent="0.2">
      <c r="A223" s="118">
        <v>218</v>
      </c>
      <c r="B223" s="118">
        <v>695</v>
      </c>
      <c r="C223" s="119" t="s">
        <v>1751</v>
      </c>
      <c r="D223" s="118" t="s">
        <v>4549</v>
      </c>
      <c r="E223" s="120" t="s">
        <v>28</v>
      </c>
      <c r="F223" s="121" t="s">
        <v>637</v>
      </c>
      <c r="G223" s="121" t="s">
        <v>4548</v>
      </c>
      <c r="H223" s="118">
        <f>IFERROR(VLOOKUP(B223,'📊 Problem Tracker'!$B$4:$F$1200,5,FALSE()),"")</f>
        <v>0</v>
      </c>
      <c r="I223" s="118"/>
      <c r="J223" s="118"/>
      <c r="K223" s="121"/>
      <c r="L223" s="269" t="s">
        <v>619</v>
      </c>
      <c r="M223" s="118" t="s">
        <v>81</v>
      </c>
      <c r="N223" s="180" t="s">
        <v>81</v>
      </c>
      <c r="O223" s="193" t="str">
        <f>HYPERLINK("https://leetcode.com/problems/max-area-of-island/","https://leetcode.com/problems/max-area-of-island/")</f>
        <v>https://leetcode.com/problems/max-area-of-island/</v>
      </c>
    </row>
    <row r="224" spans="1:15" ht="31.5" customHeight="1" x14ac:dyDescent="0.2">
      <c r="A224" s="7">
        <v>219</v>
      </c>
      <c r="B224" s="7">
        <v>706</v>
      </c>
      <c r="C224" s="13" t="s">
        <v>1778</v>
      </c>
      <c r="D224" s="7" t="s">
        <v>4444</v>
      </c>
      <c r="E224" s="21" t="s">
        <v>20</v>
      </c>
      <c r="F224" s="3" t="s">
        <v>1295</v>
      </c>
      <c r="G224" s="3" t="s">
        <v>4557</v>
      </c>
      <c r="H224" s="7">
        <f>IFERROR(VLOOKUP(B224,'📊 Problem Tracker'!$B$4:$F$1200,5,FALSE()),"")</f>
        <v>0</v>
      </c>
      <c r="I224" s="7"/>
      <c r="J224" s="7"/>
      <c r="K224" s="3"/>
      <c r="L224" s="228" t="s">
        <v>705</v>
      </c>
      <c r="M224" s="7" t="s">
        <v>24</v>
      </c>
      <c r="N224" s="176" t="s">
        <v>24</v>
      </c>
      <c r="O224" s="191" t="str">
        <f>HYPERLINK("https://leetcode.com/problems/design-hashmap/","https://leetcode.com/problems/design-hashmap/")</f>
        <v>https://leetcode.com/problems/design-hashmap/</v>
      </c>
    </row>
    <row r="225" spans="1:15" ht="31.5" customHeight="1" x14ac:dyDescent="0.2">
      <c r="A225" s="118">
        <v>220</v>
      </c>
      <c r="B225" s="118">
        <v>707</v>
      </c>
      <c r="C225" s="119" t="s">
        <v>1780</v>
      </c>
      <c r="D225" s="118" t="s">
        <v>4689</v>
      </c>
      <c r="E225" s="120" t="s">
        <v>28</v>
      </c>
      <c r="F225" s="121" t="s">
        <v>1781</v>
      </c>
      <c r="G225" s="121" t="s">
        <v>4794</v>
      </c>
      <c r="H225" s="118">
        <f>IFERROR(VLOOKUP(B225,'📊 Problem Tracker'!$B$4:$F$1200,5,FALSE()),"")</f>
        <v>0</v>
      </c>
      <c r="I225" s="118"/>
      <c r="J225" s="118"/>
      <c r="K225" s="121"/>
      <c r="L225" s="269" t="s">
        <v>461</v>
      </c>
      <c r="M225" s="118" t="s">
        <v>24</v>
      </c>
      <c r="N225" s="180" t="s">
        <v>47</v>
      </c>
      <c r="O225" s="193" t="str">
        <f>HYPERLINK("https://leetcode.com/problems/design-linked-list/","https://leetcode.com/problems/design-linked-list/")</f>
        <v>https://leetcode.com/problems/design-linked-list/</v>
      </c>
    </row>
    <row r="226" spans="1:15" ht="31.5" customHeight="1" x14ac:dyDescent="0.2">
      <c r="A226" s="7">
        <v>221</v>
      </c>
      <c r="B226" s="7">
        <v>713</v>
      </c>
      <c r="C226" s="13" t="s">
        <v>1793</v>
      </c>
      <c r="D226" s="7" t="s">
        <v>4554</v>
      </c>
      <c r="E226" s="18" t="s">
        <v>28</v>
      </c>
      <c r="F226" s="3" t="s">
        <v>916</v>
      </c>
      <c r="G226" s="3" t="s">
        <v>917</v>
      </c>
      <c r="H226" s="7">
        <f>IFERROR(VLOOKUP(B226,'📊 Problem Tracker'!$B$4:$F$1200,5,FALSE()),"")</f>
        <v>0</v>
      </c>
      <c r="I226" s="7"/>
      <c r="J226" s="7"/>
      <c r="K226" s="3"/>
      <c r="L226" s="228" t="s">
        <v>919</v>
      </c>
      <c r="M226" s="7" t="s">
        <v>24</v>
      </c>
      <c r="N226" s="176" t="s">
        <v>1096</v>
      </c>
      <c r="O226" s="191" t="str">
        <f>HYPERLINK("https://leetcode.com/problems/subarray-product-less-than-k/","https://leetcode.com/problems/subarray-product-less-than-k/")</f>
        <v>https://leetcode.com/problems/subarray-product-less-than-k/</v>
      </c>
    </row>
    <row r="227" spans="1:15" ht="31.5" customHeight="1" x14ac:dyDescent="0.2">
      <c r="A227" s="118">
        <v>222</v>
      </c>
      <c r="B227" s="118">
        <v>714</v>
      </c>
      <c r="C227" s="119" t="s">
        <v>1795</v>
      </c>
      <c r="D227" s="118" t="s">
        <v>4612</v>
      </c>
      <c r="E227" s="120" t="s">
        <v>28</v>
      </c>
      <c r="F227" s="121" t="s">
        <v>309</v>
      </c>
      <c r="G227" s="121" t="s">
        <v>1042</v>
      </c>
      <c r="H227" s="118">
        <f>IFERROR(VLOOKUP(B227,'📊 Problem Tracker'!$B$4:$F$1200,5,FALSE()),"")</f>
        <v>0</v>
      </c>
      <c r="I227" s="118"/>
      <c r="J227" s="118"/>
      <c r="K227" s="121"/>
      <c r="L227" s="269" t="s">
        <v>508</v>
      </c>
      <c r="M227" s="118" t="s">
        <v>24</v>
      </c>
      <c r="N227" s="180" t="s">
        <v>24</v>
      </c>
      <c r="O227" s="193" t="str">
        <f>HYPERLINK("https://leetcode.com/problems/best-time-to-buy-and-sell-stock-with-transaction-fee/","https://leetcode.com/problems/best-time-to-buy-and-sell-stock-with-transaction-fee/")</f>
        <v>https://leetcode.com/problems/best-time-to-buy-and-sell-stock-with-transaction-fee/</v>
      </c>
    </row>
    <row r="228" spans="1:15" ht="31.5" customHeight="1" x14ac:dyDescent="0.2">
      <c r="A228" s="7">
        <v>223</v>
      </c>
      <c r="B228" s="7">
        <v>724</v>
      </c>
      <c r="C228" s="13" t="s">
        <v>1812</v>
      </c>
      <c r="D228" s="7" t="s">
        <v>4645</v>
      </c>
      <c r="E228" s="21" t="s">
        <v>20</v>
      </c>
      <c r="F228" s="3" t="s">
        <v>1009</v>
      </c>
      <c r="G228" s="3"/>
      <c r="H228" s="7">
        <f>IFERROR(VLOOKUP(B228,'📊 Problem Tracker'!$B$4:$F$1200,5,FALSE()),"")</f>
        <v>0</v>
      </c>
      <c r="I228" s="7"/>
      <c r="J228" s="7"/>
      <c r="K228" s="3"/>
      <c r="L228" s="228" t="s">
        <v>4239</v>
      </c>
      <c r="M228" s="7" t="s">
        <v>24</v>
      </c>
      <c r="N228" s="176" t="s">
        <v>47</v>
      </c>
      <c r="O228" s="191" t="str">
        <f>HYPERLINK("https://leetcode.com/problems/find-pivot-index/","https://leetcode.com/problems/find-pivot-index/")</f>
        <v>https://leetcode.com/problems/find-pivot-index/</v>
      </c>
    </row>
    <row r="229" spans="1:15" ht="31.5" customHeight="1" x14ac:dyDescent="0.2">
      <c r="A229" s="118">
        <v>224</v>
      </c>
      <c r="B229" s="118">
        <v>731</v>
      </c>
      <c r="C229" s="119" t="s">
        <v>1826</v>
      </c>
      <c r="D229" s="118" t="s">
        <v>4680</v>
      </c>
      <c r="E229" s="120" t="s">
        <v>28</v>
      </c>
      <c r="F229" s="121" t="s">
        <v>1798</v>
      </c>
      <c r="G229" s="121" t="s">
        <v>4795</v>
      </c>
      <c r="H229" s="118">
        <f>IFERROR(VLOOKUP(B229,'📊 Problem Tracker'!$B$4:$F$1200,5,FALSE()),"")</f>
        <v>0</v>
      </c>
      <c r="I229" s="118"/>
      <c r="J229" s="118"/>
      <c r="K229" s="121"/>
      <c r="L229" s="269" t="s">
        <v>1077</v>
      </c>
      <c r="M229" s="118" t="s">
        <v>326</v>
      </c>
      <c r="N229" s="180" t="s">
        <v>24</v>
      </c>
      <c r="O229" s="193" t="str">
        <f>HYPERLINK("https://leetcode.com/problems/my-calendar-ii/","https://leetcode.com/problems/my-calendar-ii/")</f>
        <v>https://leetcode.com/problems/my-calendar-ii/</v>
      </c>
    </row>
    <row r="230" spans="1:15" ht="31.5" customHeight="1" x14ac:dyDescent="0.2">
      <c r="A230" s="7">
        <v>225</v>
      </c>
      <c r="B230" s="7">
        <v>733</v>
      </c>
      <c r="C230" s="13" t="s">
        <v>1828</v>
      </c>
      <c r="D230" s="7" t="s">
        <v>4496</v>
      </c>
      <c r="E230" s="21" t="s">
        <v>20</v>
      </c>
      <c r="F230" s="3" t="s">
        <v>637</v>
      </c>
      <c r="G230" s="3" t="s">
        <v>4548</v>
      </c>
      <c r="H230" s="7">
        <f>IFERROR(VLOOKUP(B230,'📊 Problem Tracker'!$B$4:$F$1200,5,FALSE()),"")</f>
        <v>0</v>
      </c>
      <c r="I230" s="7"/>
      <c r="J230" s="7"/>
      <c r="K230" s="3"/>
      <c r="L230" s="228" t="s">
        <v>1830</v>
      </c>
      <c r="M230" s="7" t="s">
        <v>81</v>
      </c>
      <c r="N230" s="176" t="s">
        <v>81</v>
      </c>
      <c r="O230" s="191" t="str">
        <f>HYPERLINK("https://leetcode.com/problems/flood-fill/","https://leetcode.com/problems/flood-fill/")</f>
        <v>https://leetcode.com/problems/flood-fill/</v>
      </c>
    </row>
    <row r="231" spans="1:15" ht="31.5" customHeight="1" x14ac:dyDescent="0.2">
      <c r="A231" s="118">
        <v>226</v>
      </c>
      <c r="B231" s="118">
        <v>735</v>
      </c>
      <c r="C231" s="119" t="s">
        <v>1832</v>
      </c>
      <c r="D231" s="118" t="s">
        <v>4692</v>
      </c>
      <c r="E231" s="120" t="s">
        <v>28</v>
      </c>
      <c r="F231" s="121" t="s">
        <v>1472</v>
      </c>
      <c r="G231" s="121" t="s">
        <v>540</v>
      </c>
      <c r="H231" s="118">
        <f>IFERROR(VLOOKUP(B231,'📊 Problem Tracker'!$B$4:$F$1200,5,FALSE()),"")</f>
        <v>0</v>
      </c>
      <c r="I231" s="118"/>
      <c r="J231" s="118"/>
      <c r="K231" s="121"/>
      <c r="L231" s="269" t="s">
        <v>542</v>
      </c>
      <c r="M231" s="118" t="s">
        <v>24</v>
      </c>
      <c r="N231" s="180" t="s">
        <v>24</v>
      </c>
      <c r="O231" s="193" t="str">
        <f>HYPERLINK("https://leetcode.com/problems/asteroid-collision/","https://leetcode.com/problems/asteroid-collision/")</f>
        <v>https://leetcode.com/problems/asteroid-collision/</v>
      </c>
    </row>
    <row r="232" spans="1:15" ht="31.5" customHeight="1" x14ac:dyDescent="0.2">
      <c r="A232" s="7">
        <v>227</v>
      </c>
      <c r="B232" s="7">
        <v>737</v>
      </c>
      <c r="C232" s="13" t="s">
        <v>1834</v>
      </c>
      <c r="D232" s="7" t="s">
        <v>4577</v>
      </c>
      <c r="E232" s="18" t="s">
        <v>28</v>
      </c>
      <c r="F232" s="3" t="s">
        <v>1050</v>
      </c>
      <c r="G232" s="3" t="s">
        <v>1736</v>
      </c>
      <c r="H232" s="7">
        <f>IFERROR(VLOOKUP(B232,'📊 Problem Tracker'!$B$4:$F$1200,5,FALSE()),"")</f>
        <v>0</v>
      </c>
      <c r="I232" s="7"/>
      <c r="J232" s="7"/>
      <c r="K232" s="3"/>
      <c r="L232" s="228" t="s">
        <v>619</v>
      </c>
      <c r="M232" s="7" t="s">
        <v>648</v>
      </c>
      <c r="N232" s="176" t="s">
        <v>648</v>
      </c>
      <c r="O232" s="191" t="str">
        <f>HYPERLINK("https://leetcode.com/problems/sentence-similarity-ii/","https://leetcode.com/problems/sentence-similarity-ii/")</f>
        <v>https://leetcode.com/problems/sentence-similarity-ii/</v>
      </c>
    </row>
    <row r="233" spans="1:15" ht="31.5" customHeight="1" x14ac:dyDescent="0.2">
      <c r="A233" s="118">
        <v>228</v>
      </c>
      <c r="B233" s="118">
        <v>759</v>
      </c>
      <c r="C233" s="119" t="s">
        <v>1864</v>
      </c>
      <c r="D233" s="118" t="s">
        <v>4694</v>
      </c>
      <c r="E233" s="122" t="s">
        <v>42</v>
      </c>
      <c r="F233" s="121" t="s">
        <v>1037</v>
      </c>
      <c r="G233" s="121" t="s">
        <v>4353</v>
      </c>
      <c r="H233" s="118">
        <f>IFERROR(VLOOKUP(B233,'📊 Problem Tracker'!$B$4:$F$1200,5,FALSE()),"")</f>
        <v>0</v>
      </c>
      <c r="I233" s="118"/>
      <c r="J233" s="118"/>
      <c r="K233" s="121"/>
      <c r="L233" s="269" t="s">
        <v>959</v>
      </c>
      <c r="M233" s="118" t="s">
        <v>960</v>
      </c>
      <c r="N233" s="180" t="s">
        <v>153</v>
      </c>
      <c r="O233" s="193" t="str">
        <f>HYPERLINK("https://leetcode.com/problems/employee-free-time/","https://leetcode.com/problems/employee-free-time/")</f>
        <v>https://leetcode.com/problems/employee-free-time/</v>
      </c>
    </row>
    <row r="234" spans="1:15" ht="31.5" customHeight="1" x14ac:dyDescent="0.2">
      <c r="A234" s="7">
        <v>229</v>
      </c>
      <c r="B234" s="7">
        <v>769</v>
      </c>
      <c r="C234" s="13" t="s">
        <v>1882</v>
      </c>
      <c r="D234" s="7" t="s">
        <v>4646</v>
      </c>
      <c r="E234" s="18" t="s">
        <v>28</v>
      </c>
      <c r="F234" s="3" t="s">
        <v>1472</v>
      </c>
      <c r="G234" s="3" t="s">
        <v>4796</v>
      </c>
      <c r="H234" s="7">
        <f>IFERROR(VLOOKUP(B234,'📊 Problem Tracker'!$B$4:$F$1200,5,FALSE()),"")</f>
        <v>0</v>
      </c>
      <c r="I234" s="7"/>
      <c r="J234" s="7"/>
      <c r="K234" s="3"/>
      <c r="L234" s="228" t="s">
        <v>542</v>
      </c>
      <c r="M234" s="7" t="s">
        <v>326</v>
      </c>
      <c r="N234" s="176" t="s">
        <v>24</v>
      </c>
      <c r="O234" s="191" t="str">
        <f>HYPERLINK("https://leetcode.com/problems/max-chunks-to-make-sorted/","https://leetcode.com/problems/max-chunks-to-make-sorted/")</f>
        <v>https://leetcode.com/problems/max-chunks-to-make-sorted/</v>
      </c>
    </row>
    <row r="235" spans="1:15" ht="31.5" customHeight="1" x14ac:dyDescent="0.2">
      <c r="A235" s="118">
        <v>230</v>
      </c>
      <c r="B235" s="118">
        <v>787</v>
      </c>
      <c r="C235" s="119" t="s">
        <v>1898</v>
      </c>
      <c r="D235" s="118" t="s">
        <v>4501</v>
      </c>
      <c r="E235" s="120" t="s">
        <v>28</v>
      </c>
      <c r="F235" s="121" t="s">
        <v>1899</v>
      </c>
      <c r="G235" s="121" t="s">
        <v>4302</v>
      </c>
      <c r="H235" s="118">
        <f>IFERROR(VLOOKUP(B235,'📊 Problem Tracker'!$B$4:$F$1200,5,FALSE()),"")</f>
        <v>0</v>
      </c>
      <c r="I235" s="118"/>
      <c r="J235" s="118"/>
      <c r="K235" s="121"/>
      <c r="L235" s="269" t="s">
        <v>508</v>
      </c>
      <c r="M235" s="118" t="s">
        <v>648</v>
      </c>
      <c r="N235" s="180" t="s">
        <v>648</v>
      </c>
      <c r="O235" s="193" t="str">
        <f>HYPERLINK("https://leetcode.com/problems/cheapest-flights-within-k-stops/","https://leetcode.com/problems/cheapest-flights-within-k-stops/")</f>
        <v>https://leetcode.com/problems/cheapest-flights-within-k-stops/</v>
      </c>
    </row>
    <row r="236" spans="1:15" ht="31.5" customHeight="1" x14ac:dyDescent="0.2">
      <c r="A236" s="7">
        <v>231</v>
      </c>
      <c r="B236" s="7">
        <v>820</v>
      </c>
      <c r="C236" s="13" t="s">
        <v>1944</v>
      </c>
      <c r="D236" s="7" t="s">
        <v>4658</v>
      </c>
      <c r="E236" s="18" t="s">
        <v>28</v>
      </c>
      <c r="F236" s="3" t="s">
        <v>1239</v>
      </c>
      <c r="G236" s="3" t="s">
        <v>4797</v>
      </c>
      <c r="H236" s="7">
        <f>IFERROR(VLOOKUP(B236,'📊 Problem Tracker'!$B$4:$F$1200,5,FALSE()),"")</f>
        <v>0</v>
      </c>
      <c r="I236" s="7"/>
      <c r="J236" s="7"/>
      <c r="K236" s="3"/>
      <c r="L236" s="228" t="s">
        <v>927</v>
      </c>
      <c r="M236" s="7" t="s">
        <v>912</v>
      </c>
      <c r="N236" s="176" t="s">
        <v>913</v>
      </c>
      <c r="O236" s="191" t="str">
        <f>HYPERLINK("https://leetcode.com/problems/short-encoding-of-words/","https://leetcode.com/problems/short-encoding-of-words/")</f>
        <v>https://leetcode.com/problems/short-encoding-of-words/</v>
      </c>
    </row>
    <row r="237" spans="1:15" ht="31.5" customHeight="1" x14ac:dyDescent="0.2">
      <c r="A237" s="118">
        <v>232</v>
      </c>
      <c r="B237" s="118">
        <v>824</v>
      </c>
      <c r="C237" s="119" t="s">
        <v>1947</v>
      </c>
      <c r="D237" s="118" t="s">
        <v>4798</v>
      </c>
      <c r="E237" s="123" t="s">
        <v>20</v>
      </c>
      <c r="F237" s="121" t="s">
        <v>98</v>
      </c>
      <c r="G237" s="121" t="s">
        <v>98</v>
      </c>
      <c r="H237" s="118">
        <f>IFERROR(VLOOKUP(B237,'📊 Problem Tracker'!$B$4:$F$1200,5,FALSE()),"")</f>
        <v>0</v>
      </c>
      <c r="I237" s="118"/>
      <c r="J237" s="118"/>
      <c r="K237" s="121"/>
      <c r="L237" s="269" t="s">
        <v>750</v>
      </c>
      <c r="M237" s="118" t="s">
        <v>24</v>
      </c>
      <c r="N237" s="180" t="s">
        <v>24</v>
      </c>
      <c r="O237" s="193" t="str">
        <f>HYPERLINK("https://leetcode.com/problems/goat-latin/","https://leetcode.com/problems/goat-latin/")</f>
        <v>https://leetcode.com/problems/goat-latin/</v>
      </c>
    </row>
    <row r="238" spans="1:15" ht="31.5" customHeight="1" x14ac:dyDescent="0.2">
      <c r="A238" s="7">
        <v>233</v>
      </c>
      <c r="B238" s="7">
        <v>839</v>
      </c>
      <c r="C238" s="13" t="s">
        <v>1960</v>
      </c>
      <c r="D238" s="7" t="s">
        <v>4563</v>
      </c>
      <c r="E238" s="20" t="s">
        <v>42</v>
      </c>
      <c r="F238" s="3" t="s">
        <v>1050</v>
      </c>
      <c r="G238" s="3" t="s">
        <v>1736</v>
      </c>
      <c r="H238" s="7">
        <f>IFERROR(VLOOKUP(B238,'📊 Problem Tracker'!$B$4:$F$1200,5,FALSE()),"")</f>
        <v>0</v>
      </c>
      <c r="I238" s="7"/>
      <c r="J238" s="7"/>
      <c r="K238" s="3"/>
      <c r="L238" s="228" t="s">
        <v>619</v>
      </c>
      <c r="M238" s="7" t="s">
        <v>648</v>
      </c>
      <c r="N238" s="176" t="s">
        <v>648</v>
      </c>
      <c r="O238" s="191" t="str">
        <f>HYPERLINK("https://leetcode.com/problems/similar-string-groups/","https://leetcode.com/problems/similar-string-groups/")</f>
        <v>https://leetcode.com/problems/similar-string-groups/</v>
      </c>
    </row>
    <row r="239" spans="1:15" ht="31.5" customHeight="1" x14ac:dyDescent="0.2">
      <c r="A239" s="118">
        <v>234</v>
      </c>
      <c r="B239" s="118">
        <v>841</v>
      </c>
      <c r="C239" s="119" t="s">
        <v>1967</v>
      </c>
      <c r="D239" s="118" t="s">
        <v>4799</v>
      </c>
      <c r="E239" s="120" t="s">
        <v>28</v>
      </c>
      <c r="F239" s="121" t="s">
        <v>1743</v>
      </c>
      <c r="G239" s="121" t="s">
        <v>4548</v>
      </c>
      <c r="H239" s="118">
        <f>IFERROR(VLOOKUP(B239,'📊 Problem Tracker'!$B$4:$F$1200,5,FALSE()),"")</f>
        <v>0</v>
      </c>
      <c r="I239" s="118"/>
      <c r="J239" s="118"/>
      <c r="K239" s="121"/>
      <c r="L239" s="269" t="s">
        <v>619</v>
      </c>
      <c r="M239" s="118" t="s">
        <v>648</v>
      </c>
      <c r="N239" s="180" t="s">
        <v>649</v>
      </c>
      <c r="O239" s="193" t="str">
        <f>HYPERLINK("https://leetcode.com/problems/keys-and-rooms/","https://leetcode.com/problems/keys-and-rooms/")</f>
        <v>https://leetcode.com/problems/keys-and-rooms/</v>
      </c>
    </row>
    <row r="240" spans="1:15" ht="31.5" customHeight="1" x14ac:dyDescent="0.2">
      <c r="A240" s="7">
        <v>235</v>
      </c>
      <c r="B240" s="7">
        <v>843</v>
      </c>
      <c r="C240" s="13" t="s">
        <v>1969</v>
      </c>
      <c r="D240" s="7" t="s">
        <v>4649</v>
      </c>
      <c r="E240" s="20" t="s">
        <v>42</v>
      </c>
      <c r="F240" s="3" t="s">
        <v>4800</v>
      </c>
      <c r="G240" s="3" t="s">
        <v>4700</v>
      </c>
      <c r="H240" s="7">
        <f>IFERROR(VLOOKUP(B240,'📊 Problem Tracker'!$B$4:$F$1200,5,FALSE()),"")</f>
        <v>0</v>
      </c>
      <c r="I240" s="7"/>
      <c r="J240" s="7"/>
      <c r="K240" s="3"/>
      <c r="L240" s="228" t="s">
        <v>705</v>
      </c>
      <c r="M240" s="7" t="s">
        <v>341</v>
      </c>
      <c r="N240" s="176" t="s">
        <v>24</v>
      </c>
      <c r="O240" s="191" t="str">
        <f>HYPERLINK("https://leetcode.com/problems/guess-the-word/","https://leetcode.com/problems/guess-the-word/")</f>
        <v>https://leetcode.com/problems/guess-the-word/</v>
      </c>
    </row>
    <row r="241" spans="1:15" ht="31.5" customHeight="1" x14ac:dyDescent="0.2">
      <c r="A241" s="118">
        <v>236</v>
      </c>
      <c r="B241" s="118">
        <v>849</v>
      </c>
      <c r="C241" s="119" t="s">
        <v>1979</v>
      </c>
      <c r="D241" s="118" t="s">
        <v>4801</v>
      </c>
      <c r="E241" s="120" t="s">
        <v>28</v>
      </c>
      <c r="F241" s="121" t="s">
        <v>84</v>
      </c>
      <c r="G241" s="121" t="s">
        <v>689</v>
      </c>
      <c r="H241" s="118">
        <f>IFERROR(VLOOKUP(B241,'📊 Problem Tracker'!$B$4:$F$1200,5,FALSE()),"")</f>
        <v>0</v>
      </c>
      <c r="I241" s="118"/>
      <c r="J241" s="118"/>
      <c r="K241" s="121"/>
      <c r="L241" s="269" t="s">
        <v>690</v>
      </c>
      <c r="M241" s="118" t="s">
        <v>24</v>
      </c>
      <c r="N241" s="180" t="s">
        <v>1096</v>
      </c>
      <c r="O241" s="193" t="str">
        <f>HYPERLINK("https://leetcode.com/problems/maximize-distance-to-closest-person/","https://leetcode.com/problems/maximize-distance-to-closest-person/")</f>
        <v>https://leetcode.com/problems/maximize-distance-to-closest-person/</v>
      </c>
    </row>
    <row r="242" spans="1:15" ht="31.5" customHeight="1" x14ac:dyDescent="0.2">
      <c r="A242" s="7">
        <v>237</v>
      </c>
      <c r="B242" s="7">
        <v>855</v>
      </c>
      <c r="C242" s="13" t="s">
        <v>1987</v>
      </c>
      <c r="D242" s="7" t="s">
        <v>4611</v>
      </c>
      <c r="E242" s="18" t="s">
        <v>28</v>
      </c>
      <c r="F242" s="3" t="s">
        <v>1798</v>
      </c>
      <c r="G242" s="3" t="s">
        <v>4795</v>
      </c>
      <c r="H242" s="7">
        <f>IFERROR(VLOOKUP(B242,'📊 Problem Tracker'!$B$4:$F$1200,5,FALSE()),"")</f>
        <v>0</v>
      </c>
      <c r="I242" s="7"/>
      <c r="J242" s="7"/>
      <c r="K242" s="3"/>
      <c r="L242" s="228" t="s">
        <v>1077</v>
      </c>
      <c r="M242" s="7" t="s">
        <v>326</v>
      </c>
      <c r="N242" s="176" t="s">
        <v>24</v>
      </c>
      <c r="O242" s="191" t="str">
        <f>HYPERLINK("https://leetcode.com/problems/exam-room/","https://leetcode.com/problems/exam-room/")</f>
        <v>https://leetcode.com/problems/exam-room/</v>
      </c>
    </row>
    <row r="243" spans="1:15" ht="31.5" customHeight="1" x14ac:dyDescent="0.2">
      <c r="A243" s="118">
        <v>238</v>
      </c>
      <c r="B243" s="118">
        <v>863</v>
      </c>
      <c r="C243" s="119" t="s">
        <v>1994</v>
      </c>
      <c r="D243" s="118" t="s">
        <v>4802</v>
      </c>
      <c r="E243" s="120" t="s">
        <v>28</v>
      </c>
      <c r="F243" s="121" t="s">
        <v>1995</v>
      </c>
      <c r="G243" s="121" t="s">
        <v>4803</v>
      </c>
      <c r="H243" s="118">
        <f>IFERROR(VLOOKUP(B243,'📊 Problem Tracker'!$B$4:$F$1200,5,FALSE()),"")</f>
        <v>0</v>
      </c>
      <c r="I243" s="118"/>
      <c r="J243" s="118"/>
      <c r="K243" s="121"/>
      <c r="L243" s="269" t="s">
        <v>571</v>
      </c>
      <c r="M243" s="118" t="s">
        <v>24</v>
      </c>
      <c r="N243" s="180" t="s">
        <v>24</v>
      </c>
      <c r="O243" s="193" t="str">
        <f>HYPERLINK("https://leetcode.com/problems/all-nodes-distance-k-in-binary-tree/","https://leetcode.com/problems/all-nodes-distance-k-in-binary-tree/")</f>
        <v>https://leetcode.com/problems/all-nodes-distance-k-in-binary-tree/</v>
      </c>
    </row>
    <row r="244" spans="1:15" ht="31.5" customHeight="1" x14ac:dyDescent="0.2">
      <c r="A244" s="7">
        <v>239</v>
      </c>
      <c r="B244" s="7">
        <v>867</v>
      </c>
      <c r="C244" s="13" t="s">
        <v>2000</v>
      </c>
      <c r="D244" s="7" t="s">
        <v>4701</v>
      </c>
      <c r="E244" s="21" t="s">
        <v>20</v>
      </c>
      <c r="F244" s="3" t="s">
        <v>283</v>
      </c>
      <c r="G244" s="3" t="s">
        <v>4187</v>
      </c>
      <c r="H244" s="7">
        <f>IFERROR(VLOOKUP(B244,'📊 Problem Tracker'!$B$4:$F$1200,5,FALSE()),"")</f>
        <v>0</v>
      </c>
      <c r="I244" s="7"/>
      <c r="J244" s="7"/>
      <c r="K244" s="3"/>
      <c r="L244" s="228" t="s">
        <v>654</v>
      </c>
      <c r="M244" s="7" t="s">
        <v>81</v>
      </c>
      <c r="N244" s="176" t="s">
        <v>81</v>
      </c>
      <c r="O244" s="191" t="str">
        <f>HYPERLINK("https://leetcode.com/problems/transpose-matrix/","https://leetcode.com/problems/transpose-matrix/")</f>
        <v>https://leetcode.com/problems/transpose-matrix/</v>
      </c>
    </row>
    <row r="245" spans="1:15" ht="31.5" customHeight="1" x14ac:dyDescent="0.2">
      <c r="A245" s="118">
        <v>240</v>
      </c>
      <c r="B245" s="118">
        <v>874</v>
      </c>
      <c r="C245" s="119" t="s">
        <v>2010</v>
      </c>
      <c r="D245" s="118" t="s">
        <v>4770</v>
      </c>
      <c r="E245" s="120" t="s">
        <v>28</v>
      </c>
      <c r="F245" s="121" t="s">
        <v>19</v>
      </c>
      <c r="G245" s="121" t="s">
        <v>4804</v>
      </c>
      <c r="H245" s="118">
        <f>IFERROR(VLOOKUP(B245,'📊 Problem Tracker'!$B$4:$F$1200,5,FALSE()),"")</f>
        <v>0</v>
      </c>
      <c r="I245" s="118"/>
      <c r="J245" s="118"/>
      <c r="K245" s="121"/>
      <c r="L245" s="269" t="s">
        <v>705</v>
      </c>
      <c r="M245" s="118" t="s">
        <v>24</v>
      </c>
      <c r="N245" s="180" t="s">
        <v>24</v>
      </c>
      <c r="O245" s="193" t="str">
        <f>HYPERLINK("https://leetcode.com/problems/walking-robot-simulation/","https://leetcode.com/problems/walking-robot-simulation/")</f>
        <v>https://leetcode.com/problems/walking-robot-simulation/</v>
      </c>
    </row>
    <row r="246" spans="1:15" ht="31.5" customHeight="1" x14ac:dyDescent="0.2">
      <c r="A246" s="7">
        <v>241</v>
      </c>
      <c r="B246" s="7">
        <v>876</v>
      </c>
      <c r="C246" s="13" t="s">
        <v>2017</v>
      </c>
      <c r="D246" s="7" t="s">
        <v>4702</v>
      </c>
      <c r="E246" s="21" t="s">
        <v>20</v>
      </c>
      <c r="F246" s="3" t="s">
        <v>679</v>
      </c>
      <c r="G246" s="3" t="s">
        <v>4034</v>
      </c>
      <c r="H246" s="7">
        <f>IFERROR(VLOOKUP(B246,'📊 Problem Tracker'!$B$4:$F$1200,5,FALSE()),"")</f>
        <v>0</v>
      </c>
      <c r="I246" s="7"/>
      <c r="J246" s="7"/>
      <c r="K246" s="3"/>
      <c r="L246" s="228" t="s">
        <v>690</v>
      </c>
      <c r="M246" s="7" t="s">
        <v>24</v>
      </c>
      <c r="N246" s="176" t="s">
        <v>47</v>
      </c>
      <c r="O246" s="191" t="str">
        <f>HYPERLINK("https://leetcode.com/problems/middle-of-the-linked-list/","https://leetcode.com/problems/middle-of-the-linked-list/")</f>
        <v>https://leetcode.com/problems/middle-of-the-linked-list/</v>
      </c>
    </row>
    <row r="247" spans="1:15" ht="31.5" customHeight="1" x14ac:dyDescent="0.2">
      <c r="A247" s="118">
        <v>242</v>
      </c>
      <c r="B247" s="118">
        <v>885</v>
      </c>
      <c r="C247" s="119" t="s">
        <v>2027</v>
      </c>
      <c r="D247" s="118" t="s">
        <v>4805</v>
      </c>
      <c r="E247" s="120" t="s">
        <v>28</v>
      </c>
      <c r="F247" s="121" t="s">
        <v>4806</v>
      </c>
      <c r="G247" s="121" t="s">
        <v>4807</v>
      </c>
      <c r="H247" s="118">
        <f>IFERROR(VLOOKUP(B247,'📊 Problem Tracker'!$B$4:$F$1200,5,FALSE()),"")</f>
        <v>0</v>
      </c>
      <c r="I247" s="118"/>
      <c r="J247" s="118"/>
      <c r="K247" s="121"/>
      <c r="L247" s="269" t="s">
        <v>230</v>
      </c>
      <c r="M247" s="118" t="s">
        <v>81</v>
      </c>
      <c r="N247" s="180" t="s">
        <v>81</v>
      </c>
      <c r="O247" s="193" t="str">
        <f>HYPERLINK("https://leetcode.com/problems/spiral-matrix-iii/","https://leetcode.com/problems/spiral-matrix-iii/")</f>
        <v>https://leetcode.com/problems/spiral-matrix-iii/</v>
      </c>
    </row>
    <row r="248" spans="1:15" ht="31.5" customHeight="1" x14ac:dyDescent="0.2">
      <c r="A248" s="7">
        <v>243</v>
      </c>
      <c r="B248" s="7">
        <v>889</v>
      </c>
      <c r="C248" s="13" t="s">
        <v>2036</v>
      </c>
      <c r="D248" s="7" t="s">
        <v>4808</v>
      </c>
      <c r="E248" s="18" t="s">
        <v>28</v>
      </c>
      <c r="F248" s="3" t="s">
        <v>500</v>
      </c>
      <c r="G248" s="3" t="s">
        <v>4256</v>
      </c>
      <c r="H248" s="7">
        <f>IFERROR(VLOOKUP(B248,'📊 Problem Tracker'!$B$4:$F$1200,5,FALSE()),"")</f>
        <v>0</v>
      </c>
      <c r="I248" s="7"/>
      <c r="J248" s="7"/>
      <c r="K248" s="3"/>
      <c r="L248" s="228" t="s">
        <v>571</v>
      </c>
      <c r="M248" s="7" t="s">
        <v>24</v>
      </c>
      <c r="N248" s="176" t="s">
        <v>24</v>
      </c>
      <c r="O248" s="191" t="str">
        <f>HYPERLINK("https://leetcode.com/problems/construct-binary-tree-from-preorder-and-postorder-traversal/","https://leetcode.com/problems/construct-binary-tree-from-preorder-and-postorder-traversal/")</f>
        <v>https://leetcode.com/problems/construct-binary-tree-from-preorder-and-postorder-traversal/</v>
      </c>
    </row>
    <row r="249" spans="1:15" ht="31.5" customHeight="1" x14ac:dyDescent="0.2">
      <c r="A249" s="118">
        <v>244</v>
      </c>
      <c r="B249" s="118">
        <v>895</v>
      </c>
      <c r="C249" s="119" t="s">
        <v>2038</v>
      </c>
      <c r="D249" s="118" t="s">
        <v>4495</v>
      </c>
      <c r="E249" s="122" t="s">
        <v>42</v>
      </c>
      <c r="F249" s="121" t="s">
        <v>4314</v>
      </c>
      <c r="G249" s="121" t="s">
        <v>4809</v>
      </c>
      <c r="H249" s="118">
        <f>IFERROR(VLOOKUP(B249,'📊 Problem Tracker'!$B$4:$F$1200,5,FALSE()),"")</f>
        <v>0</v>
      </c>
      <c r="I249" s="118"/>
      <c r="J249" s="118"/>
      <c r="K249" s="121"/>
      <c r="L249" s="269" t="s">
        <v>959</v>
      </c>
      <c r="M249" s="118" t="s">
        <v>960</v>
      </c>
      <c r="N249" s="180" t="s">
        <v>153</v>
      </c>
      <c r="O249" s="193" t="str">
        <f>HYPERLINK("https://leetcode.com/problems/maximum-frequency-stack/","https://leetcode.com/problems/maximum-frequency-stack/")</f>
        <v>https://leetcode.com/problems/maximum-frequency-stack/</v>
      </c>
    </row>
    <row r="250" spans="1:15" ht="31.5" customHeight="1" x14ac:dyDescent="0.2">
      <c r="A250" s="7">
        <v>245</v>
      </c>
      <c r="B250" s="7">
        <v>907</v>
      </c>
      <c r="C250" s="13" t="s">
        <v>2054</v>
      </c>
      <c r="D250" s="7" t="s">
        <v>4483</v>
      </c>
      <c r="E250" s="18" t="s">
        <v>28</v>
      </c>
      <c r="F250" s="3" t="s">
        <v>466</v>
      </c>
      <c r="G250" s="3" t="s">
        <v>1473</v>
      </c>
      <c r="H250" s="7">
        <f>IFERROR(VLOOKUP(B250,'📊 Problem Tracker'!$B$4:$F$1200,5,FALSE()),"")</f>
        <v>0</v>
      </c>
      <c r="I250" s="7"/>
      <c r="J250" s="7"/>
      <c r="K250" s="3"/>
      <c r="L250" s="228" t="s">
        <v>542</v>
      </c>
      <c r="M250" s="7" t="s">
        <v>24</v>
      </c>
      <c r="N250" s="176" t="s">
        <v>24</v>
      </c>
      <c r="O250" s="191" t="str">
        <f>HYPERLINK("https://leetcode.com/problems/sum-of-subarray-minimums/","https://leetcode.com/problems/sum-of-subarray-minimums/")</f>
        <v>https://leetcode.com/problems/sum-of-subarray-minimums/</v>
      </c>
    </row>
    <row r="251" spans="1:15" ht="31.5" customHeight="1" x14ac:dyDescent="0.2">
      <c r="A251" s="118">
        <v>246</v>
      </c>
      <c r="B251" s="118">
        <v>909</v>
      </c>
      <c r="C251" s="119" t="s">
        <v>2056</v>
      </c>
      <c r="D251" s="118" t="s">
        <v>4810</v>
      </c>
      <c r="E251" s="120" t="s">
        <v>28</v>
      </c>
      <c r="F251" s="121" t="s">
        <v>1106</v>
      </c>
      <c r="G251" s="121" t="s">
        <v>4258</v>
      </c>
      <c r="H251" s="118">
        <f>IFERROR(VLOOKUP(B251,'📊 Problem Tracker'!$B$4:$F$1200,5,FALSE()),"")</f>
        <v>0</v>
      </c>
      <c r="I251" s="118"/>
      <c r="J251" s="118"/>
      <c r="K251" s="121"/>
      <c r="L251" s="269" t="s">
        <v>619</v>
      </c>
      <c r="M251" s="118" t="s">
        <v>81</v>
      </c>
      <c r="N251" s="180" t="s">
        <v>81</v>
      </c>
      <c r="O251" s="193" t="str">
        <f>HYPERLINK("https://leetcode.com/problems/snakes-and-ladders/","https://leetcode.com/problems/snakes-and-ladders/")</f>
        <v>https://leetcode.com/problems/snakes-and-ladders/</v>
      </c>
    </row>
    <row r="252" spans="1:15" ht="31.5" customHeight="1" x14ac:dyDescent="0.2">
      <c r="A252" s="7">
        <v>247</v>
      </c>
      <c r="B252" s="7">
        <v>912</v>
      </c>
      <c r="C252" s="13" t="s">
        <v>2058</v>
      </c>
      <c r="D252" s="7" t="s">
        <v>4626</v>
      </c>
      <c r="E252" s="18" t="s">
        <v>28</v>
      </c>
      <c r="F252" s="3" t="s">
        <v>1075</v>
      </c>
      <c r="G252" s="3" t="s">
        <v>4249</v>
      </c>
      <c r="H252" s="7">
        <f>IFERROR(VLOOKUP(B252,'📊 Problem Tracker'!$B$4:$F$1200,5,FALSE()),"")</f>
        <v>0</v>
      </c>
      <c r="I252" s="7"/>
      <c r="J252" s="7"/>
      <c r="K252" s="3"/>
      <c r="L252" s="228" t="s">
        <v>1077</v>
      </c>
      <c r="M252" s="7" t="s">
        <v>326</v>
      </c>
      <c r="N252" s="176" t="s">
        <v>24</v>
      </c>
      <c r="O252" s="191" t="str">
        <f>HYPERLINK("https://leetcode.com/problems/sort-an-array/","https://leetcode.com/problems/sort-an-array/")</f>
        <v>https://leetcode.com/problems/sort-an-array/</v>
      </c>
    </row>
    <row r="253" spans="1:15" ht="31.5" customHeight="1" x14ac:dyDescent="0.2">
      <c r="A253" s="118">
        <v>248</v>
      </c>
      <c r="B253" s="118">
        <v>918</v>
      </c>
      <c r="C253" s="119" t="s">
        <v>2060</v>
      </c>
      <c r="D253" s="118" t="s">
        <v>4600</v>
      </c>
      <c r="E253" s="120" t="s">
        <v>28</v>
      </c>
      <c r="F253" s="121" t="s">
        <v>309</v>
      </c>
      <c r="G253" s="121" t="s">
        <v>1042</v>
      </c>
      <c r="H253" s="118">
        <f>IFERROR(VLOOKUP(B253,'📊 Problem Tracker'!$B$4:$F$1200,5,FALSE()),"")</f>
        <v>0</v>
      </c>
      <c r="I253" s="118"/>
      <c r="J253" s="118"/>
      <c r="K253" s="121"/>
      <c r="L253" s="269" t="s">
        <v>508</v>
      </c>
      <c r="M253" s="118" t="s">
        <v>24</v>
      </c>
      <c r="N253" s="180" t="s">
        <v>24</v>
      </c>
      <c r="O253" s="193" t="str">
        <f>HYPERLINK("https://leetcode.com/problems/maximum-sum-circular-subarray/","https://leetcode.com/problems/maximum-sum-circular-subarray/")</f>
        <v>https://leetcode.com/problems/maximum-sum-circular-subarray/</v>
      </c>
    </row>
    <row r="254" spans="1:15" ht="31.5" customHeight="1" x14ac:dyDescent="0.2">
      <c r="A254" s="7">
        <v>249</v>
      </c>
      <c r="B254" s="7">
        <v>931</v>
      </c>
      <c r="C254" s="13" t="s">
        <v>2068</v>
      </c>
      <c r="D254" s="7" t="s">
        <v>4688</v>
      </c>
      <c r="E254" s="18" t="s">
        <v>28</v>
      </c>
      <c r="F254" s="3" t="s">
        <v>360</v>
      </c>
      <c r="G254" s="3" t="s">
        <v>1042</v>
      </c>
      <c r="H254" s="7">
        <f>IFERROR(VLOOKUP(B254,'📊 Problem Tracker'!$B$4:$F$1200,5,FALSE()),"")</f>
        <v>0</v>
      </c>
      <c r="I254" s="7"/>
      <c r="J254" s="7"/>
      <c r="K254" s="3"/>
      <c r="L254" s="228" t="s">
        <v>508</v>
      </c>
      <c r="M254" s="7" t="s">
        <v>341</v>
      </c>
      <c r="N254" s="176" t="s">
        <v>24</v>
      </c>
      <c r="O254" s="191" t="str">
        <f>HYPERLINK("https://leetcode.com/problems/minimum-falling-path-sum/","https://leetcode.com/problems/minimum-falling-path-sum/")</f>
        <v>https://leetcode.com/problems/minimum-falling-path-sum/</v>
      </c>
    </row>
    <row r="255" spans="1:15" ht="31.5" customHeight="1" x14ac:dyDescent="0.2">
      <c r="A255" s="118">
        <v>250</v>
      </c>
      <c r="B255" s="118">
        <v>933</v>
      </c>
      <c r="C255" s="119" t="s">
        <v>2070</v>
      </c>
      <c r="D255" s="118" t="s">
        <v>4811</v>
      </c>
      <c r="E255" s="123" t="s">
        <v>20</v>
      </c>
      <c r="F255" s="121" t="s">
        <v>1298</v>
      </c>
      <c r="G255" s="121" t="s">
        <v>4812</v>
      </c>
      <c r="H255" s="118">
        <f>IFERROR(VLOOKUP(B255,'📊 Problem Tracker'!$B$4:$F$1200,5,FALSE()),"")</f>
        <v>0</v>
      </c>
      <c r="I255" s="118"/>
      <c r="J255" s="118"/>
      <c r="K255" s="121"/>
      <c r="L255" s="269" t="s">
        <v>4239</v>
      </c>
      <c r="M255" s="118" t="s">
        <v>24</v>
      </c>
      <c r="N255" s="180" t="s">
        <v>24</v>
      </c>
      <c r="O255" s="193" t="str">
        <f>HYPERLINK("https://leetcode.com/problems/number-of-recent-calls/","https://leetcode.com/problems/number-of-recent-calls/")</f>
        <v>https://leetcode.com/problems/number-of-recent-calls/</v>
      </c>
    </row>
    <row r="256" spans="1:15" ht="31.5" customHeight="1" x14ac:dyDescent="0.2">
      <c r="A256" s="7">
        <v>251</v>
      </c>
      <c r="B256" s="7">
        <v>953</v>
      </c>
      <c r="C256" s="13" t="s">
        <v>2090</v>
      </c>
      <c r="D256" s="7" t="s">
        <v>4813</v>
      </c>
      <c r="E256" s="21" t="s">
        <v>20</v>
      </c>
      <c r="F256" s="3" t="s">
        <v>897</v>
      </c>
      <c r="G256" s="3" t="s">
        <v>4244</v>
      </c>
      <c r="H256" s="7">
        <f>IFERROR(VLOOKUP(B256,'📊 Problem Tracker'!$B$4:$F$1200,5,FALSE()),"")</f>
        <v>0</v>
      </c>
      <c r="I256" s="7"/>
      <c r="J256" s="7"/>
      <c r="K256" s="3"/>
      <c r="L256" s="228" t="s">
        <v>705</v>
      </c>
      <c r="M256" s="7" t="s">
        <v>24</v>
      </c>
      <c r="N256" s="176" t="s">
        <v>24</v>
      </c>
      <c r="O256" s="191" t="str">
        <f>HYPERLINK("https://leetcode.com/problems/verifying-an-alien-dictionary/","https://leetcode.com/problems/verifying-an-alien-dictionary/")</f>
        <v>https://leetcode.com/problems/verifying-an-alien-dictionary/</v>
      </c>
    </row>
    <row r="257" spans="1:15" ht="31.5" customHeight="1" x14ac:dyDescent="0.2">
      <c r="A257" s="118">
        <v>252</v>
      </c>
      <c r="B257" s="118">
        <v>973</v>
      </c>
      <c r="C257" s="119" t="s">
        <v>2112</v>
      </c>
      <c r="D257" s="118" t="s">
        <v>4703</v>
      </c>
      <c r="E257" s="120" t="s">
        <v>28</v>
      </c>
      <c r="F257" s="121" t="s">
        <v>2113</v>
      </c>
      <c r="G257" s="121" t="s">
        <v>4814</v>
      </c>
      <c r="H257" s="118">
        <f>IFERROR(VLOOKUP(B257,'📊 Problem Tracker'!$B$4:$F$1200,5,FALSE()),"")</f>
        <v>0</v>
      </c>
      <c r="I257" s="118"/>
      <c r="J257" s="118"/>
      <c r="K257" s="121"/>
      <c r="L257" s="269" t="s">
        <v>2116</v>
      </c>
      <c r="M257" s="118" t="s">
        <v>960</v>
      </c>
      <c r="N257" s="180" t="s">
        <v>153</v>
      </c>
      <c r="O257" s="193" t="str">
        <f>HYPERLINK("https://leetcode.com/problems/k-closest-points-to-origin/","https://leetcode.com/problems/k-closest-points-to-origin/")</f>
        <v>https://leetcode.com/problems/k-closest-points-to-origin/</v>
      </c>
    </row>
    <row r="258" spans="1:15" ht="31.5" customHeight="1" x14ac:dyDescent="0.2">
      <c r="A258" s="7">
        <v>253</v>
      </c>
      <c r="B258" s="7">
        <v>981</v>
      </c>
      <c r="C258" s="13" t="s">
        <v>2132</v>
      </c>
      <c r="D258" s="7" t="s">
        <v>4497</v>
      </c>
      <c r="E258" s="18" t="s">
        <v>28</v>
      </c>
      <c r="F258" s="3" t="s">
        <v>2133</v>
      </c>
      <c r="G258" s="3" t="s">
        <v>4706</v>
      </c>
      <c r="H258" s="7">
        <f>IFERROR(VLOOKUP(B258,'📊 Problem Tracker'!$B$4:$F$1200,5,FALSE()),"")</f>
        <v>0</v>
      </c>
      <c r="I258" s="7"/>
      <c r="J258" s="7"/>
      <c r="K258" s="3"/>
      <c r="L258" s="228" t="s">
        <v>513</v>
      </c>
      <c r="M258" s="7" t="s">
        <v>2134</v>
      </c>
      <c r="N258" s="176" t="s">
        <v>24</v>
      </c>
      <c r="O258" s="191" t="str">
        <f>HYPERLINK("https://leetcode.com/problems/time-based-key-value-store/","https://leetcode.com/problems/time-based-key-value-store/")</f>
        <v>https://leetcode.com/problems/time-based-key-value-store/</v>
      </c>
    </row>
    <row r="259" spans="1:15" ht="31.5" customHeight="1" x14ac:dyDescent="0.2">
      <c r="A259" s="118">
        <v>254</v>
      </c>
      <c r="B259" s="118">
        <v>986</v>
      </c>
      <c r="C259" s="119" t="s">
        <v>2138</v>
      </c>
      <c r="D259" s="118" t="s">
        <v>4815</v>
      </c>
      <c r="E259" s="120" t="s">
        <v>28</v>
      </c>
      <c r="F259" s="121" t="s">
        <v>4816</v>
      </c>
      <c r="G259" s="121" t="s">
        <v>4817</v>
      </c>
      <c r="H259" s="118">
        <f>IFERROR(VLOOKUP(B259,'📊 Problem Tracker'!$B$4:$F$1200,5,FALSE()),"")</f>
        <v>0</v>
      </c>
      <c r="I259" s="118"/>
      <c r="J259" s="118"/>
      <c r="K259" s="121"/>
      <c r="L259" s="269" t="s">
        <v>690</v>
      </c>
      <c r="M259" s="118" t="s">
        <v>24</v>
      </c>
      <c r="N259" s="180" t="s">
        <v>47</v>
      </c>
      <c r="O259" s="193" t="str">
        <f>HYPERLINK("https://leetcode.com/problems/interval-list-intersections/","https://leetcode.com/problems/interval-list-intersections/")</f>
        <v>https://leetcode.com/problems/interval-list-intersections/</v>
      </c>
    </row>
    <row r="260" spans="1:15" ht="31.5" customHeight="1" x14ac:dyDescent="0.2">
      <c r="A260" s="7">
        <v>255</v>
      </c>
      <c r="B260" s="7">
        <v>994</v>
      </c>
      <c r="C260" s="13" t="s">
        <v>2153</v>
      </c>
      <c r="D260" s="7" t="s">
        <v>4707</v>
      </c>
      <c r="E260" s="18" t="s">
        <v>28</v>
      </c>
      <c r="F260" s="3" t="s">
        <v>1106</v>
      </c>
      <c r="G260" s="3" t="s">
        <v>4618</v>
      </c>
      <c r="H260" s="7">
        <f>IFERROR(VLOOKUP(B260,'📊 Problem Tracker'!$B$4:$F$1200,5,FALSE()),"")</f>
        <v>0</v>
      </c>
      <c r="I260" s="7"/>
      <c r="J260" s="7"/>
      <c r="K260" s="3"/>
      <c r="L260" s="228" t="s">
        <v>2155</v>
      </c>
      <c r="M260" s="7" t="s">
        <v>81</v>
      </c>
      <c r="N260" s="176" t="s">
        <v>81</v>
      </c>
      <c r="O260" s="191" t="str">
        <f>HYPERLINK("https://leetcode.com/problems/rotting-oranges/","https://leetcode.com/problems/rotting-oranges/")</f>
        <v>https://leetcode.com/problems/rotting-oranges/</v>
      </c>
    </row>
    <row r="261" spans="1:15" ht="31.5" customHeight="1" x14ac:dyDescent="0.2">
      <c r="A261" s="118">
        <v>256</v>
      </c>
      <c r="B261" s="118">
        <v>996</v>
      </c>
      <c r="C261" s="119" t="s">
        <v>2157</v>
      </c>
      <c r="D261" s="118" t="s">
        <v>4517</v>
      </c>
      <c r="E261" s="122" t="s">
        <v>42</v>
      </c>
      <c r="F261" s="121" t="s">
        <v>4818</v>
      </c>
      <c r="G261" s="121" t="s">
        <v>4819</v>
      </c>
      <c r="H261" s="118">
        <f>IFERROR(VLOOKUP(B261,'📊 Problem Tracker'!$B$4:$F$1200,5,FALSE()),"")</f>
        <v>0</v>
      </c>
      <c r="I261" s="118"/>
      <c r="J261" s="118"/>
      <c r="K261" s="121"/>
      <c r="L261" s="269" t="s">
        <v>302</v>
      </c>
      <c r="M261" s="118" t="s">
        <v>303</v>
      </c>
      <c r="N261" s="180" t="s">
        <v>304</v>
      </c>
      <c r="O261" s="193" t="str">
        <f>HYPERLINK("https://leetcode.com/problems/number-of-squareful-arrays/","https://leetcode.com/problems/number-of-squareful-arrays/")</f>
        <v>https://leetcode.com/problems/number-of-squareful-arrays/</v>
      </c>
    </row>
    <row r="262" spans="1:15" ht="31.5" customHeight="1" x14ac:dyDescent="0.2">
      <c r="A262" s="7">
        <v>257</v>
      </c>
      <c r="B262" s="7">
        <v>1004</v>
      </c>
      <c r="C262" s="13" t="s">
        <v>2159</v>
      </c>
      <c r="D262" s="7" t="s">
        <v>4708</v>
      </c>
      <c r="E262" s="18" t="s">
        <v>28</v>
      </c>
      <c r="F262" s="3" t="s">
        <v>916</v>
      </c>
      <c r="G262" s="3" t="s">
        <v>917</v>
      </c>
      <c r="H262" s="7">
        <f>IFERROR(VLOOKUP(B262,'📊 Problem Tracker'!$B$4:$F$1200,5,FALSE()),"")</f>
        <v>0</v>
      </c>
      <c r="I262" s="7"/>
      <c r="J262" s="7"/>
      <c r="K262" s="3"/>
      <c r="L262" s="228" t="s">
        <v>919</v>
      </c>
      <c r="M262" s="7" t="s">
        <v>24</v>
      </c>
      <c r="N262" s="176" t="s">
        <v>1096</v>
      </c>
      <c r="O262" s="191" t="str">
        <f>HYPERLINK("https://leetcode.com/problems/max-consecutive-ones-iii/","https://leetcode.com/problems/max-consecutive-ones-iii/")</f>
        <v>https://leetcode.com/problems/max-consecutive-ones-iii/</v>
      </c>
    </row>
    <row r="263" spans="1:15" ht="31.5" customHeight="1" x14ac:dyDescent="0.2">
      <c r="A263" s="118">
        <v>258</v>
      </c>
      <c r="B263" s="118">
        <v>1011</v>
      </c>
      <c r="C263" s="119" t="s">
        <v>2165</v>
      </c>
      <c r="D263" s="118" t="s">
        <v>4709</v>
      </c>
      <c r="E263" s="120" t="s">
        <v>28</v>
      </c>
      <c r="F263" s="121" t="s">
        <v>41</v>
      </c>
      <c r="G263" s="121" t="s">
        <v>1801</v>
      </c>
      <c r="H263" s="118">
        <f>IFERROR(VLOOKUP(B263,'📊 Problem Tracker'!$B$4:$F$1200,5,FALSE()),"")</f>
        <v>0</v>
      </c>
      <c r="I263" s="118"/>
      <c r="J263" s="118"/>
      <c r="K263" s="121"/>
      <c r="L263" s="269" t="s">
        <v>513</v>
      </c>
      <c r="M263" s="118" t="s">
        <v>65</v>
      </c>
      <c r="N263" s="180" t="s">
        <v>47</v>
      </c>
      <c r="O263" s="193" t="str">
        <f>HYPERLINK("https://leetcode.com/problems/capacity-to-ship-packages-within-d-days/","https://leetcode.com/problems/capacity-to-ship-packages-within-d-days/")</f>
        <v>https://leetcode.com/problems/capacity-to-ship-packages-within-d-days/</v>
      </c>
    </row>
    <row r="264" spans="1:15" ht="31.5" customHeight="1" x14ac:dyDescent="0.2">
      <c r="A264" s="7">
        <v>259</v>
      </c>
      <c r="B264" s="7">
        <v>1041</v>
      </c>
      <c r="C264" s="13" t="s">
        <v>2200</v>
      </c>
      <c r="D264" s="7" t="s">
        <v>4614</v>
      </c>
      <c r="E264" s="18" t="s">
        <v>28</v>
      </c>
      <c r="F264" s="3" t="s">
        <v>4820</v>
      </c>
      <c r="G264" s="3" t="s">
        <v>4821</v>
      </c>
      <c r="H264" s="7">
        <f>IFERROR(VLOOKUP(B264,'📊 Problem Tracker'!$B$4:$F$1200,5,FALSE()),"")</f>
        <v>0</v>
      </c>
      <c r="I264" s="7"/>
      <c r="J264" s="7"/>
      <c r="K264" s="3"/>
      <c r="L264" s="228" t="s">
        <v>230</v>
      </c>
      <c r="M264" s="7" t="s">
        <v>24</v>
      </c>
      <c r="N264" s="176" t="s">
        <v>47</v>
      </c>
      <c r="O264" s="191" t="str">
        <f>HYPERLINK("https://leetcode.com/problems/robot-bounded-in-circle/","https://leetcode.com/problems/robot-bounded-in-circle/")</f>
        <v>https://leetcode.com/problems/robot-bounded-in-circle/</v>
      </c>
    </row>
    <row r="265" spans="1:15" ht="31.5" customHeight="1" x14ac:dyDescent="0.2">
      <c r="A265" s="118">
        <v>260</v>
      </c>
      <c r="B265" s="118">
        <v>1047</v>
      </c>
      <c r="C265" s="119" t="s">
        <v>2209</v>
      </c>
      <c r="D265" s="118" t="s">
        <v>4573</v>
      </c>
      <c r="E265" s="123" t="s">
        <v>20</v>
      </c>
      <c r="F265" s="121" t="s">
        <v>133</v>
      </c>
      <c r="G265" s="121" t="s">
        <v>540</v>
      </c>
      <c r="H265" s="118">
        <f>IFERROR(VLOOKUP(B265,'📊 Problem Tracker'!$B$4:$F$1200,5,FALSE()),"")</f>
        <v>0</v>
      </c>
      <c r="I265" s="118"/>
      <c r="J265" s="118"/>
      <c r="K265" s="121"/>
      <c r="L265" s="269" t="s">
        <v>542</v>
      </c>
      <c r="M265" s="118" t="s">
        <v>24</v>
      </c>
      <c r="N265" s="180" t="s">
        <v>24</v>
      </c>
      <c r="O265" s="193" t="str">
        <f>HYPERLINK("https://leetcode.com/problems/remove-all-adjacent-duplicates-in-string/","https://leetcode.com/problems/remove-all-adjacent-duplicates-in-string/")</f>
        <v>https://leetcode.com/problems/remove-all-adjacent-duplicates-in-string/</v>
      </c>
    </row>
    <row r="266" spans="1:15" ht="31.5" customHeight="1" x14ac:dyDescent="0.2">
      <c r="A266" s="7">
        <v>261</v>
      </c>
      <c r="B266" s="7">
        <v>1087</v>
      </c>
      <c r="C266" s="13" t="s">
        <v>2221</v>
      </c>
      <c r="D266" s="7" t="s">
        <v>4822</v>
      </c>
      <c r="E266" s="18" t="s">
        <v>28</v>
      </c>
      <c r="F266" s="3" t="s">
        <v>114</v>
      </c>
      <c r="G266" s="3" t="s">
        <v>300</v>
      </c>
      <c r="H266" s="7">
        <f>IFERROR(VLOOKUP(B266,'📊 Problem Tracker'!$B$4:$F$1200,5,FALSE()),"")</f>
        <v>0</v>
      </c>
      <c r="I266" s="7"/>
      <c r="J266" s="7"/>
      <c r="K266" s="3"/>
      <c r="L266" s="228" t="s">
        <v>302</v>
      </c>
      <c r="M266" s="7" t="s">
        <v>303</v>
      </c>
      <c r="N266" s="176" t="s">
        <v>304</v>
      </c>
      <c r="O266" s="191" t="str">
        <f>HYPERLINK("https://leetcode.com/problems/brace-expansion/","https://leetcode.com/problems/brace-expansion/")</f>
        <v>https://leetcode.com/problems/brace-expansion/</v>
      </c>
    </row>
    <row r="267" spans="1:15" ht="31.5" customHeight="1" x14ac:dyDescent="0.2">
      <c r="A267" s="118">
        <v>262</v>
      </c>
      <c r="B267" s="118">
        <v>1091</v>
      </c>
      <c r="C267" s="119" t="s">
        <v>2223</v>
      </c>
      <c r="D267" s="118" t="s">
        <v>4517</v>
      </c>
      <c r="E267" s="120" t="s">
        <v>28</v>
      </c>
      <c r="F267" s="121" t="s">
        <v>1106</v>
      </c>
      <c r="G267" s="121" t="s">
        <v>4258</v>
      </c>
      <c r="H267" s="118">
        <f>IFERROR(VLOOKUP(B267,'📊 Problem Tracker'!$B$4:$F$1200,5,FALSE()),"")</f>
        <v>0</v>
      </c>
      <c r="I267" s="118"/>
      <c r="J267" s="118"/>
      <c r="K267" s="121"/>
      <c r="L267" s="269" t="s">
        <v>619</v>
      </c>
      <c r="M267" s="118" t="s">
        <v>81</v>
      </c>
      <c r="N267" s="180" t="s">
        <v>2130</v>
      </c>
      <c r="O267" s="193" t="str">
        <f>HYPERLINK("https://leetcode.com/problems/shortest-path-in-binary-matrix/","https://leetcode.com/problems/shortest-path-in-binary-matrix/")</f>
        <v>https://leetcode.com/problems/shortest-path-in-binary-matrix/</v>
      </c>
    </row>
    <row r="268" spans="1:15" ht="31.5" customHeight="1" x14ac:dyDescent="0.2">
      <c r="A268" s="7">
        <v>263</v>
      </c>
      <c r="B268" s="7">
        <v>1143</v>
      </c>
      <c r="C268" s="13" t="s">
        <v>2237</v>
      </c>
      <c r="D268" s="7" t="s">
        <v>4712</v>
      </c>
      <c r="E268" s="18" t="s">
        <v>28</v>
      </c>
      <c r="F268" s="3" t="s">
        <v>50</v>
      </c>
      <c r="G268" s="3" t="s">
        <v>4713</v>
      </c>
      <c r="H268" s="7">
        <f>IFERROR(VLOOKUP(B268,'📊 Problem Tracker'!$B$4:$F$1200,5,FALSE()),"")</f>
        <v>0</v>
      </c>
      <c r="I268" s="7"/>
      <c r="J268" s="7"/>
      <c r="K268" s="3"/>
      <c r="L268" s="228" t="s">
        <v>2240</v>
      </c>
      <c r="M268" s="7" t="s">
        <v>24</v>
      </c>
      <c r="N268" s="176" t="s">
        <v>24</v>
      </c>
      <c r="O268" s="191" t="str">
        <f>HYPERLINK("https://leetcode.com/problems/longest-common-subsequence/","https://leetcode.com/problems/longest-common-subsequence/")</f>
        <v>https://leetcode.com/problems/longest-common-subsequence/</v>
      </c>
    </row>
    <row r="269" spans="1:15" ht="31.5" customHeight="1" x14ac:dyDescent="0.2">
      <c r="A269" s="118">
        <v>264</v>
      </c>
      <c r="B269" s="118">
        <v>1146</v>
      </c>
      <c r="C269" s="119" t="s">
        <v>2242</v>
      </c>
      <c r="D269" s="118" t="s">
        <v>4649</v>
      </c>
      <c r="E269" s="120" t="s">
        <v>28</v>
      </c>
      <c r="F269" s="121" t="s">
        <v>4823</v>
      </c>
      <c r="G269" s="121" t="s">
        <v>4824</v>
      </c>
      <c r="H269" s="118">
        <f>IFERROR(VLOOKUP(B269,'📊 Problem Tracker'!$B$4:$F$1200,5,FALSE()),"")</f>
        <v>0</v>
      </c>
      <c r="I269" s="118"/>
      <c r="J269" s="118"/>
      <c r="K269" s="121"/>
      <c r="L269" s="269" t="s">
        <v>513</v>
      </c>
      <c r="M269" s="118" t="s">
        <v>65</v>
      </c>
      <c r="N269" s="180" t="s">
        <v>47</v>
      </c>
      <c r="O269" s="193" t="str">
        <f>HYPERLINK("https://leetcode.com/problems/snapshot-array/","https://leetcode.com/problems/snapshot-array/")</f>
        <v>https://leetcode.com/problems/snapshot-array/</v>
      </c>
    </row>
    <row r="270" spans="1:15" ht="31.5" customHeight="1" x14ac:dyDescent="0.2">
      <c r="A270" s="7">
        <v>265</v>
      </c>
      <c r="B270" s="7">
        <v>1168</v>
      </c>
      <c r="C270" s="13" t="s">
        <v>2268</v>
      </c>
      <c r="D270" s="7" t="s">
        <v>4825</v>
      </c>
      <c r="E270" s="20" t="s">
        <v>42</v>
      </c>
      <c r="F270" s="3" t="s">
        <v>4826</v>
      </c>
      <c r="G270" s="3" t="s">
        <v>4827</v>
      </c>
      <c r="H270" s="7">
        <f>IFERROR(VLOOKUP(B270,'📊 Problem Tracker'!$B$4:$F$1200,5,FALSE()),"")</f>
        <v>0</v>
      </c>
      <c r="I270" s="7"/>
      <c r="J270" s="7"/>
      <c r="K270" s="3"/>
      <c r="L270" s="228" t="s">
        <v>619</v>
      </c>
      <c r="M270" s="7" t="s">
        <v>648</v>
      </c>
      <c r="N270" s="176" t="s">
        <v>648</v>
      </c>
      <c r="O270" s="191" t="str">
        <f>HYPERLINK("https://leetcode.com/problems/optimize-water-distribution-in-a-village/","https://leetcode.com/problems/optimize-water-distribution-in-a-village/")</f>
        <v>https://leetcode.com/problems/optimize-water-distribution-in-a-village/</v>
      </c>
    </row>
    <row r="271" spans="1:15" ht="31.5" customHeight="1" x14ac:dyDescent="0.2">
      <c r="A271" s="118">
        <v>266</v>
      </c>
      <c r="B271" s="118">
        <v>1197</v>
      </c>
      <c r="C271" s="119" t="s">
        <v>2282</v>
      </c>
      <c r="D271" s="118" t="s">
        <v>4638</v>
      </c>
      <c r="E271" s="120" t="s">
        <v>28</v>
      </c>
      <c r="F271" s="121" t="s">
        <v>1198</v>
      </c>
      <c r="G271" s="121" t="s">
        <v>4258</v>
      </c>
      <c r="H271" s="118">
        <f>IFERROR(VLOOKUP(B271,'📊 Problem Tracker'!$B$4:$F$1200,5,FALSE()),"")</f>
        <v>0</v>
      </c>
      <c r="I271" s="118"/>
      <c r="J271" s="118"/>
      <c r="K271" s="121"/>
      <c r="L271" s="269" t="s">
        <v>619</v>
      </c>
      <c r="M271" s="118" t="s">
        <v>648</v>
      </c>
      <c r="N271" s="180" t="s">
        <v>648</v>
      </c>
      <c r="O271" s="193" t="str">
        <f>HYPERLINK("https://leetcode.com/problems/minimum-knight-moves/","https://leetcode.com/problems/minimum-knight-moves/")</f>
        <v>https://leetcode.com/problems/minimum-knight-moves/</v>
      </c>
    </row>
    <row r="272" spans="1:15" ht="31.5" customHeight="1" x14ac:dyDescent="0.2">
      <c r="A272" s="7">
        <v>267</v>
      </c>
      <c r="B272" s="7">
        <v>1213</v>
      </c>
      <c r="C272" s="13" t="s">
        <v>2295</v>
      </c>
      <c r="D272" s="7" t="s">
        <v>4828</v>
      </c>
      <c r="E272" s="21" t="s">
        <v>20</v>
      </c>
      <c r="F272" s="3" t="s">
        <v>4829</v>
      </c>
      <c r="G272" s="3" t="s">
        <v>689</v>
      </c>
      <c r="H272" s="7">
        <f>IFERROR(VLOOKUP(B272,'📊 Problem Tracker'!$B$4:$F$1200,5,FALSE()),"")</f>
        <v>0</v>
      </c>
      <c r="I272" s="7"/>
      <c r="J272" s="7"/>
      <c r="K272" s="3"/>
      <c r="L272" s="228" t="s">
        <v>690</v>
      </c>
      <c r="M272" s="7" t="s">
        <v>326</v>
      </c>
      <c r="N272" s="176" t="s">
        <v>24</v>
      </c>
      <c r="O272" s="191" t="str">
        <f>HYPERLINK("https://leetcode.com/problems/intersection-of-three-sorted-arrays/","https://leetcode.com/problems/intersection-of-three-sorted-arrays/")</f>
        <v>https://leetcode.com/problems/intersection-of-three-sorted-arrays/</v>
      </c>
    </row>
    <row r="273" spans="1:15" ht="31.5" customHeight="1" x14ac:dyDescent="0.2">
      <c r="A273" s="118">
        <v>268</v>
      </c>
      <c r="B273" s="118">
        <v>1229</v>
      </c>
      <c r="C273" s="119" t="s">
        <v>2311</v>
      </c>
      <c r="D273" s="118" t="s">
        <v>4830</v>
      </c>
      <c r="E273" s="120" t="s">
        <v>28</v>
      </c>
      <c r="F273" s="121" t="s">
        <v>84</v>
      </c>
      <c r="G273" s="121" t="s">
        <v>689</v>
      </c>
      <c r="H273" s="118">
        <f>IFERROR(VLOOKUP(B273,'📊 Problem Tracker'!$B$4:$F$1200,5,FALSE()),"")</f>
        <v>0</v>
      </c>
      <c r="I273" s="118"/>
      <c r="J273" s="118"/>
      <c r="K273" s="121"/>
      <c r="L273" s="269" t="s">
        <v>690</v>
      </c>
      <c r="M273" s="118" t="s">
        <v>326</v>
      </c>
      <c r="N273" s="180" t="s">
        <v>47</v>
      </c>
      <c r="O273" s="193" t="str">
        <f>HYPERLINK("https://leetcode.com/problems/meeting-scheduler/","https://leetcode.com/problems/meeting-scheduler/")</f>
        <v>https://leetcode.com/problems/meeting-scheduler/</v>
      </c>
    </row>
    <row r="274" spans="1:15" ht="31.5" customHeight="1" x14ac:dyDescent="0.2">
      <c r="A274" s="7">
        <v>269</v>
      </c>
      <c r="B274" s="7">
        <v>1242</v>
      </c>
      <c r="C274" s="13" t="s">
        <v>2325</v>
      </c>
      <c r="D274" s="7" t="s">
        <v>4468</v>
      </c>
      <c r="E274" s="18" t="s">
        <v>28</v>
      </c>
      <c r="F274" s="3" t="s">
        <v>1198</v>
      </c>
      <c r="G274" s="3" t="s">
        <v>4258</v>
      </c>
      <c r="H274" s="7">
        <f>IFERROR(VLOOKUP(B274,'📊 Problem Tracker'!$B$4:$F$1200,5,FALSE()),"")</f>
        <v>0</v>
      </c>
      <c r="I274" s="7"/>
      <c r="J274" s="7"/>
      <c r="K274" s="3"/>
      <c r="L274" s="228" t="s">
        <v>619</v>
      </c>
      <c r="M274" s="7" t="s">
        <v>1169</v>
      </c>
      <c r="N274" s="176" t="s">
        <v>649</v>
      </c>
      <c r="O274" s="191" t="str">
        <f>HYPERLINK("https://leetcode.com/problems/web-crawler-multithreaded/","https://leetcode.com/problems/web-crawler-multithreaded/")</f>
        <v>https://leetcode.com/problems/web-crawler-multithreaded/</v>
      </c>
    </row>
    <row r="275" spans="1:15" ht="31.5" customHeight="1" x14ac:dyDescent="0.2">
      <c r="A275" s="118">
        <v>270</v>
      </c>
      <c r="B275" s="118">
        <v>1249</v>
      </c>
      <c r="C275" s="119" t="s">
        <v>2333</v>
      </c>
      <c r="D275" s="118" t="s">
        <v>4831</v>
      </c>
      <c r="E275" s="120" t="s">
        <v>28</v>
      </c>
      <c r="F275" s="121" t="s">
        <v>133</v>
      </c>
      <c r="G275" s="121" t="s">
        <v>540</v>
      </c>
      <c r="H275" s="118">
        <f>IFERROR(VLOOKUP(B275,'📊 Problem Tracker'!$B$4:$F$1200,5,FALSE()),"")</f>
        <v>0</v>
      </c>
      <c r="I275" s="118"/>
      <c r="J275" s="118"/>
      <c r="K275" s="121"/>
      <c r="L275" s="269" t="s">
        <v>542</v>
      </c>
      <c r="M275" s="118" t="s">
        <v>303</v>
      </c>
      <c r="N275" s="180" t="s">
        <v>304</v>
      </c>
      <c r="O275" s="193" t="str">
        <f>HYPERLINK("https://leetcode.com/problems/minimum-remove-to-make-valid-parentheses/","https://leetcode.com/problems/minimum-remove-to-make-valid-parentheses/")</f>
        <v>https://leetcode.com/problems/minimum-remove-to-make-valid-parentheses/</v>
      </c>
    </row>
    <row r="276" spans="1:15" ht="31.5" customHeight="1" x14ac:dyDescent="0.2">
      <c r="A276" s="7">
        <v>271</v>
      </c>
      <c r="B276" s="7">
        <v>1251</v>
      </c>
      <c r="C276" s="13" t="s">
        <v>2335</v>
      </c>
      <c r="D276" s="7" t="s">
        <v>4832</v>
      </c>
      <c r="E276" s="21" t="s">
        <v>20</v>
      </c>
      <c r="F276" s="3" t="s">
        <v>796</v>
      </c>
      <c r="G276" s="3"/>
      <c r="H276" s="7">
        <f>IFERROR(VLOOKUP(B276,'📊 Problem Tracker'!$B$4:$F$1200,5,FALSE()),"")</f>
        <v>0</v>
      </c>
      <c r="I276" s="7"/>
      <c r="J276" s="7"/>
      <c r="K276" s="3"/>
      <c r="L276" s="228" t="s">
        <v>4239</v>
      </c>
      <c r="M276" s="7" t="s">
        <v>24</v>
      </c>
      <c r="N276" s="176" t="s">
        <v>24</v>
      </c>
      <c r="O276" s="191" t="str">
        <f>HYPERLINK("https://leetcode.com/problems/average-selling-price/","https://leetcode.com/problems/average-selling-price/")</f>
        <v>https://leetcode.com/problems/average-selling-price/</v>
      </c>
    </row>
    <row r="277" spans="1:15" ht="31.5" customHeight="1" x14ac:dyDescent="0.2">
      <c r="A277" s="118">
        <v>272</v>
      </c>
      <c r="B277" s="118">
        <v>1275</v>
      </c>
      <c r="C277" s="119" t="s">
        <v>2351</v>
      </c>
      <c r="D277" s="118" t="s">
        <v>4833</v>
      </c>
      <c r="E277" s="123" t="s">
        <v>20</v>
      </c>
      <c r="F277" s="121" t="s">
        <v>283</v>
      </c>
      <c r="G277" s="121" t="s">
        <v>4779</v>
      </c>
      <c r="H277" s="118">
        <f>IFERROR(VLOOKUP(B277,'📊 Problem Tracker'!$B$4:$F$1200,5,FALSE()),"")</f>
        <v>0</v>
      </c>
      <c r="I277" s="118"/>
      <c r="J277" s="118"/>
      <c r="K277" s="121"/>
      <c r="L277" s="269" t="s">
        <v>654</v>
      </c>
      <c r="M277" s="118" t="s">
        <v>24</v>
      </c>
      <c r="N277" s="180" t="s">
        <v>47</v>
      </c>
      <c r="O277" s="193" t="str">
        <f>HYPERLINK("https://leetcode.com/problems/find-winner-on-a-tic-tac-toe-game/","https://leetcode.com/problems/find-winner-on-a-tic-tac-toe-game/")</f>
        <v>https://leetcode.com/problems/find-winner-on-a-tic-tac-toe-game/</v>
      </c>
    </row>
    <row r="278" spans="1:15" ht="31.5" customHeight="1" x14ac:dyDescent="0.2">
      <c r="A278" s="7">
        <v>273</v>
      </c>
      <c r="B278" s="7">
        <v>1344</v>
      </c>
      <c r="C278" s="13" t="s">
        <v>2405</v>
      </c>
      <c r="D278" s="7" t="s">
        <v>4558</v>
      </c>
      <c r="E278" s="18" t="s">
        <v>28</v>
      </c>
      <c r="F278" s="3" t="s">
        <v>62</v>
      </c>
      <c r="G278" s="3" t="s">
        <v>62</v>
      </c>
      <c r="H278" s="7">
        <f>IFERROR(VLOOKUP(B278,'📊 Problem Tracker'!$B$4:$F$1200,5,FALSE()),"")</f>
        <v>0</v>
      </c>
      <c r="I278" s="7"/>
      <c r="J278" s="7"/>
      <c r="K278" s="3"/>
      <c r="L278" s="228" t="s">
        <v>230</v>
      </c>
      <c r="M278" s="7" t="s">
        <v>24</v>
      </c>
      <c r="N278" s="176" t="s">
        <v>24</v>
      </c>
      <c r="O278" s="191" t="str">
        <f>HYPERLINK("https://leetcode.com/problems/angle-between-hands-of-a-clock/","https://leetcode.com/problems/angle-between-hands-of-a-clock/")</f>
        <v>https://leetcode.com/problems/angle-between-hands-of-a-clock/</v>
      </c>
    </row>
    <row r="279" spans="1:15" ht="31.5" customHeight="1" x14ac:dyDescent="0.2">
      <c r="A279" s="118">
        <v>274</v>
      </c>
      <c r="B279" s="118">
        <v>1352</v>
      </c>
      <c r="C279" s="119" t="s">
        <v>2411</v>
      </c>
      <c r="D279" s="118" t="s">
        <v>4472</v>
      </c>
      <c r="E279" s="120" t="s">
        <v>28</v>
      </c>
      <c r="F279" s="121" t="s">
        <v>1099</v>
      </c>
      <c r="G279" s="121" t="s">
        <v>4834</v>
      </c>
      <c r="H279" s="118">
        <f>IFERROR(VLOOKUP(B279,'📊 Problem Tracker'!$B$4:$F$1200,5,FALSE()),"")</f>
        <v>0</v>
      </c>
      <c r="I279" s="118"/>
      <c r="J279" s="118"/>
      <c r="K279" s="121"/>
      <c r="L279" s="269" t="s">
        <v>654</v>
      </c>
      <c r="M279" s="118" t="s">
        <v>24</v>
      </c>
      <c r="N279" s="180" t="s">
        <v>1100</v>
      </c>
      <c r="O279" s="193" t="str">
        <f>HYPERLINK("https://leetcode.com/problems/product-of-the-last-k-numbers/","https://leetcode.com/problems/product-of-the-last-k-numbers/")</f>
        <v>https://leetcode.com/problems/product-of-the-last-k-numbers/</v>
      </c>
    </row>
    <row r="280" spans="1:15" ht="31.5" customHeight="1" x14ac:dyDescent="0.2">
      <c r="A280" s="7">
        <v>275</v>
      </c>
      <c r="B280" s="7">
        <v>1472</v>
      </c>
      <c r="C280" s="13" t="s">
        <v>2497</v>
      </c>
      <c r="D280" s="7" t="s">
        <v>4835</v>
      </c>
      <c r="E280" s="18" t="s">
        <v>28</v>
      </c>
      <c r="F280" s="3" t="s">
        <v>4836</v>
      </c>
      <c r="G280" s="3" t="s">
        <v>4794</v>
      </c>
      <c r="H280" s="7">
        <f>IFERROR(VLOOKUP(B280,'📊 Problem Tracker'!$B$4:$F$1200,5,FALSE()),"")</f>
        <v>0</v>
      </c>
      <c r="I280" s="7"/>
      <c r="J280" s="7"/>
      <c r="K280" s="3"/>
      <c r="L280" s="228" t="s">
        <v>461</v>
      </c>
      <c r="M280" s="7" t="s">
        <v>732</v>
      </c>
      <c r="N280" s="176" t="s">
        <v>24</v>
      </c>
      <c r="O280" s="191" t="str">
        <f>HYPERLINK("https://leetcode.com/problems/design-browser-history/","https://leetcode.com/problems/design-browser-history/")</f>
        <v>https://leetcode.com/problems/design-browser-history/</v>
      </c>
    </row>
    <row r="281" spans="1:15" ht="31.5" customHeight="1" x14ac:dyDescent="0.2">
      <c r="A281" s="118">
        <v>276</v>
      </c>
      <c r="B281" s="118">
        <v>1552</v>
      </c>
      <c r="C281" s="119" t="s">
        <v>2536</v>
      </c>
      <c r="D281" s="118" t="s">
        <v>4837</v>
      </c>
      <c r="E281" s="120" t="s">
        <v>28</v>
      </c>
      <c r="F281" s="121" t="s">
        <v>41</v>
      </c>
      <c r="G281" s="121" t="s">
        <v>1801</v>
      </c>
      <c r="H281" s="118">
        <f>IFERROR(VLOOKUP(B281,'📊 Problem Tracker'!$B$4:$F$1200,5,FALSE()),"")</f>
        <v>0</v>
      </c>
      <c r="I281" s="118"/>
      <c r="J281" s="118"/>
      <c r="K281" s="121"/>
      <c r="L281" s="269" t="s">
        <v>513</v>
      </c>
      <c r="M281" s="118" t="s">
        <v>65</v>
      </c>
      <c r="N281" s="180" t="s">
        <v>47</v>
      </c>
      <c r="O281" s="193" t="str">
        <f>HYPERLINK("https://leetcode.com/problems/magnetic-force-between-two-balls/","https://leetcode.com/problems/magnetic-force-between-two-balls/")</f>
        <v>https://leetcode.com/problems/magnetic-force-between-two-balls/</v>
      </c>
    </row>
    <row r="282" spans="1:15" ht="31.5" customHeight="1" x14ac:dyDescent="0.2">
      <c r="A282" s="7">
        <v>277</v>
      </c>
      <c r="B282" s="7">
        <v>1570</v>
      </c>
      <c r="C282" s="13" t="s">
        <v>2546</v>
      </c>
      <c r="D282" s="7" t="s">
        <v>4838</v>
      </c>
      <c r="E282" s="18" t="s">
        <v>28</v>
      </c>
      <c r="F282" s="3" t="s">
        <v>1334</v>
      </c>
      <c r="G282" s="3" t="s">
        <v>4839</v>
      </c>
      <c r="H282" s="7">
        <f>IFERROR(VLOOKUP(B282,'📊 Problem Tracker'!$B$4:$F$1200,5,FALSE()),"")</f>
        <v>0</v>
      </c>
      <c r="I282" s="7"/>
      <c r="J282" s="7"/>
      <c r="K282" s="3"/>
      <c r="L282" s="228" t="s">
        <v>705</v>
      </c>
      <c r="M282" s="7" t="s">
        <v>24</v>
      </c>
      <c r="N282" s="176" t="s">
        <v>24</v>
      </c>
      <c r="O282" s="191" t="str">
        <f>HYPERLINK("https://leetcode.com/problems/dot-product-of-two-sparse-vectors/","https://leetcode.com/problems/dot-product-of-two-sparse-vectors/")</f>
        <v>https://leetcode.com/problems/dot-product-of-two-sparse-vectors/</v>
      </c>
    </row>
    <row r="283" spans="1:15" ht="31.5" customHeight="1" x14ac:dyDescent="0.2">
      <c r="A283" s="118">
        <v>278</v>
      </c>
      <c r="B283" s="118">
        <v>1606</v>
      </c>
      <c r="C283" s="119" t="s">
        <v>2574</v>
      </c>
      <c r="D283" s="118" t="s">
        <v>4840</v>
      </c>
      <c r="E283" s="122" t="s">
        <v>42</v>
      </c>
      <c r="F283" s="121" t="s">
        <v>2575</v>
      </c>
      <c r="G283" s="121" t="s">
        <v>4841</v>
      </c>
      <c r="H283" s="118">
        <f>IFERROR(VLOOKUP(B283,'📊 Problem Tracker'!$B$4:$F$1200,5,FALSE()),"")</f>
        <v>0</v>
      </c>
      <c r="I283" s="118"/>
      <c r="J283" s="118"/>
      <c r="K283" s="121"/>
      <c r="L283" s="269" t="s">
        <v>959</v>
      </c>
      <c r="M283" s="118" t="s">
        <v>960</v>
      </c>
      <c r="N283" s="180" t="s">
        <v>153</v>
      </c>
      <c r="O283" s="193" t="str">
        <f>HYPERLINK("https://leetcode.com/problems/find-servers-that-handled-most-number-of-requests/","https://leetcode.com/problems/find-servers-that-handled-most-number-of-requests/")</f>
        <v>https://leetcode.com/problems/find-servers-that-handled-most-number-of-requests/</v>
      </c>
    </row>
    <row r="284" spans="1:15" ht="31.5" customHeight="1" x14ac:dyDescent="0.2">
      <c r="A284" s="7">
        <v>279</v>
      </c>
      <c r="B284" s="7">
        <v>1650</v>
      </c>
      <c r="C284" s="13" t="s">
        <v>2604</v>
      </c>
      <c r="D284" s="7" t="s">
        <v>4842</v>
      </c>
      <c r="E284" s="18" t="s">
        <v>28</v>
      </c>
      <c r="F284" s="3" t="s">
        <v>4843</v>
      </c>
      <c r="G284" s="3" t="s">
        <v>4844</v>
      </c>
      <c r="H284" s="7">
        <f>IFERROR(VLOOKUP(B284,'📊 Problem Tracker'!$B$4:$F$1200,5,FALSE()),"")</f>
        <v>0</v>
      </c>
      <c r="I284" s="7"/>
      <c r="J284" s="7"/>
      <c r="K284" s="3"/>
      <c r="L284" s="228" t="s">
        <v>571</v>
      </c>
      <c r="M284" s="7" t="s">
        <v>503</v>
      </c>
      <c r="N284" s="176" t="s">
        <v>47</v>
      </c>
      <c r="O284" s="191" t="str">
        <f>HYPERLINK("https://leetcode.com/problems/lowest-common-ancestor-of-a-binary-tree-iii/","https://leetcode.com/problems/lowest-common-ancestor-of-a-binary-tree-iii/")</f>
        <v>https://leetcode.com/problems/lowest-common-ancestor-of-a-binary-tree-iii/</v>
      </c>
    </row>
    <row r="285" spans="1:15" ht="31.5" customHeight="1" x14ac:dyDescent="0.2">
      <c r="A285" s="118">
        <v>280</v>
      </c>
      <c r="B285" s="118">
        <v>1657</v>
      </c>
      <c r="C285" s="119" t="s">
        <v>2611</v>
      </c>
      <c r="D285" s="118" t="s">
        <v>4554</v>
      </c>
      <c r="E285" s="120" t="s">
        <v>28</v>
      </c>
      <c r="F285" s="121" t="s">
        <v>897</v>
      </c>
      <c r="G285" s="121" t="s">
        <v>4244</v>
      </c>
      <c r="H285" s="118">
        <f>IFERROR(VLOOKUP(B285,'📊 Problem Tracker'!$B$4:$F$1200,5,FALSE()),"")</f>
        <v>0</v>
      </c>
      <c r="I285" s="118"/>
      <c r="J285" s="118"/>
      <c r="K285" s="121"/>
      <c r="L285" s="269" t="s">
        <v>705</v>
      </c>
      <c r="M285" s="118" t="s">
        <v>24</v>
      </c>
      <c r="N285" s="180" t="s">
        <v>24</v>
      </c>
      <c r="O285" s="193" t="str">
        <f>HYPERLINK("https://leetcode.com/problems/determine-if-two-strings-are-close/","https://leetcode.com/problems/determine-if-two-strings-are-close/")</f>
        <v>https://leetcode.com/problems/determine-if-two-strings-are-close/</v>
      </c>
    </row>
    <row r="286" spans="1:15" ht="31.5" customHeight="1" x14ac:dyDescent="0.2">
      <c r="A286" s="7">
        <v>281</v>
      </c>
      <c r="B286" s="7">
        <v>1854</v>
      </c>
      <c r="C286" s="13" t="s">
        <v>2735</v>
      </c>
      <c r="D286" s="7" t="s">
        <v>4617</v>
      </c>
      <c r="E286" s="21" t="s">
        <v>20</v>
      </c>
      <c r="F286" s="3" t="s">
        <v>1009</v>
      </c>
      <c r="G286" s="3" t="s">
        <v>4316</v>
      </c>
      <c r="H286" s="7">
        <f>IFERROR(VLOOKUP(B286,'📊 Problem Tracker'!$B$4:$F$1200,5,FALSE()),"")</f>
        <v>0</v>
      </c>
      <c r="I286" s="7"/>
      <c r="J286" s="7"/>
      <c r="K286" s="3"/>
      <c r="L286" s="228" t="s">
        <v>654</v>
      </c>
      <c r="M286" s="7" t="s">
        <v>24</v>
      </c>
      <c r="N286" s="176" t="s">
        <v>47</v>
      </c>
      <c r="O286" s="191" t="str">
        <f>HYPERLINK("https://leetcode.com/problems/maximum-population-year/","https://leetcode.com/problems/maximum-population-year/")</f>
        <v>https://leetcode.com/problems/maximum-population-year/</v>
      </c>
    </row>
    <row r="287" spans="1:15" ht="31.5" customHeight="1" x14ac:dyDescent="0.2">
      <c r="A287" s="118">
        <v>282</v>
      </c>
      <c r="B287" s="118">
        <v>1870</v>
      </c>
      <c r="C287" s="119" t="s">
        <v>2753</v>
      </c>
      <c r="D287" s="118" t="s">
        <v>4845</v>
      </c>
      <c r="E287" s="120" t="s">
        <v>28</v>
      </c>
      <c r="F287" s="121" t="s">
        <v>512</v>
      </c>
      <c r="G287" s="121" t="s">
        <v>512</v>
      </c>
      <c r="H287" s="118">
        <f>IFERROR(VLOOKUP(B287,'📊 Problem Tracker'!$B$4:$F$1200,5,FALSE()),"")</f>
        <v>0</v>
      </c>
      <c r="I287" s="118"/>
      <c r="J287" s="118"/>
      <c r="K287" s="121"/>
      <c r="L287" s="269" t="s">
        <v>513</v>
      </c>
      <c r="M287" s="118" t="s">
        <v>65</v>
      </c>
      <c r="N287" s="180" t="s">
        <v>47</v>
      </c>
      <c r="O287" s="193" t="str">
        <f>HYPERLINK("https://leetcode.com/problems/minimum-speed-to-arrive-on-time/","https://leetcode.com/problems/minimum-speed-to-arrive-on-time/")</f>
        <v>https://leetcode.com/problems/minimum-speed-to-arrive-on-time/</v>
      </c>
    </row>
    <row r="288" spans="1:15" ht="31.5" customHeight="1" x14ac:dyDescent="0.2">
      <c r="A288" s="7">
        <v>283</v>
      </c>
      <c r="B288" s="7">
        <v>2023</v>
      </c>
      <c r="C288" s="13" t="s">
        <v>2826</v>
      </c>
      <c r="D288" s="7" t="s">
        <v>4846</v>
      </c>
      <c r="E288" s="18" t="s">
        <v>28</v>
      </c>
      <c r="F288" s="3" t="s">
        <v>897</v>
      </c>
      <c r="G288" s="3" t="s">
        <v>4847</v>
      </c>
      <c r="H288" s="7">
        <f>IFERROR(VLOOKUP(B288,'📊 Problem Tracker'!$B$4:$F$1200,5,FALSE()),"")</f>
        <v>0</v>
      </c>
      <c r="I288" s="7"/>
      <c r="J288" s="7"/>
      <c r="K288" s="3"/>
      <c r="L288" s="228" t="s">
        <v>705</v>
      </c>
      <c r="M288" s="7" t="s">
        <v>24</v>
      </c>
      <c r="N288" s="176" t="s">
        <v>24</v>
      </c>
      <c r="O288" s="191" t="str">
        <f>HYPERLINK("https://leetcode.com/problems/number-of-pairs-of-strings-with-concatenation-equal-to-target/","https://leetcode.com/problems/number-of-pairs-of-strings-with-concatenation-equal-to-target/")</f>
        <v>https://leetcode.com/problems/number-of-pairs-of-strings-with-concatenation-equal-to-target/</v>
      </c>
    </row>
    <row r="289" spans="1:15" ht="31.5" customHeight="1" x14ac:dyDescent="0.2">
      <c r="A289" s="118">
        <v>284</v>
      </c>
      <c r="B289" s="118">
        <v>2065</v>
      </c>
      <c r="C289" s="119" t="s">
        <v>2845</v>
      </c>
      <c r="D289" s="118" t="s">
        <v>4848</v>
      </c>
      <c r="E289" s="122" t="s">
        <v>42</v>
      </c>
      <c r="F289" s="121" t="s">
        <v>4849</v>
      </c>
      <c r="G289" s="121" t="s">
        <v>4850</v>
      </c>
      <c r="H289" s="118">
        <f>IFERROR(VLOOKUP(B289,'📊 Problem Tracker'!$B$4:$F$1200,5,FALSE()),"")</f>
        <v>0</v>
      </c>
      <c r="I289" s="118"/>
      <c r="J289" s="118"/>
      <c r="K289" s="121"/>
      <c r="L289" s="269" t="s">
        <v>302</v>
      </c>
      <c r="M289" s="118" t="s">
        <v>648</v>
      </c>
      <c r="N289" s="180" t="s">
        <v>648</v>
      </c>
      <c r="O289" s="193" t="str">
        <f>HYPERLINK("https://leetcode.com/problems/maximum-path-quality-of-a-graph/","https://leetcode.com/problems/maximum-path-quality-of-a-graph/")</f>
        <v>https://leetcode.com/problems/maximum-path-quality-of-a-graph/</v>
      </c>
    </row>
    <row r="290" spans="1:15" ht="31.5" customHeight="1" x14ac:dyDescent="0.2">
      <c r="A290" s="7">
        <v>285</v>
      </c>
      <c r="B290" s="7">
        <v>2104</v>
      </c>
      <c r="C290" s="13" t="s">
        <v>2860</v>
      </c>
      <c r="D290" s="7" t="s">
        <v>4851</v>
      </c>
      <c r="E290" s="18" t="s">
        <v>28</v>
      </c>
      <c r="F290" s="3" t="s">
        <v>466</v>
      </c>
      <c r="G290" s="3" t="s">
        <v>1473</v>
      </c>
      <c r="H290" s="7">
        <f>IFERROR(VLOOKUP(B290,'📊 Problem Tracker'!$B$4:$F$1200,5,FALSE()),"")</f>
        <v>0</v>
      </c>
      <c r="I290" s="7"/>
      <c r="J290" s="7"/>
      <c r="K290" s="3"/>
      <c r="L290" s="228" t="s">
        <v>542</v>
      </c>
      <c r="M290" s="7" t="s">
        <v>24</v>
      </c>
      <c r="N290" s="176" t="s">
        <v>24</v>
      </c>
      <c r="O290" s="191" t="str">
        <f>HYPERLINK("https://leetcode.com/problems/sum-of-subarray-ranges/","https://leetcode.com/problems/sum-of-subarray-ranges/")</f>
        <v>https://leetcode.com/problems/sum-of-subarray-ranges/</v>
      </c>
    </row>
    <row r="291" spans="1:15" ht="31.5" customHeight="1" x14ac:dyDescent="0.2">
      <c r="A291" s="118">
        <v>286</v>
      </c>
      <c r="B291" s="118">
        <v>2150</v>
      </c>
      <c r="C291" s="119" t="s">
        <v>2875</v>
      </c>
      <c r="D291" s="118" t="s">
        <v>4852</v>
      </c>
      <c r="E291" s="120" t="s">
        <v>28</v>
      </c>
      <c r="F291" s="121" t="s">
        <v>19</v>
      </c>
      <c r="G291" s="121" t="s">
        <v>4244</v>
      </c>
      <c r="H291" s="118">
        <f>IFERROR(VLOOKUP(B291,'📊 Problem Tracker'!$B$4:$F$1200,5,FALSE()),"")</f>
        <v>0</v>
      </c>
      <c r="I291" s="118"/>
      <c r="J291" s="118"/>
      <c r="K291" s="121"/>
      <c r="L291" s="269" t="s">
        <v>705</v>
      </c>
      <c r="M291" s="118" t="s">
        <v>24</v>
      </c>
      <c r="N291" s="180" t="s">
        <v>24</v>
      </c>
      <c r="O291" s="193" t="str">
        <f>HYPERLINK("https://leetcode.com/problems/find-all-lonely-numbers-in-the-array/","https://leetcode.com/problems/find-all-lonely-numbers-in-the-array/")</f>
        <v>https://leetcode.com/problems/find-all-lonely-numbers-in-the-array/</v>
      </c>
    </row>
    <row r="292" spans="1:15" ht="31.5" customHeight="1" x14ac:dyDescent="0.2">
      <c r="A292" s="7">
        <v>287</v>
      </c>
      <c r="B292" s="7">
        <v>2347</v>
      </c>
      <c r="C292" s="13" t="s">
        <v>2907</v>
      </c>
      <c r="D292" s="7" t="s">
        <v>4460</v>
      </c>
      <c r="E292" s="21" t="s">
        <v>20</v>
      </c>
      <c r="F292" s="3" t="s">
        <v>2908</v>
      </c>
      <c r="G292" s="3"/>
      <c r="H292" s="7">
        <f>IFERROR(VLOOKUP(B292,'📊 Problem Tracker'!$B$4:$F$1200,5,FALSE()),"")</f>
        <v>0</v>
      </c>
      <c r="I292" s="7"/>
      <c r="J292" s="7"/>
      <c r="K292" s="3"/>
      <c r="L292" s="228" t="s">
        <v>4239</v>
      </c>
      <c r="M292" s="7" t="s">
        <v>24</v>
      </c>
      <c r="N292" s="176" t="s">
        <v>24</v>
      </c>
      <c r="O292" s="191" t="str">
        <f>HYPERLINK("https://leetcode.com/problems/best-poker-hand/","https://leetcode.com/problems/best-poker-hand/")</f>
        <v>https://leetcode.com/problems/best-poker-hand/</v>
      </c>
    </row>
    <row r="293" spans="1:15" ht="31.5" customHeight="1" x14ac:dyDescent="0.2">
      <c r="A293" s="118">
        <v>288</v>
      </c>
      <c r="B293" s="118">
        <v>2351</v>
      </c>
      <c r="C293" s="119" t="s">
        <v>2912</v>
      </c>
      <c r="D293" s="118" t="s">
        <v>4853</v>
      </c>
      <c r="E293" s="123" t="s">
        <v>20</v>
      </c>
      <c r="F293" s="121" t="s">
        <v>897</v>
      </c>
      <c r="G293" s="121" t="s">
        <v>4244</v>
      </c>
      <c r="H293" s="118">
        <f>IFERROR(VLOOKUP(B293,'📊 Problem Tracker'!$B$4:$F$1200,5,FALSE()),"")</f>
        <v>0</v>
      </c>
      <c r="I293" s="118"/>
      <c r="J293" s="118"/>
      <c r="K293" s="121"/>
      <c r="L293" s="269" t="s">
        <v>705</v>
      </c>
      <c r="M293" s="118" t="s">
        <v>24</v>
      </c>
      <c r="N293" s="180" t="s">
        <v>24</v>
      </c>
      <c r="O293" s="193" t="str">
        <f>HYPERLINK("https://leetcode.com/problems/first-letter-to-appear-twice/","https://leetcode.com/problems/first-letter-to-appear-twice/")</f>
        <v>https://leetcode.com/problems/first-letter-to-appear-twice/</v>
      </c>
    </row>
    <row r="294" spans="1:15" ht="31.5" customHeight="1" x14ac:dyDescent="0.2">
      <c r="A294" s="7">
        <v>289</v>
      </c>
      <c r="B294" s="7">
        <v>2397</v>
      </c>
      <c r="C294" s="13" t="s">
        <v>2932</v>
      </c>
      <c r="D294" s="7" t="s">
        <v>4498</v>
      </c>
      <c r="E294" s="18" t="s">
        <v>28</v>
      </c>
      <c r="F294" s="3" t="s">
        <v>4854</v>
      </c>
      <c r="G294" s="3" t="s">
        <v>4855</v>
      </c>
      <c r="H294" s="7">
        <f>IFERROR(VLOOKUP(B294,'📊 Problem Tracker'!$B$4:$F$1200,5,FALSE()),"")</f>
        <v>0</v>
      </c>
      <c r="I294" s="7"/>
      <c r="J294" s="7"/>
      <c r="K294" s="3"/>
      <c r="L294" s="228" t="s">
        <v>230</v>
      </c>
      <c r="M294" s="7" t="s">
        <v>2933</v>
      </c>
      <c r="N294" s="176" t="s">
        <v>2095</v>
      </c>
      <c r="O294" s="191" t="str">
        <f>HYPERLINK("https://leetcode.com/problems/maximum-rows-covered-by-columns/","https://leetcode.com/problems/maximum-rows-covered-by-columns/")</f>
        <v>https://leetcode.com/problems/maximum-rows-covered-by-columns/</v>
      </c>
    </row>
    <row r="295" spans="1:15" ht="31.5" customHeight="1" x14ac:dyDescent="0.2">
      <c r="A295" s="118">
        <v>290</v>
      </c>
      <c r="B295" s="118">
        <v>2502</v>
      </c>
      <c r="C295" s="119" t="s">
        <v>2969</v>
      </c>
      <c r="D295" s="118" t="s">
        <v>4600</v>
      </c>
      <c r="E295" s="120" t="s">
        <v>28</v>
      </c>
      <c r="F295" s="121" t="s">
        <v>1099</v>
      </c>
      <c r="G295" s="121" t="s">
        <v>4756</v>
      </c>
      <c r="H295" s="118">
        <f>IFERROR(VLOOKUP(B295,'📊 Problem Tracker'!$B$4:$F$1200,5,FALSE()),"")</f>
        <v>0</v>
      </c>
      <c r="I295" s="118"/>
      <c r="J295" s="118"/>
      <c r="K295" s="121"/>
      <c r="L295" s="269" t="s">
        <v>654</v>
      </c>
      <c r="M295" s="118" t="s">
        <v>24</v>
      </c>
      <c r="N295" s="180" t="s">
        <v>24</v>
      </c>
      <c r="O295" s="193" t="str">
        <f>HYPERLINK("https://leetcode.com/problems/design-memory-allocator/","https://leetcode.com/problems/design-memory-allocator/")</f>
        <v>https://leetcode.com/problems/design-memory-allocator/</v>
      </c>
    </row>
    <row r="296" spans="1:15" ht="31.5" customHeight="1" x14ac:dyDescent="0.2">
      <c r="A296" s="7">
        <v>291</v>
      </c>
      <c r="B296" s="7">
        <v>2591</v>
      </c>
      <c r="C296" s="13" t="s">
        <v>2983</v>
      </c>
      <c r="D296" s="7" t="s">
        <v>4856</v>
      </c>
      <c r="E296" s="21" t="s">
        <v>20</v>
      </c>
      <c r="F296" s="3" t="s">
        <v>2984</v>
      </c>
      <c r="G296" s="3"/>
      <c r="H296" s="7">
        <f>IFERROR(VLOOKUP(B296,'📊 Problem Tracker'!$B$4:$F$1200,5,FALSE()),"")</f>
        <v>0</v>
      </c>
      <c r="I296" s="7"/>
      <c r="J296" s="7"/>
      <c r="K296" s="3"/>
      <c r="L296" s="228" t="s">
        <v>4239</v>
      </c>
      <c r="M296" s="7" t="s">
        <v>24</v>
      </c>
      <c r="N296" s="176" t="s">
        <v>24</v>
      </c>
      <c r="O296" s="191" t="str">
        <f>HYPERLINK("https://leetcode.com/problems/distribute-money-to-maximum-children/","https://leetcode.com/problems/distribute-money-to-maximum-children/")</f>
        <v>https://leetcode.com/problems/distribute-money-to-maximum-children/</v>
      </c>
    </row>
    <row r="297" spans="1:15" ht="31.5" customHeight="1" x14ac:dyDescent="0.2">
      <c r="A297" s="118">
        <v>292</v>
      </c>
      <c r="B297" s="118">
        <v>2788</v>
      </c>
      <c r="C297" s="119" t="s">
        <v>3037</v>
      </c>
      <c r="D297" s="118" t="s">
        <v>4857</v>
      </c>
      <c r="E297" s="123" t="s">
        <v>20</v>
      </c>
      <c r="F297" s="121" t="s">
        <v>387</v>
      </c>
      <c r="G297" s="121" t="s">
        <v>98</v>
      </c>
      <c r="H297" s="118">
        <f>IFERROR(VLOOKUP(B297,'📊 Problem Tracker'!$B$4:$F$1200,5,FALSE()),"")</f>
        <v>0</v>
      </c>
      <c r="I297" s="118"/>
      <c r="J297" s="118"/>
      <c r="K297" s="121"/>
      <c r="L297" s="269" t="s">
        <v>750</v>
      </c>
      <c r="M297" s="118" t="s">
        <v>24</v>
      </c>
      <c r="N297" s="180" t="s">
        <v>24</v>
      </c>
      <c r="O297" s="193" t="str">
        <f>HYPERLINK("https://leetcode.com/problems/split-strings-by-separator/","https://leetcode.com/problems/split-strings-by-separator/")</f>
        <v>https://leetcode.com/problems/split-strings-by-separator/</v>
      </c>
    </row>
    <row r="298" spans="1:15" ht="31.5" customHeight="1" x14ac:dyDescent="0.2">
      <c r="A298" s="7">
        <v>293</v>
      </c>
      <c r="B298" s="7">
        <v>2970</v>
      </c>
      <c r="C298" s="13" t="s">
        <v>3080</v>
      </c>
      <c r="D298" s="7" t="s">
        <v>4614</v>
      </c>
      <c r="E298" s="21" t="s">
        <v>20</v>
      </c>
      <c r="F298" s="3" t="s">
        <v>84</v>
      </c>
      <c r="G298" s="3" t="s">
        <v>689</v>
      </c>
      <c r="H298" s="7">
        <f>IFERROR(VLOOKUP(B298,'📊 Problem Tracker'!$B$4:$F$1200,5,FALSE()),"")</f>
        <v>0</v>
      </c>
      <c r="I298" s="7"/>
      <c r="J298" s="7"/>
      <c r="K298" s="3"/>
      <c r="L298" s="228" t="s">
        <v>690</v>
      </c>
      <c r="M298" s="7" t="s">
        <v>341</v>
      </c>
      <c r="N298" s="176" t="s">
        <v>47</v>
      </c>
      <c r="O298" s="191" t="str">
        <f>HYPERLINK("https://leetcode.com/problems/count-the-number-of-incremovable-subarrays-i/","https://leetcode.com/problems/count-the-number-of-incremovable-subarrays-i/")</f>
        <v>https://leetcode.com/problems/count-the-number-of-incremovable-subarrays-i/</v>
      </c>
    </row>
    <row r="299" spans="1:15" ht="31.5" customHeight="1" x14ac:dyDescent="0.2">
      <c r="A299" s="118">
        <v>294</v>
      </c>
      <c r="B299" s="118">
        <v>2972</v>
      </c>
      <c r="C299" s="119" t="s">
        <v>3082</v>
      </c>
      <c r="D299" s="118" t="s">
        <v>4858</v>
      </c>
      <c r="E299" s="122" t="s">
        <v>42</v>
      </c>
      <c r="F299" s="121" t="s">
        <v>84</v>
      </c>
      <c r="G299" s="121" t="s">
        <v>689</v>
      </c>
      <c r="H299" s="118">
        <f>IFERROR(VLOOKUP(B299,'📊 Problem Tracker'!$B$4:$F$1200,5,FALSE()),"")</f>
        <v>0</v>
      </c>
      <c r="I299" s="118"/>
      <c r="J299" s="118"/>
      <c r="K299" s="121"/>
      <c r="L299" s="269" t="s">
        <v>690</v>
      </c>
      <c r="M299" s="118" t="s">
        <v>24</v>
      </c>
      <c r="N299" s="180" t="s">
        <v>47</v>
      </c>
      <c r="O299" s="193" t="str">
        <f>HYPERLINK("https://leetcode.com/problems/count-the-number-of-incremovable-subarrays-ii/","https://leetcode.com/problems/count-the-number-of-incremovable-subarrays-ii/")</f>
        <v>https://leetcode.com/problems/count-the-number-of-incremovable-subarrays-ii/</v>
      </c>
    </row>
    <row r="300" spans="1:15" ht="31.5" customHeight="1" x14ac:dyDescent="0.2">
      <c r="A300" s="7">
        <v>295</v>
      </c>
      <c r="B300" s="7">
        <v>3030</v>
      </c>
      <c r="C300" s="13" t="s">
        <v>3102</v>
      </c>
      <c r="D300" s="7" t="s">
        <v>4611</v>
      </c>
      <c r="E300" s="18" t="s">
        <v>28</v>
      </c>
      <c r="F300" s="3" t="s">
        <v>283</v>
      </c>
      <c r="G300" s="3" t="s">
        <v>4859</v>
      </c>
      <c r="H300" s="7">
        <f>IFERROR(VLOOKUP(B300,'📊 Problem Tracker'!$B$4:$F$1200,5,FALSE()),"")</f>
        <v>0</v>
      </c>
      <c r="I300" s="7"/>
      <c r="J300" s="7"/>
      <c r="K300" s="3"/>
      <c r="L300" s="228" t="s">
        <v>654</v>
      </c>
      <c r="M300" s="7" t="s">
        <v>81</v>
      </c>
      <c r="N300" s="176" t="s">
        <v>81</v>
      </c>
      <c r="O300" s="191" t="str">
        <f>HYPERLINK("https://leetcode.com/problems/find-the-grid-of-region-average/","https://leetcode.com/problems/find-the-grid-of-region-average/")</f>
        <v>https://leetcode.com/problems/find-the-grid-of-region-average/</v>
      </c>
    </row>
    <row r="301" spans="1:15" ht="31.5" customHeight="1" x14ac:dyDescent="0.2">
      <c r="A301" s="118">
        <v>296</v>
      </c>
      <c r="B301" s="118">
        <v>3040</v>
      </c>
      <c r="C301" s="119" t="s">
        <v>3106</v>
      </c>
      <c r="D301" s="118" t="s">
        <v>4666</v>
      </c>
      <c r="E301" s="120" t="s">
        <v>28</v>
      </c>
      <c r="F301" s="121" t="s">
        <v>309</v>
      </c>
      <c r="G301" s="121" t="s">
        <v>1042</v>
      </c>
      <c r="H301" s="118">
        <f>IFERROR(VLOOKUP(B301,'📊 Problem Tracker'!$B$4:$F$1200,5,FALSE()),"")</f>
        <v>0</v>
      </c>
      <c r="I301" s="118"/>
      <c r="J301" s="118"/>
      <c r="K301" s="121"/>
      <c r="L301" s="269" t="s">
        <v>508</v>
      </c>
      <c r="M301" s="118" t="s">
        <v>24</v>
      </c>
      <c r="N301" s="180" t="s">
        <v>24</v>
      </c>
      <c r="O301" s="193" t="str">
        <f>HYPERLINK("https://leetcode.com/problems/maximum-number-of-operations-with-the-same-score-ii/","https://leetcode.com/problems/maximum-number-of-operations-with-the-same-score-ii/")</f>
        <v>https://leetcode.com/problems/maximum-number-of-operations-with-the-same-score-ii/</v>
      </c>
    </row>
    <row r="302" spans="1:15" ht="31.5" customHeight="1" x14ac:dyDescent="0.2">
      <c r="A302" s="7">
        <v>297</v>
      </c>
      <c r="B302" s="7">
        <v>3074</v>
      </c>
      <c r="C302" s="13" t="s">
        <v>3110</v>
      </c>
      <c r="D302" s="7" t="s">
        <v>4860</v>
      </c>
      <c r="E302" s="21" t="s">
        <v>20</v>
      </c>
      <c r="F302" s="3" t="s">
        <v>376</v>
      </c>
      <c r="G302" s="3" t="s">
        <v>4861</v>
      </c>
      <c r="H302" s="7">
        <f>IFERROR(VLOOKUP(B302,'📊 Problem Tracker'!$B$4:$F$1200,5,FALSE()),"")</f>
        <v>0</v>
      </c>
      <c r="I302" s="7"/>
      <c r="J302" s="7"/>
      <c r="K302" s="3"/>
      <c r="L302" s="228" t="s">
        <v>230</v>
      </c>
      <c r="M302" s="7" t="s">
        <v>326</v>
      </c>
      <c r="N302" s="176" t="s">
        <v>47</v>
      </c>
      <c r="O302" s="191" t="str">
        <f>HYPERLINK("https://leetcode.com/problems/apple-redistribution-into-boxes/","https://leetcode.com/problems/apple-redistribution-into-boxes/")</f>
        <v>https://leetcode.com/problems/apple-redistribution-into-boxes/</v>
      </c>
    </row>
    <row r="303" spans="1:15" ht="31.5" customHeight="1" x14ac:dyDescent="0.2">
      <c r="A303" s="118">
        <v>298</v>
      </c>
      <c r="B303" s="118">
        <v>3163</v>
      </c>
      <c r="C303" s="119" t="s">
        <v>3127</v>
      </c>
      <c r="D303" s="118" t="s">
        <v>4862</v>
      </c>
      <c r="E303" s="120" t="s">
        <v>28</v>
      </c>
      <c r="F303" s="121" t="s">
        <v>98</v>
      </c>
      <c r="G303" s="121" t="s">
        <v>98</v>
      </c>
      <c r="H303" s="118">
        <f>IFERROR(VLOOKUP(B303,'📊 Problem Tracker'!$B$4:$F$1200,5,FALSE()),"")</f>
        <v>0</v>
      </c>
      <c r="I303" s="118"/>
      <c r="J303" s="118"/>
      <c r="K303" s="121"/>
      <c r="L303" s="269" t="s">
        <v>750</v>
      </c>
      <c r="M303" s="118" t="s">
        <v>24</v>
      </c>
      <c r="N303" s="180" t="s">
        <v>24</v>
      </c>
      <c r="O303" s="193" t="str">
        <f>HYPERLINK("https://leetcode.com/problems/string-compression-iii/","https://leetcode.com/problems/string-compression-iii/")</f>
        <v>https://leetcode.com/problems/string-compression-iii/</v>
      </c>
    </row>
  </sheetData>
  <autoFilter ref="A5:O5" xr:uid="{00000000-0001-0000-0F00-000000000000}"/>
  <mergeCells count="3">
    <mergeCell ref="A1:K2"/>
    <mergeCell ref="A4:K4"/>
    <mergeCell ref="A3:K3"/>
  </mergeCells>
  <hyperlinks>
    <hyperlink ref="O6" r:id="rId1" display="https://leetcode.com/problems/two-sum/" xr:uid="{00000000-0004-0000-0F00-000000000000}"/>
    <hyperlink ref="O7" r:id="rId2" display="https://leetcode.com/problems/add-two-numbers/" xr:uid="{00000000-0004-0000-0F00-000001000000}"/>
    <hyperlink ref="O8" r:id="rId3" display="https://leetcode.com/problems/longest-substring-without-repeating-characters/" xr:uid="{00000000-0004-0000-0F00-000002000000}"/>
    <hyperlink ref="O9" r:id="rId4" display="https://leetcode.com/problems/median-of-two-sorted-arrays/" xr:uid="{00000000-0004-0000-0F00-000003000000}"/>
    <hyperlink ref="O10" r:id="rId5" display="https://leetcode.com/problems/longest-palindromic-substring/" xr:uid="{00000000-0004-0000-0F00-000004000000}"/>
    <hyperlink ref="O11" r:id="rId6" display="https://leetcode.com/problems/zigzag-conversion/" xr:uid="{00000000-0004-0000-0F00-000005000000}"/>
    <hyperlink ref="O12" r:id="rId7" display="https://leetcode.com/problems/reverse-integer/" xr:uid="{00000000-0004-0000-0F00-000006000000}"/>
    <hyperlink ref="O13" r:id="rId8" display="https://leetcode.com/problems/string-to-integer-atoi/" xr:uid="{00000000-0004-0000-0F00-000007000000}"/>
    <hyperlink ref="O14" r:id="rId9" display="https://leetcode.com/problems/regular-expression-matching/" xr:uid="{00000000-0004-0000-0F00-000008000000}"/>
    <hyperlink ref="O15" r:id="rId10" display="https://leetcode.com/problems/container-with-most-water/" xr:uid="{00000000-0004-0000-0F00-000009000000}"/>
    <hyperlink ref="O16" r:id="rId11" display="https://leetcode.com/problems/roman-to-integer/" xr:uid="{00000000-0004-0000-0F00-00000A000000}"/>
    <hyperlink ref="O17" r:id="rId12" display="https://leetcode.com/problems/longest-common-prefix/" xr:uid="{00000000-0004-0000-0F00-00000B000000}"/>
    <hyperlink ref="O18" r:id="rId13" display="https://leetcode.com/problems/3sum/" xr:uid="{00000000-0004-0000-0F00-00000C000000}"/>
    <hyperlink ref="O19" r:id="rId14" display="https://leetcode.com/problems/letter-combinations-of-a-phone-number/" xr:uid="{00000000-0004-0000-0F00-00000D000000}"/>
    <hyperlink ref="O20" r:id="rId15" display="https://leetcode.com/problems/4sum/" xr:uid="{00000000-0004-0000-0F00-00000E000000}"/>
    <hyperlink ref="O21" r:id="rId16" display="https://leetcode.com/problems/remove-nth-node-from-end-of-list/" xr:uid="{00000000-0004-0000-0F00-00000F000000}"/>
    <hyperlink ref="O22" r:id="rId17" display="https://leetcode.com/problems/valid-parentheses/" xr:uid="{00000000-0004-0000-0F00-000010000000}"/>
    <hyperlink ref="O23" r:id="rId18" display="https://leetcode.com/problems/merge-two-sorted-lists/" xr:uid="{00000000-0004-0000-0F00-000011000000}"/>
    <hyperlink ref="O24" r:id="rId19" display="https://leetcode.com/problems/generate-parentheses/" xr:uid="{00000000-0004-0000-0F00-000012000000}"/>
    <hyperlink ref="O25" r:id="rId20" display="https://leetcode.com/problems/merge-k-sorted-lists/" xr:uid="{00000000-0004-0000-0F00-000013000000}"/>
    <hyperlink ref="O26" r:id="rId21" display="https://leetcode.com/problems/reverse-nodes-in-k-group/" xr:uid="{00000000-0004-0000-0F00-000014000000}"/>
    <hyperlink ref="O27" r:id="rId22" display="https://leetcode.com/problems/remove-duplicates-from-sorted-array/" xr:uid="{00000000-0004-0000-0F00-000015000000}"/>
    <hyperlink ref="O28" r:id="rId23" display="https://leetcode.com/problems/remove-element/" xr:uid="{00000000-0004-0000-0F00-000016000000}"/>
    <hyperlink ref="O29" r:id="rId24" display="https://leetcode.com/problems/find-the-index-of-the-first-occurrence-in-a-string/" xr:uid="{00000000-0004-0000-0F00-000017000000}"/>
    <hyperlink ref="O30" r:id="rId25" display="https://leetcode.com/problems/substring-with-concatenation-of-all-words/" xr:uid="{00000000-0004-0000-0F00-000018000000}"/>
    <hyperlink ref="O31" r:id="rId26" display="https://leetcode.com/problems/search-in-rotated-sorted-array/" xr:uid="{00000000-0004-0000-0F00-000019000000}"/>
    <hyperlink ref="O32" r:id="rId27" display="https://leetcode.com/problems/find-first-and-last-position-of-element-in-sorted-array/" xr:uid="{00000000-0004-0000-0F00-00001A000000}"/>
    <hyperlink ref="O33" r:id="rId28" display="https://leetcode.com/problems/valid-sudoku/" xr:uid="{00000000-0004-0000-0F00-00001B000000}"/>
    <hyperlink ref="O34" r:id="rId29" display="https://leetcode.com/problems/sudoku-solver/" xr:uid="{00000000-0004-0000-0F00-00001C000000}"/>
    <hyperlink ref="O35" r:id="rId30" display="https://leetcode.com/problems/combination-sum/" xr:uid="{00000000-0004-0000-0F00-00001D000000}"/>
    <hyperlink ref="O36" r:id="rId31" display="https://leetcode.com/problems/first-missing-positive/" xr:uid="{00000000-0004-0000-0F00-00001E000000}"/>
    <hyperlink ref="O37" r:id="rId32" display="https://leetcode.com/problems/trapping-rain-water/" xr:uid="{00000000-0004-0000-0F00-00001F000000}"/>
    <hyperlink ref="O38" r:id="rId33" display="https://leetcode.com/problems/jump-game-ii/" xr:uid="{00000000-0004-0000-0F00-000020000000}"/>
    <hyperlink ref="O39" r:id="rId34" display="https://leetcode.com/problems/permutations/" xr:uid="{00000000-0004-0000-0F00-000021000000}"/>
    <hyperlink ref="O40" r:id="rId35" display="https://leetcode.com/problems/permutations-ii/" xr:uid="{00000000-0004-0000-0F00-000022000000}"/>
    <hyperlink ref="O41" r:id="rId36" display="https://leetcode.com/problems/rotate-image/" xr:uid="{00000000-0004-0000-0F00-000023000000}"/>
    <hyperlink ref="O42" r:id="rId37" display="https://leetcode.com/problems/group-anagrams/" xr:uid="{00000000-0004-0000-0F00-000024000000}"/>
    <hyperlink ref="O43" r:id="rId38" display="https://leetcode.com/problems/maximum-subarray/" xr:uid="{00000000-0004-0000-0F00-000025000000}"/>
    <hyperlink ref="O44" r:id="rId39" display="https://leetcode.com/problems/spiral-matrix/" xr:uid="{00000000-0004-0000-0F00-000026000000}"/>
    <hyperlink ref="O45" r:id="rId40" display="https://leetcode.com/problems/jump-game/" xr:uid="{00000000-0004-0000-0F00-000027000000}"/>
    <hyperlink ref="O46" r:id="rId41" display="https://leetcode.com/problems/merge-intervals/" xr:uid="{00000000-0004-0000-0F00-000028000000}"/>
    <hyperlink ref="O47" r:id="rId42" display="https://leetcode.com/problems/insert-interval/" xr:uid="{00000000-0004-0000-0F00-000029000000}"/>
    <hyperlink ref="O48" r:id="rId43" display="https://leetcode.com/problems/add-binary/" xr:uid="{00000000-0004-0000-0F00-00002A000000}"/>
    <hyperlink ref="O49" r:id="rId44" display="https://leetcode.com/problems/text-justification/" xr:uid="{00000000-0004-0000-0F00-00002B000000}"/>
    <hyperlink ref="O50" r:id="rId45" display="https://leetcode.com/problems/sqrtx/" xr:uid="{00000000-0004-0000-0F00-00002C000000}"/>
    <hyperlink ref="O51" r:id="rId46" display="https://leetcode.com/problems/climbing-stairs/" xr:uid="{00000000-0004-0000-0F00-00002D000000}"/>
    <hyperlink ref="O52" r:id="rId47" display="https://leetcode.com/problems/simplify-path/" xr:uid="{00000000-0004-0000-0F00-00002E000000}"/>
    <hyperlink ref="O53" r:id="rId48" display="https://leetcode.com/problems/edit-distance/" xr:uid="{00000000-0004-0000-0F00-00002F000000}"/>
    <hyperlink ref="O54" r:id="rId49" display="https://leetcode.com/problems/set-matrix-zeroes/" xr:uid="{00000000-0004-0000-0F00-000030000000}"/>
    <hyperlink ref="O55" r:id="rId50" display="https://leetcode.com/problems/search-a-2d-matrix/" xr:uid="{00000000-0004-0000-0F00-000031000000}"/>
    <hyperlink ref="O56" r:id="rId51" display="https://leetcode.com/problems/sort-colors/" xr:uid="{00000000-0004-0000-0F00-000032000000}"/>
    <hyperlink ref="O57" r:id="rId52" display="https://leetcode.com/problems/minimum-window-substring/" xr:uid="{00000000-0004-0000-0F00-000033000000}"/>
    <hyperlink ref="O58" r:id="rId53" display="https://leetcode.com/problems/word-search/" xr:uid="{00000000-0004-0000-0F00-000034000000}"/>
    <hyperlink ref="O59" r:id="rId54" display="https://leetcode.com/problems/remove-duplicates-from-sorted-list-ii/" xr:uid="{00000000-0004-0000-0F00-000035000000}"/>
    <hyperlink ref="O60" r:id="rId55" display="https://leetcode.com/problems/largest-rectangle-in-histogram/" xr:uid="{00000000-0004-0000-0F00-000036000000}"/>
    <hyperlink ref="O61" r:id="rId56" display="https://leetcode.com/problems/merge-sorted-array/" xr:uid="{00000000-0004-0000-0F00-000037000000}"/>
    <hyperlink ref="O62" r:id="rId57" display="https://leetcode.com/problems/subsets-ii/" xr:uid="{00000000-0004-0000-0F00-000038000000}"/>
    <hyperlink ref="O63" r:id="rId58" display="https://leetcode.com/problems/decode-ways/" xr:uid="{00000000-0004-0000-0F00-000039000000}"/>
    <hyperlink ref="O64" r:id="rId59" display="https://leetcode.com/problems/reverse-linked-list-ii/" xr:uid="{00000000-0004-0000-0F00-00003A000000}"/>
    <hyperlink ref="O65" r:id="rId60" display="https://leetcode.com/problems/interleaving-string/" xr:uid="{00000000-0004-0000-0F00-00003B000000}"/>
    <hyperlink ref="O66" r:id="rId61" display="https://leetcode.com/problems/validate-binary-search-tree/" xr:uid="{00000000-0004-0000-0F00-00003C000000}"/>
    <hyperlink ref="O67" r:id="rId62" display="https://leetcode.com/problems/same-tree/" xr:uid="{00000000-0004-0000-0F00-00003D000000}"/>
    <hyperlink ref="O68" r:id="rId63" display="https://leetcode.com/problems/symmetric-tree/" xr:uid="{00000000-0004-0000-0F00-00003E000000}"/>
    <hyperlink ref="O69" r:id="rId64" display="https://leetcode.com/problems/binary-tree-level-order-traversal/" xr:uid="{00000000-0004-0000-0F00-00003F000000}"/>
    <hyperlink ref="O70" r:id="rId65" display="https://leetcode.com/problems/binary-tree-zigzag-level-order-traversal/" xr:uid="{00000000-0004-0000-0F00-000040000000}"/>
    <hyperlink ref="O71" r:id="rId66" display="https://leetcode.com/problems/maximum-depth-of-binary-tree/" xr:uid="{00000000-0004-0000-0F00-000041000000}"/>
    <hyperlink ref="O72" r:id="rId67" display="https://leetcode.com/problems/convert-sorted-array-to-binary-search-tree/" xr:uid="{00000000-0004-0000-0F00-000042000000}"/>
    <hyperlink ref="O73" r:id="rId68" display="https://leetcode.com/problems/convert-sorted-list-to-binary-search-tree/" xr:uid="{00000000-0004-0000-0F00-000043000000}"/>
    <hyperlink ref="O74" r:id="rId69" display="https://leetcode.com/problems/path-sum/" xr:uid="{00000000-0004-0000-0F00-000044000000}"/>
    <hyperlink ref="O75" r:id="rId70" display="https://leetcode.com/problems/pascals-triangle/" xr:uid="{00000000-0004-0000-0F00-000045000000}"/>
    <hyperlink ref="O76" r:id="rId71" display="https://leetcode.com/problems/best-time-to-buy-and-sell-stock/" xr:uid="{00000000-0004-0000-0F00-000046000000}"/>
    <hyperlink ref="O77" r:id="rId72" display="https://leetcode.com/problems/best-time-to-buy-and-sell-stock-ii/" xr:uid="{00000000-0004-0000-0F00-000047000000}"/>
    <hyperlink ref="O78" r:id="rId73" display="https://leetcode.com/problems/best-time-to-buy-and-sell-stock-iii/" xr:uid="{00000000-0004-0000-0F00-000048000000}"/>
    <hyperlink ref="O79" r:id="rId74" display="https://leetcode.com/problems/binary-tree-maximum-path-sum/" xr:uid="{00000000-0004-0000-0F00-000049000000}"/>
    <hyperlink ref="O80" r:id="rId75" display="https://leetcode.com/problems/valid-palindrome/" xr:uid="{00000000-0004-0000-0F00-00004A000000}"/>
    <hyperlink ref="O81" r:id="rId76" display="https://leetcode.com/problems/word-ladder-ii/" xr:uid="{00000000-0004-0000-0F00-00004B000000}"/>
    <hyperlink ref="O82" r:id="rId77" display="https://leetcode.com/problems/word-ladder/" xr:uid="{00000000-0004-0000-0F00-00004C000000}"/>
    <hyperlink ref="O83" r:id="rId78" display="https://leetcode.com/problems/longest-consecutive-sequence/" xr:uid="{00000000-0004-0000-0F00-00004D000000}"/>
    <hyperlink ref="O84" r:id="rId79" display="https://leetcode.com/problems/clone-graph/" xr:uid="{00000000-0004-0000-0F00-00004E000000}"/>
    <hyperlink ref="O85" r:id="rId80" display="https://leetcode.com/problems/gas-station/" xr:uid="{00000000-0004-0000-0F00-00004F000000}"/>
    <hyperlink ref="O86" r:id="rId81" display="https://leetcode.com/problems/copy-list-with-random-pointer/" xr:uid="{00000000-0004-0000-0F00-000050000000}"/>
    <hyperlink ref="O87" r:id="rId82" display="https://leetcode.com/problems/word-break/" xr:uid="{00000000-0004-0000-0F00-000051000000}"/>
    <hyperlink ref="O88" r:id="rId83" display="https://leetcode.com/problems/reorder-list/" xr:uid="{00000000-0004-0000-0F00-000052000000}"/>
    <hyperlink ref="O89" r:id="rId84" display="https://leetcode.com/problems/lru-cache/" xr:uid="{00000000-0004-0000-0F00-000053000000}"/>
    <hyperlink ref="O90" r:id="rId85" display="https://leetcode.com/problems/max-points-on-a-line/" xr:uid="{00000000-0004-0000-0F00-000054000000}"/>
    <hyperlink ref="O91" r:id="rId86" display="https://leetcode.com/problems/evaluate-reverse-polish-notation/" xr:uid="{00000000-0004-0000-0F00-000055000000}"/>
    <hyperlink ref="O92" r:id="rId87" display="https://leetcode.com/problems/reverse-words-in-a-string/" xr:uid="{00000000-0004-0000-0F00-000056000000}"/>
    <hyperlink ref="O93" r:id="rId88" display="https://leetcode.com/problems/find-minimum-in-rotated-sorted-array/" xr:uid="{00000000-0004-0000-0F00-000057000000}"/>
    <hyperlink ref="O94" r:id="rId89" display="https://leetcode.com/problems/min-stack/" xr:uid="{00000000-0004-0000-0F00-000058000000}"/>
    <hyperlink ref="O95" r:id="rId90" display="https://leetcode.com/problems/read-n-characters-given-read4/" xr:uid="{00000000-0004-0000-0F00-000059000000}"/>
    <hyperlink ref="O96" r:id="rId91" display="https://leetcode.com/problems/read-n-characters-given-read4-ii-call-multiple-times/" xr:uid="{00000000-0004-0000-0F00-00005A000000}"/>
    <hyperlink ref="O97" r:id="rId92" display="https://leetcode.com/problems/intersection-of-two-linked-lists/" xr:uid="{00000000-0004-0000-0F00-00005B000000}"/>
    <hyperlink ref="O98" r:id="rId93" display="https://leetcode.com/problems/one-edit-distance/" xr:uid="{00000000-0004-0000-0F00-00005C000000}"/>
    <hyperlink ref="O99" r:id="rId94" display="https://leetcode.com/problems/find-peak-element/" xr:uid="{00000000-0004-0000-0F00-00005D000000}"/>
    <hyperlink ref="O100" r:id="rId95" display="https://leetcode.com/problems/missing-ranges/" xr:uid="{00000000-0004-0000-0F00-00005E000000}"/>
    <hyperlink ref="O101" r:id="rId96" display="https://leetcode.com/problems/compare-version-numbers/" xr:uid="{00000000-0004-0000-0F00-00005F000000}"/>
    <hyperlink ref="O102" r:id="rId97" display="https://leetcode.com/problems/two-sum-ii-input-array-is-sorted/" xr:uid="{00000000-0004-0000-0F00-000060000000}"/>
    <hyperlink ref="O103" r:id="rId98" display="https://leetcode.com/problems/binary-search-tree-iterator/" xr:uid="{00000000-0004-0000-0F00-000061000000}"/>
    <hyperlink ref="O104" r:id="rId99" display="https://leetcode.com/problems/second-highest-salary/" xr:uid="{00000000-0004-0000-0F00-000062000000}"/>
    <hyperlink ref="O105" r:id="rId100" display="https://leetcode.com/problems/best-time-to-buy-and-sell-stock-iv/" xr:uid="{00000000-0004-0000-0F00-000063000000}"/>
    <hyperlink ref="O106" r:id="rId101" display="https://leetcode.com/problems/rotate-array/" xr:uid="{00000000-0004-0000-0F00-000064000000}"/>
    <hyperlink ref="O107" r:id="rId102" display="https://leetcode.com/problems/reverse-bits/" xr:uid="{00000000-0004-0000-0F00-000065000000}"/>
    <hyperlink ref="O108" r:id="rId103" display="https://leetcode.com/problems/number-of-1-bits/" xr:uid="{00000000-0004-0000-0F00-000066000000}"/>
    <hyperlink ref="O109" r:id="rId104" display="https://leetcode.com/problems/house-robber/" xr:uid="{00000000-0004-0000-0F00-000067000000}"/>
    <hyperlink ref="O110" r:id="rId105" display="https://leetcode.com/problems/binary-tree-right-side-view/" xr:uid="{00000000-0004-0000-0F00-000068000000}"/>
    <hyperlink ref="O111" r:id="rId106" display="https://leetcode.com/problems/number-of-islands/" xr:uid="{00000000-0004-0000-0F00-000069000000}"/>
    <hyperlink ref="O112" r:id="rId107" display="https://leetcode.com/problems/happy-number/" xr:uid="{00000000-0004-0000-0F00-00006A000000}"/>
    <hyperlink ref="O113" r:id="rId108" display="https://leetcode.com/problems/remove-linked-list-elements/" xr:uid="{00000000-0004-0000-0F00-00006B000000}"/>
    <hyperlink ref="O114" r:id="rId109" display="https://leetcode.com/problems/count-primes/" xr:uid="{00000000-0004-0000-0F00-00006C000000}"/>
    <hyperlink ref="O115" r:id="rId110" display="https://leetcode.com/problems/reverse-linked-list/" xr:uid="{00000000-0004-0000-0F00-00006D000000}"/>
    <hyperlink ref="O116" r:id="rId111" display="https://leetcode.com/problems/course-schedule/" xr:uid="{00000000-0004-0000-0F00-00006E000000}"/>
    <hyperlink ref="O117" r:id="rId112" display="https://leetcode.com/problems/implement-trie-prefix-tree/" xr:uid="{00000000-0004-0000-0F00-00006F000000}"/>
    <hyperlink ref="O118" r:id="rId113" display="https://leetcode.com/problems/minimum-size-subarray-sum/" xr:uid="{00000000-0004-0000-0F00-000070000000}"/>
    <hyperlink ref="O119" r:id="rId114" display="https://leetcode.com/problems/course-schedule-ii/" xr:uid="{00000000-0004-0000-0F00-000071000000}"/>
    <hyperlink ref="O120" r:id="rId115" display="https://leetcode.com/problems/add-and-search-word-data-structure-design/" xr:uid="{00000000-0004-0000-0F00-000072000000}"/>
    <hyperlink ref="O121" r:id="rId116" display="https://leetcode.com/problems/word-search-ii/" xr:uid="{00000000-0004-0000-0F00-000073000000}"/>
    <hyperlink ref="O122" r:id="rId117" display="https://leetcode.com/problems/house-robber-ii/" xr:uid="{00000000-0004-0000-0F00-000074000000}"/>
    <hyperlink ref="O123" r:id="rId118" display="https://leetcode.com/problems/kth-largest-element-in-an-array/" xr:uid="{00000000-0004-0000-0F00-000075000000}"/>
    <hyperlink ref="O124" r:id="rId119" display="https://leetcode.com/problems/contains-duplicate/" xr:uid="{00000000-0004-0000-0F00-000076000000}"/>
    <hyperlink ref="O125" r:id="rId120" display="https://leetcode.com/problems/the-skyline-problem/" xr:uid="{00000000-0004-0000-0F00-000077000000}"/>
    <hyperlink ref="O126" r:id="rId121" display="https://leetcode.com/problems/contains-duplicate-ii/" xr:uid="{00000000-0004-0000-0F00-000078000000}"/>
    <hyperlink ref="O127" r:id="rId122" display="https://leetcode.com/problems/maximal-square/" xr:uid="{00000000-0004-0000-0F00-000079000000}"/>
    <hyperlink ref="O128" r:id="rId123" display="https://leetcode.com/problems/basic-calculator/" xr:uid="{00000000-0004-0000-0F00-00007A000000}"/>
    <hyperlink ref="O129" r:id="rId124" display="https://leetcode.com/problems/implement-stack-using-queues/" xr:uid="{00000000-0004-0000-0F00-00007B000000}"/>
    <hyperlink ref="O130" r:id="rId125" display="https://leetcode.com/problems/basic-calculator-ii/" xr:uid="{00000000-0004-0000-0F00-00007C000000}"/>
    <hyperlink ref="O131" r:id="rId126" display="https://leetcode.com/problems/implement-queue-using-stacks/" xr:uid="{00000000-0004-0000-0F00-00007D000000}"/>
    <hyperlink ref="O132" r:id="rId127" display="https://leetcode.com/problems/lowest-common-ancestor-of-a-binary-search-tree/" xr:uid="{00000000-0004-0000-0F00-00007E000000}"/>
    <hyperlink ref="O133" r:id="rId128" display="https://leetcode.com/problems/lowest-common-ancestor-of-a-binary-tree/" xr:uid="{00000000-0004-0000-0F00-00007F000000}"/>
    <hyperlink ref="O134" r:id="rId129" display="https://leetcode.com/problems/delete-node-in-a-linked-list/" xr:uid="{00000000-0004-0000-0F00-000080000000}"/>
    <hyperlink ref="O135" r:id="rId130" display="https://leetcode.com/problems/product-of-array-except-self/" xr:uid="{00000000-0004-0000-0F00-000081000000}"/>
    <hyperlink ref="O136" r:id="rId131" display="https://leetcode.com/problems/sliding-window-maximum/" xr:uid="{00000000-0004-0000-0F00-000082000000}"/>
    <hyperlink ref="O137" r:id="rId132" display="https://leetcode.com/problems/search-a-2d-matrix-ii/" xr:uid="{00000000-0004-0000-0F00-000083000000}"/>
    <hyperlink ref="O138" r:id="rId133" display="https://leetcode.com/problems/valid-anagram/" xr:uid="{00000000-0004-0000-0F00-000084000000}"/>
    <hyperlink ref="O139" r:id="rId134" display="https://leetcode.com/problems/shortest-word-distance/" xr:uid="{00000000-0004-0000-0F00-000085000000}"/>
    <hyperlink ref="O140" r:id="rId135" display="https://leetcode.com/problems/meeting-rooms/" xr:uid="{00000000-0004-0000-0F00-000086000000}"/>
    <hyperlink ref="O141" r:id="rId136" display="https://leetcode.com/problems/meeting-rooms-ii/" xr:uid="{00000000-0004-0000-0F00-000087000000}"/>
    <hyperlink ref="O142" r:id="rId137" display="https://leetcode.com/problems/binary-tree-paths/" xr:uid="{00000000-0004-0000-0F00-000088000000}"/>
    <hyperlink ref="O143" r:id="rId138" display="https://leetcode.com/problems/missing-number/" xr:uid="{00000000-0004-0000-0F00-000089000000}"/>
    <hyperlink ref="O144" r:id="rId139" display="https://leetcode.com/problems/alien-dictionary/" xr:uid="{00000000-0004-0000-0F00-00008A000000}"/>
    <hyperlink ref="O145" r:id="rId140" display="https://leetcode.com/problems/integer-to-english-words/" xr:uid="{00000000-0004-0000-0F00-00008B000000}"/>
    <hyperlink ref="O146" r:id="rId141" display="https://leetcode.com/problems/h-index/" xr:uid="{00000000-0004-0000-0F00-00008C000000}"/>
    <hyperlink ref="O147" r:id="rId142" display="https://leetcode.com/problems/find-the-celebrity/" xr:uid="{00000000-0004-0000-0F00-00008D000000}"/>
    <hyperlink ref="O148" r:id="rId143" display="https://leetcode.com/problems/first-bad-version/" xr:uid="{00000000-0004-0000-0F00-00008E000000}"/>
    <hyperlink ref="O149" r:id="rId144" display="https://leetcode.com/problems/move-zeroes/" xr:uid="{00000000-0004-0000-0F00-00008F000000}"/>
    <hyperlink ref="O150" r:id="rId145" display="https://leetcode.com/problems/peeking-iterator/" xr:uid="{00000000-0004-0000-0F00-000090000000}"/>
    <hyperlink ref="O151" r:id="rId146" display="https://leetcode.com/problems/word-pattern-ii/" xr:uid="{00000000-0004-0000-0F00-000091000000}"/>
    <hyperlink ref="O152" r:id="rId147" display="https://leetcode.com/problems/find-median-from-data-stream/" xr:uid="{00000000-0004-0000-0F00-000092000000}"/>
    <hyperlink ref="O153" r:id="rId148" display="https://leetcode.com/problems/serialize-and-deserialize-binary-tree/" xr:uid="{00000000-0004-0000-0F00-000093000000}"/>
    <hyperlink ref="O154" r:id="rId149" display="https://leetcode.com/problems/best-time-to-buy-and-sell-stock-with-cooldown/" xr:uid="{00000000-0004-0000-0F00-000094000000}"/>
    <hyperlink ref="O155" r:id="rId150" display="https://leetcode.com/problems/binary-tree-vertical-order-traversal/" xr:uid="{00000000-0004-0000-0F00-000095000000}"/>
    <hyperlink ref="O156" r:id="rId151" display="https://leetcode.com/problems/shortest-distance-from-all-buildings/" xr:uid="{00000000-0004-0000-0F00-000096000000}"/>
    <hyperlink ref="O157" r:id="rId152" display="https://leetcode.com/problems/coin-change/" xr:uid="{00000000-0004-0000-0F00-000097000000}"/>
    <hyperlink ref="O158" r:id="rId153" display="https://leetcode.com/problems/odd-even-linked-list/" xr:uid="{00000000-0004-0000-0F00-000098000000}"/>
    <hyperlink ref="O159" r:id="rId154" display="https://leetcode.com/problems/longest-increasing-path-in-a-matrix/" xr:uid="{00000000-0004-0000-0F00-000099000000}"/>
    <hyperlink ref="O160" r:id="rId155" display="https://leetcode.com/problems/reconstruct-itinerary/" xr:uid="{00000000-0004-0000-0F00-00009A000000}"/>
    <hyperlink ref="O161" r:id="rId156" display="https://leetcode.com/problems/counting-bits/" xr:uid="{00000000-0004-0000-0F00-00009B000000}"/>
    <hyperlink ref="O162" r:id="rId157" display="https://leetcode.com/problems/nested-list-weight-sum/" xr:uid="{00000000-0004-0000-0F00-00009C000000}"/>
    <hyperlink ref="O163" r:id="rId158" display="https://leetcode.com/problems/longest-substring-with-at-most-k-distinct-characters/" xr:uid="{00000000-0004-0000-0F00-00009D000000}"/>
    <hyperlink ref="O164" r:id="rId159" display="https://leetcode.com/problems/flatten-nested-list-iterator/" xr:uid="{00000000-0004-0000-0F00-00009E000000}"/>
    <hyperlink ref="O165" r:id="rId160" display="https://leetcode.com/problems/reverse-string/" xr:uid="{00000000-0004-0000-0F00-00009F000000}"/>
    <hyperlink ref="O166" r:id="rId161" display="https://leetcode.com/problems/reverse-vowels-of-a-string/" xr:uid="{00000000-0004-0000-0F00-0000A0000000}"/>
    <hyperlink ref="O167" r:id="rId162" display="https://leetcode.com/problems/moving-average-from-data-stream/" xr:uid="{00000000-0004-0000-0F00-0000A1000000}"/>
    <hyperlink ref="O168" r:id="rId163" display="https://leetcode.com/problems/top-k-frequent-elements/" xr:uid="{00000000-0004-0000-0F00-0000A2000000}"/>
    <hyperlink ref="O169" r:id="rId164" display="https://leetcode.com/problems/design-tic-tac-toe/" xr:uid="{00000000-0004-0000-0F00-0000A3000000}"/>
    <hyperlink ref="O170" r:id="rId165" display="https://leetcode.com/problems/intersection-of-two-arrays/" xr:uid="{00000000-0004-0000-0F00-0000A4000000}"/>
    <hyperlink ref="O171" r:id="rId166" display="https://leetcode.com/problems/design-twitter/" xr:uid="{00000000-0004-0000-0F00-0000A5000000}"/>
    <hyperlink ref="O172" r:id="rId167" display="https://leetcode.com/problems/logger-rate-limiter/" xr:uid="{00000000-0004-0000-0F00-0000A6000000}"/>
    <hyperlink ref="O173" r:id="rId168" display="https://leetcode.com/problems/design-hit-counter/" xr:uid="{00000000-0004-0000-0F00-0000A7000000}"/>
    <hyperlink ref="O174" r:id="rId169" display="https://leetcode.com/problems/water-and-jug-problem/" xr:uid="{00000000-0004-0000-0F00-0000A8000000}"/>
    <hyperlink ref="O175" r:id="rId170" display="https://leetcode.com/problems/kth-smallest-element-in-a-sorted-matrix/" xr:uid="{00000000-0004-0000-0F00-0000A9000000}"/>
    <hyperlink ref="O176" r:id="rId171" display="https://leetcode.com/problems/insert-delete-getrandom-o1/" xr:uid="{00000000-0004-0000-0F00-0000AA000000}"/>
    <hyperlink ref="O177" r:id="rId172" display="https://leetcode.com/problems/ransom-note/" xr:uid="{00000000-0004-0000-0F00-0000AB000000}"/>
    <hyperlink ref="O178" r:id="rId173" display="https://leetcode.com/problems/first-unique-character-in-a-string/" xr:uid="{00000000-0004-0000-0F00-0000AC000000}"/>
    <hyperlink ref="O179" r:id="rId174" display="https://leetcode.com/problems/decode-string/" xr:uid="{00000000-0004-0000-0F00-0000AD000000}"/>
    <hyperlink ref="O180" r:id="rId175" display="https://leetcode.com/problems/evaluate-division/" xr:uid="{00000000-0004-0000-0F00-0000AE000000}"/>
    <hyperlink ref="O181" r:id="rId176" display="https://leetcode.com/problems/fizz-buzz/" xr:uid="{00000000-0004-0000-0F00-0000AF000000}"/>
    <hyperlink ref="O182" r:id="rId177" display="https://leetcode.com/problems/longest-repeating-character-replacement/" xr:uid="{00000000-0004-0000-0F00-0000B0000000}"/>
    <hyperlink ref="O183" r:id="rId178" display="https://leetcode.com/problems/serialize-and-deserialize-n-ary-tree/" xr:uid="{00000000-0004-0000-0F00-0000B1000000}"/>
    <hyperlink ref="O184" r:id="rId179" display="https://leetcode.com/problems/all-oone-data-structure/" xr:uid="{00000000-0004-0000-0F00-0000B2000000}"/>
    <hyperlink ref="O185" r:id="rId180" display="https://leetcode.com/problems/non-overlapping-intervals/" xr:uid="{00000000-0004-0000-0F00-0000B3000000}"/>
    <hyperlink ref="O186" r:id="rId181" display="https://leetcode.com/problems/find-all-anagrams-in-a-string/" xr:uid="{00000000-0004-0000-0F00-0000B4000000}"/>
    <hyperlink ref="O187" r:id="rId182" display="https://leetcode.com/problems/string-compression/" xr:uid="{00000000-0004-0000-0F00-0000B5000000}"/>
    <hyperlink ref="O188" r:id="rId183" display="https://leetcode.com/problems/assign-cookies/" xr:uid="{00000000-0004-0000-0F00-0000B6000000}"/>
    <hyperlink ref="O189" r:id="rId184" display="https://leetcode.com/problems/lfu-cache/" xr:uid="{00000000-0004-0000-0F00-0000B7000000}"/>
    <hyperlink ref="O190" r:id="rId185" display="https://leetcode.com/problems/island-perimeter/" xr:uid="{00000000-0004-0000-0F00-0000B8000000}"/>
    <hyperlink ref="O191" r:id="rId186" display="https://leetcode.com/problems/validate-ip-address/" xr:uid="{00000000-0004-0000-0F00-0000B9000000}"/>
    <hyperlink ref="O192" r:id="rId187" display="https://leetcode.com/problems/total-hamming-distance/" xr:uid="{00000000-0004-0000-0F00-0000BA000000}"/>
    <hyperlink ref="O193" r:id="rId188" display="https://leetcode.com/problems/sliding-window-median/" xr:uid="{00000000-0004-0000-0F00-0000BB000000}"/>
    <hyperlink ref="O194" r:id="rId189" display="https://leetcode.com/problems/max-consecutive-ones/" xr:uid="{00000000-0004-0000-0F00-0000BC000000}"/>
    <hyperlink ref="O195" r:id="rId190" display="https://leetcode.com/problems/the-maze/" xr:uid="{00000000-0004-0000-0F00-0000BD000000}"/>
    <hyperlink ref="O196" r:id="rId191" display="https://leetcode.com/problems/reverse-pairs/" xr:uid="{00000000-0004-0000-0F00-0000BE000000}"/>
    <hyperlink ref="O197" r:id="rId192" display="https://leetcode.com/problems/next-greater-element-ii/" xr:uid="{00000000-0004-0000-0F00-0000BF000000}"/>
    <hyperlink ref="O198" r:id="rId193" display="https://leetcode.com/problems/fibonacci-number/" xr:uid="{00000000-0004-0000-0F00-0000C0000000}"/>
    <hyperlink ref="O199" r:id="rId194" display="https://leetcode.com/problems/find-largest-value-in-each-tree-row/" xr:uid="{00000000-0004-0000-0F00-0000C1000000}"/>
    <hyperlink ref="O200" r:id="rId195" display="https://leetcode.com/problems/continuous-subarray-sum/" xr:uid="{00000000-0004-0000-0F00-0000C2000000}"/>
    <hyperlink ref="O201" r:id="rId196" display="https://leetcode.com/problems/random-pick-with-weight/" xr:uid="{00000000-0004-0000-0F00-0000C3000000}"/>
    <hyperlink ref="O202" r:id="rId197" display="https://leetcode.com/problems/k-diff-pairs-in-an-array/" xr:uid="{00000000-0004-0000-0F00-0000C4000000}"/>
    <hyperlink ref="O203" r:id="rId198" display="https://leetcode.com/problems/encode-and-decode-tinyurl/" xr:uid="{00000000-0004-0000-0F00-0000C5000000}"/>
    <hyperlink ref="O204" r:id="rId199" display="https://leetcode.com/problems/01-matrix/" xr:uid="{00000000-0004-0000-0F00-0000C6000000}"/>
    <hyperlink ref="O205" r:id="rId200" display="https://leetcode.com/problems/diameter-of-binary-tree/" xr:uid="{00000000-0004-0000-0F00-0000C7000000}"/>
    <hyperlink ref="O206" r:id="rId201" display="https://leetcode.com/problems/subarray-sum-equals-k/" xr:uid="{00000000-0004-0000-0F00-0000C8000000}"/>
    <hyperlink ref="O207" r:id="rId202" display="https://leetcode.com/problems/array-nesting/" xr:uid="{00000000-0004-0000-0F00-0000C9000000}"/>
    <hyperlink ref="O208" r:id="rId203" display="https://leetcode.com/problems/permutation-in-string/" xr:uid="{00000000-0004-0000-0F00-0000CA000000}"/>
    <hyperlink ref="O209" r:id="rId204" display="https://leetcode.com/problems/can-place-flowers/" xr:uid="{00000000-0004-0000-0F00-0000CB000000}"/>
    <hyperlink ref="O210" r:id="rId205" display="https://leetcode.com/problems/task-scheduler/" xr:uid="{00000000-0004-0000-0F00-0000CC000000}"/>
    <hyperlink ref="O211" r:id="rId206" display="https://leetcode.com/problems/design-circular-queue/" xr:uid="{00000000-0004-0000-0F00-0000CD000000}"/>
    <hyperlink ref="O212" r:id="rId207" display="https://leetcode.com/problems/maximum-product-of-three-numbers/" xr:uid="{00000000-0004-0000-0F00-0000CE000000}"/>
    <hyperlink ref="O213" r:id="rId208" display="https://leetcode.com/problems/sum-of-square-numbers/" xr:uid="{00000000-0004-0000-0F00-0000CF000000}"/>
    <hyperlink ref="O214" r:id="rId209" display="https://leetcode.com/problems/design-log-storage-system/" xr:uid="{00000000-0004-0000-0F00-0000D0000000}"/>
    <hyperlink ref="O215" r:id="rId210" display="https://leetcode.com/problems/exclusive-time-of-functions/" xr:uid="{00000000-0004-0000-0F00-0000D1000000}"/>
    <hyperlink ref="O216" r:id="rId211" display="https://leetcode.com/problems/design-search-autocomplete-system/" xr:uid="{00000000-0004-0000-0F00-0000D2000000}"/>
    <hyperlink ref="O217" r:id="rId212" display="https://leetcode.com/problems/palindromic-substrings/" xr:uid="{00000000-0004-0000-0F00-0000D3000000}"/>
    <hyperlink ref="O218" r:id="rId213" display="https://leetcode.com/problems/find-k-closest-elements/" xr:uid="{00000000-0004-0000-0F00-0000D4000000}"/>
    <hyperlink ref="O219" r:id="rId214" display="https://leetcode.com/problems/image-smoother/" xr:uid="{00000000-0004-0000-0F00-0000D5000000}"/>
    <hyperlink ref="O220" r:id="rId215" display="https://leetcode.com/problems/valid-palindrome-ii/" xr:uid="{00000000-0004-0000-0F00-0000D6000000}"/>
    <hyperlink ref="O221" r:id="rId216" display="https://leetcode.com/problems/knight-probability-in-chessboard/" xr:uid="{00000000-0004-0000-0F00-0000D7000000}"/>
    <hyperlink ref="O222" r:id="rId217" display="https://leetcode.com/problems/top-k-frequent-words/" xr:uid="{00000000-0004-0000-0F00-0000D8000000}"/>
    <hyperlink ref="O223" r:id="rId218" display="https://leetcode.com/problems/max-area-of-island/" xr:uid="{00000000-0004-0000-0F00-0000D9000000}"/>
    <hyperlink ref="O224" r:id="rId219" display="https://leetcode.com/problems/design-hashmap/" xr:uid="{00000000-0004-0000-0F00-0000DA000000}"/>
    <hyperlink ref="O225" r:id="rId220" display="https://leetcode.com/problems/design-linked-list/" xr:uid="{00000000-0004-0000-0F00-0000DB000000}"/>
    <hyperlink ref="O226" r:id="rId221" display="https://leetcode.com/problems/subarray-product-less-than-k/" xr:uid="{00000000-0004-0000-0F00-0000DC000000}"/>
    <hyperlink ref="O227" r:id="rId222" display="https://leetcode.com/problems/best-time-to-buy-and-sell-stock-with-transaction-fee/" xr:uid="{00000000-0004-0000-0F00-0000DD000000}"/>
    <hyperlink ref="O228" r:id="rId223" display="https://leetcode.com/problems/find-pivot-index/" xr:uid="{00000000-0004-0000-0F00-0000DE000000}"/>
    <hyperlink ref="O229" r:id="rId224" display="https://leetcode.com/problems/my-calendar-ii/" xr:uid="{00000000-0004-0000-0F00-0000DF000000}"/>
    <hyperlink ref="O230" r:id="rId225" display="https://leetcode.com/problems/flood-fill/" xr:uid="{00000000-0004-0000-0F00-0000E0000000}"/>
    <hyperlink ref="O231" r:id="rId226" display="https://leetcode.com/problems/asteroid-collision/" xr:uid="{00000000-0004-0000-0F00-0000E1000000}"/>
    <hyperlink ref="O232" r:id="rId227" display="https://leetcode.com/problems/sentence-similarity-ii/" xr:uid="{00000000-0004-0000-0F00-0000E2000000}"/>
    <hyperlink ref="O233" r:id="rId228" display="https://leetcode.com/problems/employee-free-time/" xr:uid="{00000000-0004-0000-0F00-0000E3000000}"/>
    <hyperlink ref="O234" r:id="rId229" display="https://leetcode.com/problems/max-chunks-to-make-sorted/" xr:uid="{00000000-0004-0000-0F00-0000E4000000}"/>
    <hyperlink ref="O235" r:id="rId230" display="https://leetcode.com/problems/cheapest-flights-within-k-stops/" xr:uid="{00000000-0004-0000-0F00-0000E5000000}"/>
    <hyperlink ref="O236" r:id="rId231" display="https://leetcode.com/problems/short-encoding-of-words/" xr:uid="{00000000-0004-0000-0F00-0000E6000000}"/>
    <hyperlink ref="O237" r:id="rId232" display="https://leetcode.com/problems/goat-latin/" xr:uid="{00000000-0004-0000-0F00-0000E7000000}"/>
    <hyperlink ref="O238" r:id="rId233" display="https://leetcode.com/problems/similar-string-groups/" xr:uid="{00000000-0004-0000-0F00-0000E8000000}"/>
    <hyperlink ref="O239" r:id="rId234" display="https://leetcode.com/problems/keys-and-rooms/" xr:uid="{00000000-0004-0000-0F00-0000E9000000}"/>
    <hyperlink ref="O240" r:id="rId235" display="https://leetcode.com/problems/guess-the-word/" xr:uid="{00000000-0004-0000-0F00-0000EA000000}"/>
    <hyperlink ref="O241" r:id="rId236" display="https://leetcode.com/problems/maximize-distance-to-closest-person/" xr:uid="{00000000-0004-0000-0F00-0000EB000000}"/>
    <hyperlink ref="O242" r:id="rId237" display="https://leetcode.com/problems/exam-room/" xr:uid="{00000000-0004-0000-0F00-0000EC000000}"/>
    <hyperlink ref="O243" r:id="rId238" display="https://leetcode.com/problems/all-nodes-distance-k-in-binary-tree/" xr:uid="{00000000-0004-0000-0F00-0000ED000000}"/>
    <hyperlink ref="O244" r:id="rId239" display="https://leetcode.com/problems/transpose-matrix/" xr:uid="{00000000-0004-0000-0F00-0000EE000000}"/>
    <hyperlink ref="O245" r:id="rId240" display="https://leetcode.com/problems/walking-robot-simulation/" xr:uid="{00000000-0004-0000-0F00-0000EF000000}"/>
    <hyperlink ref="O246" r:id="rId241" display="https://leetcode.com/problems/middle-of-the-linked-list/" xr:uid="{00000000-0004-0000-0F00-0000F0000000}"/>
    <hyperlink ref="O247" r:id="rId242" display="https://leetcode.com/problems/spiral-matrix-iii/" xr:uid="{00000000-0004-0000-0F00-0000F1000000}"/>
    <hyperlink ref="O248" r:id="rId243" display="https://leetcode.com/problems/construct-binary-tree-from-preorder-and-postorder-traversal/" xr:uid="{00000000-0004-0000-0F00-0000F2000000}"/>
    <hyperlink ref="O249" r:id="rId244" display="https://leetcode.com/problems/maximum-frequency-stack/" xr:uid="{00000000-0004-0000-0F00-0000F3000000}"/>
    <hyperlink ref="O250" r:id="rId245" display="https://leetcode.com/problems/sum-of-subarray-minimums/" xr:uid="{00000000-0004-0000-0F00-0000F4000000}"/>
    <hyperlink ref="O251" r:id="rId246" display="https://leetcode.com/problems/snakes-and-ladders/" xr:uid="{00000000-0004-0000-0F00-0000F5000000}"/>
    <hyperlink ref="O252" r:id="rId247" display="https://leetcode.com/problems/sort-an-array/" xr:uid="{00000000-0004-0000-0F00-0000F6000000}"/>
    <hyperlink ref="O253" r:id="rId248" display="https://leetcode.com/problems/maximum-sum-circular-subarray/" xr:uid="{00000000-0004-0000-0F00-0000F7000000}"/>
    <hyperlink ref="O254" r:id="rId249" display="https://leetcode.com/problems/minimum-falling-path-sum/" xr:uid="{00000000-0004-0000-0F00-0000F8000000}"/>
    <hyperlink ref="O255" r:id="rId250" display="https://leetcode.com/problems/number-of-recent-calls/" xr:uid="{00000000-0004-0000-0F00-0000F9000000}"/>
    <hyperlink ref="O256" r:id="rId251" display="https://leetcode.com/problems/verifying-an-alien-dictionary/" xr:uid="{00000000-0004-0000-0F00-0000FA000000}"/>
    <hyperlink ref="O257" r:id="rId252" display="https://leetcode.com/problems/k-closest-points-to-origin/" xr:uid="{00000000-0004-0000-0F00-0000FB000000}"/>
    <hyperlink ref="O258" r:id="rId253" display="https://leetcode.com/problems/time-based-key-value-store/" xr:uid="{00000000-0004-0000-0F00-0000FC000000}"/>
    <hyperlink ref="O259" r:id="rId254" display="https://leetcode.com/problems/interval-list-intersections/" xr:uid="{00000000-0004-0000-0F00-0000FD000000}"/>
    <hyperlink ref="O260" r:id="rId255" display="https://leetcode.com/problems/rotting-oranges/" xr:uid="{00000000-0004-0000-0F00-0000FE000000}"/>
    <hyperlink ref="O261" r:id="rId256" display="https://leetcode.com/problems/number-of-squareful-arrays/" xr:uid="{00000000-0004-0000-0F00-0000FF000000}"/>
    <hyperlink ref="O262" r:id="rId257" display="https://leetcode.com/problems/max-consecutive-ones-iii/" xr:uid="{00000000-0004-0000-0F00-000000010000}"/>
    <hyperlink ref="O263" r:id="rId258" display="https://leetcode.com/problems/capacity-to-ship-packages-within-d-days/" xr:uid="{00000000-0004-0000-0F00-000001010000}"/>
    <hyperlink ref="O264" r:id="rId259" display="https://leetcode.com/problems/robot-bounded-in-circle/" xr:uid="{00000000-0004-0000-0F00-000002010000}"/>
    <hyperlink ref="O265" r:id="rId260" display="https://leetcode.com/problems/remove-all-adjacent-duplicates-in-string/" xr:uid="{00000000-0004-0000-0F00-000003010000}"/>
    <hyperlink ref="O266" r:id="rId261" display="https://leetcode.com/problems/brace-expansion/" xr:uid="{00000000-0004-0000-0F00-000004010000}"/>
    <hyperlink ref="O267" r:id="rId262" display="https://leetcode.com/problems/shortest-path-in-binary-matrix/" xr:uid="{00000000-0004-0000-0F00-000005010000}"/>
    <hyperlink ref="O268" r:id="rId263" display="https://leetcode.com/problems/longest-common-subsequence/" xr:uid="{00000000-0004-0000-0F00-000006010000}"/>
    <hyperlink ref="O269" r:id="rId264" display="https://leetcode.com/problems/snapshot-array/" xr:uid="{00000000-0004-0000-0F00-000007010000}"/>
    <hyperlink ref="O270" r:id="rId265" display="https://leetcode.com/problems/optimize-water-distribution-in-a-village/" xr:uid="{00000000-0004-0000-0F00-000008010000}"/>
    <hyperlink ref="O271" r:id="rId266" display="https://leetcode.com/problems/minimum-knight-moves/" xr:uid="{00000000-0004-0000-0F00-000009010000}"/>
    <hyperlink ref="O272" r:id="rId267" display="https://leetcode.com/problems/intersection-of-three-sorted-arrays/" xr:uid="{00000000-0004-0000-0F00-00000A010000}"/>
    <hyperlink ref="O273" r:id="rId268" display="https://leetcode.com/problems/meeting-scheduler/" xr:uid="{00000000-0004-0000-0F00-00000B010000}"/>
    <hyperlink ref="O274" r:id="rId269" display="https://leetcode.com/problems/web-crawler-multithreaded/" xr:uid="{00000000-0004-0000-0F00-00000C010000}"/>
    <hyperlink ref="O275" r:id="rId270" display="https://leetcode.com/problems/minimum-remove-to-make-valid-parentheses/" xr:uid="{00000000-0004-0000-0F00-00000D010000}"/>
    <hyperlink ref="O276" r:id="rId271" display="https://leetcode.com/problems/average-selling-price/" xr:uid="{00000000-0004-0000-0F00-00000E010000}"/>
    <hyperlink ref="O277" r:id="rId272" display="https://leetcode.com/problems/find-winner-on-a-tic-tac-toe-game/" xr:uid="{00000000-0004-0000-0F00-00000F010000}"/>
    <hyperlink ref="O278" r:id="rId273" display="https://leetcode.com/problems/angle-between-hands-of-a-clock/" xr:uid="{00000000-0004-0000-0F00-000010010000}"/>
    <hyperlink ref="O279" r:id="rId274" display="https://leetcode.com/problems/product-of-the-last-k-numbers/" xr:uid="{00000000-0004-0000-0F00-000011010000}"/>
    <hyperlink ref="O280" r:id="rId275" display="https://leetcode.com/problems/design-browser-history/" xr:uid="{00000000-0004-0000-0F00-000012010000}"/>
    <hyperlink ref="O281" r:id="rId276" display="https://leetcode.com/problems/magnetic-force-between-two-balls/" xr:uid="{00000000-0004-0000-0F00-000013010000}"/>
    <hyperlink ref="O282" r:id="rId277" display="https://leetcode.com/problems/dot-product-of-two-sparse-vectors/" xr:uid="{00000000-0004-0000-0F00-000014010000}"/>
    <hyperlink ref="O283" r:id="rId278" display="https://leetcode.com/problems/find-servers-that-handled-most-number-of-requests/" xr:uid="{00000000-0004-0000-0F00-000015010000}"/>
    <hyperlink ref="O284" r:id="rId279" display="https://leetcode.com/problems/lowest-common-ancestor-of-a-binary-tree-iii/" xr:uid="{00000000-0004-0000-0F00-000016010000}"/>
    <hyperlink ref="O285" r:id="rId280" display="https://leetcode.com/problems/determine-if-two-strings-are-close/" xr:uid="{00000000-0004-0000-0F00-000017010000}"/>
    <hyperlink ref="O286" r:id="rId281" display="https://leetcode.com/problems/maximum-population-year/" xr:uid="{00000000-0004-0000-0F00-000018010000}"/>
    <hyperlink ref="O287" r:id="rId282" display="https://leetcode.com/problems/minimum-speed-to-arrive-on-time/" xr:uid="{00000000-0004-0000-0F00-000019010000}"/>
    <hyperlink ref="O288" r:id="rId283" display="https://leetcode.com/problems/number-of-pairs-of-strings-with-concatenation-equal-to-target/" xr:uid="{00000000-0004-0000-0F00-00001A010000}"/>
    <hyperlink ref="O289" r:id="rId284" display="https://leetcode.com/problems/maximum-path-quality-of-a-graph/" xr:uid="{00000000-0004-0000-0F00-00001B010000}"/>
    <hyperlink ref="O290" r:id="rId285" display="https://leetcode.com/problems/sum-of-subarray-ranges/" xr:uid="{00000000-0004-0000-0F00-00001C010000}"/>
    <hyperlink ref="O291" r:id="rId286" display="https://leetcode.com/problems/find-all-lonely-numbers-in-the-array/" xr:uid="{00000000-0004-0000-0F00-00001D010000}"/>
    <hyperlink ref="O292" r:id="rId287" display="https://leetcode.com/problems/best-poker-hand/" xr:uid="{00000000-0004-0000-0F00-00001E010000}"/>
    <hyperlink ref="O293" r:id="rId288" display="https://leetcode.com/problems/first-letter-to-appear-twice/" xr:uid="{00000000-0004-0000-0F00-00001F010000}"/>
    <hyperlink ref="O294" r:id="rId289" display="https://leetcode.com/problems/maximum-rows-covered-by-columns/" xr:uid="{00000000-0004-0000-0F00-000020010000}"/>
    <hyperlink ref="O295" r:id="rId290" display="https://leetcode.com/problems/design-memory-allocator/" xr:uid="{00000000-0004-0000-0F00-000021010000}"/>
    <hyperlink ref="O296" r:id="rId291" display="https://leetcode.com/problems/distribute-money-to-maximum-children/" xr:uid="{00000000-0004-0000-0F00-000022010000}"/>
    <hyperlink ref="O297" r:id="rId292" display="https://leetcode.com/problems/split-strings-by-separator/" xr:uid="{00000000-0004-0000-0F00-000023010000}"/>
    <hyperlink ref="O298" r:id="rId293" display="https://leetcode.com/problems/count-the-number-of-incremovable-subarrays-i/" xr:uid="{00000000-0004-0000-0F00-000024010000}"/>
    <hyperlink ref="O299" r:id="rId294" display="https://leetcode.com/problems/count-the-number-of-incremovable-subarrays-ii/" xr:uid="{00000000-0004-0000-0F00-000025010000}"/>
    <hyperlink ref="O300" r:id="rId295" display="https://leetcode.com/problems/find-the-grid-of-region-average/" xr:uid="{00000000-0004-0000-0F00-000026010000}"/>
    <hyperlink ref="O301" r:id="rId296" display="https://leetcode.com/problems/maximum-number-of-operations-with-the-same-score-ii/" xr:uid="{00000000-0004-0000-0F00-000027010000}"/>
    <hyperlink ref="O302" r:id="rId297" display="https://leetcode.com/problems/apple-redistribution-into-boxes/" xr:uid="{00000000-0004-0000-0F00-000028010000}"/>
    <hyperlink ref="O303" r:id="rId298" display="https://leetcode.com/problems/string-compression-iii/" xr:uid="{00000000-0004-0000-0F00-000029010000}"/>
  </hyperlink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230"/>
  <sheetViews>
    <sheetView showGridLines="0" topLeftCell="I1" zoomScaleNormal="100" workbookViewId="0">
      <pane ySplit="5" topLeftCell="A221" activePane="bottomLeft" state="frozen"/>
      <selection pane="bottomLeft" activeCell="A6" sqref="A6"/>
    </sheetView>
  </sheetViews>
  <sheetFormatPr baseColWidth="10" defaultColWidth="8.6640625" defaultRowHeight="15" x14ac:dyDescent="0.2"/>
  <cols>
    <col min="1" max="1" width="4" customWidth="1"/>
    <col min="2" max="2" width="6" customWidth="1"/>
    <col min="3" max="3" width="42" customWidth="1"/>
    <col min="4" max="5" width="10" customWidth="1"/>
    <col min="6" max="6" width="40" customWidth="1"/>
    <col min="7" max="7" width="28" customWidth="1"/>
    <col min="8" max="9" width="14" customWidth="1"/>
    <col min="10" max="10" width="12" customWidth="1"/>
    <col min="11" max="11" width="30" customWidth="1"/>
    <col min="12" max="12" width="52" style="52" customWidth="1"/>
    <col min="13" max="13" width="14" customWidth="1"/>
    <col min="14" max="14" width="33.33203125" customWidth="1"/>
    <col min="15" max="15" width="80" customWidth="1"/>
  </cols>
  <sheetData>
    <row r="1" spans="1:15" ht="27.75" customHeight="1" x14ac:dyDescent="0.2">
      <c r="A1" s="353" t="s">
        <v>4863</v>
      </c>
      <c r="B1" s="292"/>
      <c r="C1" s="292"/>
      <c r="D1" s="292"/>
      <c r="E1" s="292"/>
      <c r="F1" s="292"/>
      <c r="G1" s="292"/>
      <c r="H1" s="292"/>
      <c r="I1" s="292"/>
      <c r="J1" s="292"/>
      <c r="K1" s="292"/>
    </row>
    <row r="2" spans="1:15" ht="4.5" customHeight="1" x14ac:dyDescent="0.2">
      <c r="A2" s="292"/>
      <c r="B2" s="292"/>
      <c r="C2" s="292"/>
      <c r="D2" s="292"/>
      <c r="E2" s="292"/>
      <c r="F2" s="292"/>
      <c r="G2" s="292"/>
      <c r="H2" s="292"/>
      <c r="I2" s="292"/>
      <c r="J2" s="292"/>
      <c r="K2" s="292"/>
    </row>
    <row r="3" spans="1:15" ht="15.75" customHeight="1" x14ac:dyDescent="0.2">
      <c r="A3" s="352" t="s">
        <v>4864</v>
      </c>
      <c r="B3" s="292"/>
      <c r="C3" s="292"/>
      <c r="D3" s="292"/>
      <c r="E3" s="292"/>
      <c r="F3" s="292"/>
      <c r="G3" s="292"/>
      <c r="H3" s="292"/>
      <c r="I3" s="292"/>
      <c r="J3" s="292"/>
      <c r="K3" s="292"/>
    </row>
    <row r="4" spans="1:15" ht="15.75" customHeight="1" x14ac:dyDescent="0.2">
      <c r="A4" s="291" t="s">
        <v>5125</v>
      </c>
      <c r="B4" s="292"/>
      <c r="C4" s="292"/>
      <c r="D4" s="292"/>
      <c r="E4" s="292"/>
      <c r="F4" s="292"/>
      <c r="G4" s="292"/>
      <c r="H4" s="292"/>
      <c r="I4" s="292"/>
      <c r="J4" s="292"/>
      <c r="K4" s="292"/>
    </row>
    <row r="5" spans="1:15" ht="31.5" customHeight="1" x14ac:dyDescent="0.2">
      <c r="A5" s="124" t="s">
        <v>1</v>
      </c>
      <c r="B5" s="124" t="s">
        <v>2</v>
      </c>
      <c r="C5" s="124" t="s">
        <v>3</v>
      </c>
      <c r="D5" s="124" t="s">
        <v>4430</v>
      </c>
      <c r="E5" s="124" t="s">
        <v>5</v>
      </c>
      <c r="F5" s="124" t="s">
        <v>4122</v>
      </c>
      <c r="G5" s="124" t="s">
        <v>4242</v>
      </c>
      <c r="H5" s="124" t="s">
        <v>3842</v>
      </c>
      <c r="I5" s="124" t="s">
        <v>7</v>
      </c>
      <c r="J5" s="124" t="s">
        <v>8</v>
      </c>
      <c r="K5" s="124" t="s">
        <v>13</v>
      </c>
      <c r="L5" s="270" t="s">
        <v>14</v>
      </c>
      <c r="M5" s="124" t="s">
        <v>15</v>
      </c>
      <c r="N5" s="124" t="s">
        <v>16</v>
      </c>
      <c r="O5" s="210" t="s">
        <v>17</v>
      </c>
    </row>
    <row r="6" spans="1:15" ht="31.5" customHeight="1" x14ac:dyDescent="0.2">
      <c r="A6" s="7">
        <v>1</v>
      </c>
      <c r="B6" s="7">
        <v>1</v>
      </c>
      <c r="C6" s="13" t="s">
        <v>18</v>
      </c>
      <c r="D6" s="7" t="s">
        <v>4432</v>
      </c>
      <c r="E6" s="21" t="s">
        <v>20</v>
      </c>
      <c r="F6" s="3" t="s">
        <v>19</v>
      </c>
      <c r="G6" s="3" t="s">
        <v>4244</v>
      </c>
      <c r="H6" s="7"/>
      <c r="I6" s="7"/>
      <c r="J6" s="7"/>
      <c r="K6" s="3"/>
      <c r="L6" s="228" t="s">
        <v>23</v>
      </c>
      <c r="M6" s="7" t="s">
        <v>24</v>
      </c>
      <c r="N6" s="176" t="s">
        <v>24</v>
      </c>
      <c r="O6" s="191" t="str">
        <f>HYPERLINK("https://leetcode.com/problems/two-sum/","https://leetcode.com/problems/two-sum/")</f>
        <v>https://leetcode.com/problems/two-sum/</v>
      </c>
    </row>
    <row r="7" spans="1:15" ht="31.5" customHeight="1" x14ac:dyDescent="0.2">
      <c r="A7" s="125">
        <v>2</v>
      </c>
      <c r="B7" s="125">
        <v>2</v>
      </c>
      <c r="C7" s="126" t="s">
        <v>26</v>
      </c>
      <c r="D7" s="125" t="s">
        <v>4433</v>
      </c>
      <c r="E7" s="127" t="s">
        <v>28</v>
      </c>
      <c r="F7" s="128" t="s">
        <v>27</v>
      </c>
      <c r="G7" s="128" t="s">
        <v>127</v>
      </c>
      <c r="H7" s="125"/>
      <c r="I7" s="125"/>
      <c r="J7" s="125"/>
      <c r="K7" s="128"/>
      <c r="L7" s="271" t="s">
        <v>31</v>
      </c>
      <c r="M7" s="125" t="s">
        <v>32</v>
      </c>
      <c r="N7" s="181" t="s">
        <v>32</v>
      </c>
      <c r="O7" s="194" t="str">
        <f>HYPERLINK("https://leetcode.com/problems/add-two-numbers/","https://leetcode.com/problems/add-two-numbers/")</f>
        <v>https://leetcode.com/problems/add-two-numbers/</v>
      </c>
    </row>
    <row r="8" spans="1:15" ht="31.5" customHeight="1" x14ac:dyDescent="0.2">
      <c r="A8" s="7">
        <v>3</v>
      </c>
      <c r="B8" s="7">
        <v>3</v>
      </c>
      <c r="C8" s="13" t="s">
        <v>34</v>
      </c>
      <c r="D8" s="7" t="s">
        <v>4434</v>
      </c>
      <c r="E8" s="18" t="s">
        <v>28</v>
      </c>
      <c r="F8" s="3" t="s">
        <v>427</v>
      </c>
      <c r="G8" s="3" t="s">
        <v>917</v>
      </c>
      <c r="H8" s="7"/>
      <c r="I8" s="7"/>
      <c r="J8" s="7"/>
      <c r="K8" s="3"/>
      <c r="L8" s="228" t="s">
        <v>37</v>
      </c>
      <c r="M8" s="7" t="s">
        <v>24</v>
      </c>
      <c r="N8" s="176" t="s">
        <v>38</v>
      </c>
      <c r="O8" s="191" t="str">
        <f>HYPERLINK("https://leetcode.com/problems/longest-substring-without-repeating-characters/","https://leetcode.com/problems/longest-substring-without-repeating-characters/")</f>
        <v>https://leetcode.com/problems/longest-substring-without-repeating-characters/</v>
      </c>
    </row>
    <row r="9" spans="1:15" ht="31.5" customHeight="1" x14ac:dyDescent="0.2">
      <c r="A9" s="125">
        <v>4</v>
      </c>
      <c r="B9" s="125">
        <v>4</v>
      </c>
      <c r="C9" s="126" t="s">
        <v>40</v>
      </c>
      <c r="D9" s="125" t="s">
        <v>4435</v>
      </c>
      <c r="E9" s="129" t="s">
        <v>42</v>
      </c>
      <c r="F9" s="128" t="s">
        <v>41</v>
      </c>
      <c r="G9" s="128" t="s">
        <v>512</v>
      </c>
      <c r="H9" s="125"/>
      <c r="I9" s="125"/>
      <c r="J9" s="125"/>
      <c r="K9" s="128"/>
      <c r="L9" s="271" t="s">
        <v>4238</v>
      </c>
      <c r="M9" s="125" t="s">
        <v>46</v>
      </c>
      <c r="N9" s="181" t="s">
        <v>47</v>
      </c>
      <c r="O9" s="194" t="str">
        <f>HYPERLINK("https://leetcode.com/problems/median-of-two-sorted-arrays/","https://leetcode.com/problems/median-of-two-sorted-arrays/")</f>
        <v>https://leetcode.com/problems/median-of-two-sorted-arrays/</v>
      </c>
    </row>
    <row r="10" spans="1:15" ht="31.5" customHeight="1" x14ac:dyDescent="0.2">
      <c r="A10" s="7">
        <v>5</v>
      </c>
      <c r="B10" s="7">
        <v>5</v>
      </c>
      <c r="C10" s="13" t="s">
        <v>49</v>
      </c>
      <c r="D10" s="7" t="s">
        <v>4436</v>
      </c>
      <c r="E10" s="18" t="s">
        <v>28</v>
      </c>
      <c r="F10" s="3" t="s">
        <v>50</v>
      </c>
      <c r="G10" s="3" t="s">
        <v>4731</v>
      </c>
      <c r="H10" s="7"/>
      <c r="I10" s="7"/>
      <c r="J10" s="7"/>
      <c r="K10" s="3"/>
      <c r="L10" s="228" t="s">
        <v>52</v>
      </c>
      <c r="M10" s="7" t="s">
        <v>53</v>
      </c>
      <c r="N10" s="176" t="s">
        <v>47</v>
      </c>
      <c r="O10" s="191" t="str">
        <f>HYPERLINK("https://leetcode.com/problems/longest-palindromic-substring/","https://leetcode.com/problems/longest-palindromic-substring/")</f>
        <v>https://leetcode.com/problems/longest-palindromic-substring/</v>
      </c>
    </row>
    <row r="11" spans="1:15" ht="31.5" customHeight="1" x14ac:dyDescent="0.2">
      <c r="A11" s="125">
        <v>6</v>
      </c>
      <c r="B11" s="125">
        <v>6</v>
      </c>
      <c r="C11" s="126" t="s">
        <v>55</v>
      </c>
      <c r="D11" s="125" t="s">
        <v>4437</v>
      </c>
      <c r="E11" s="127" t="s">
        <v>28</v>
      </c>
      <c r="F11" s="128" t="s">
        <v>56</v>
      </c>
      <c r="G11" s="128" t="s">
        <v>98</v>
      </c>
      <c r="H11" s="125"/>
      <c r="I11" s="125"/>
      <c r="J11" s="125"/>
      <c r="K11" s="128"/>
      <c r="L11" s="271" t="s">
        <v>59</v>
      </c>
      <c r="M11" s="125" t="s">
        <v>24</v>
      </c>
      <c r="N11" s="181" t="s">
        <v>24</v>
      </c>
      <c r="O11" s="194" t="str">
        <f>HYPERLINK("https://leetcode.com/problems/zigzag-conversion/","https://leetcode.com/problems/zigzag-conversion/")</f>
        <v>https://leetcode.com/problems/zigzag-conversion/</v>
      </c>
    </row>
    <row r="12" spans="1:15" ht="31.5" customHeight="1" x14ac:dyDescent="0.2">
      <c r="A12" s="7">
        <v>7</v>
      </c>
      <c r="B12" s="7">
        <v>7</v>
      </c>
      <c r="C12" s="13" t="s">
        <v>61</v>
      </c>
      <c r="D12" s="7" t="s">
        <v>4438</v>
      </c>
      <c r="E12" s="18" t="s">
        <v>28</v>
      </c>
      <c r="F12" s="3" t="s">
        <v>62</v>
      </c>
      <c r="G12" s="3" t="s">
        <v>62</v>
      </c>
      <c r="H12" s="7"/>
      <c r="I12" s="7"/>
      <c r="J12" s="7"/>
      <c r="K12" s="3"/>
      <c r="L12" s="228" t="s">
        <v>64</v>
      </c>
      <c r="M12" s="7" t="s">
        <v>65</v>
      </c>
      <c r="N12" s="176" t="s">
        <v>47</v>
      </c>
      <c r="O12" s="191" t="str">
        <f>HYPERLINK("https://leetcode.com/problems/reverse-integer/","https://leetcode.com/problems/reverse-integer/")</f>
        <v>https://leetcode.com/problems/reverse-integer/</v>
      </c>
    </row>
    <row r="13" spans="1:15" ht="31.5" customHeight="1" x14ac:dyDescent="0.2">
      <c r="A13" s="125">
        <v>8</v>
      </c>
      <c r="B13" s="125">
        <v>8</v>
      </c>
      <c r="C13" s="126" t="s">
        <v>67</v>
      </c>
      <c r="D13" s="125" t="s">
        <v>4439</v>
      </c>
      <c r="E13" s="127" t="s">
        <v>28</v>
      </c>
      <c r="F13" s="128" t="s">
        <v>56</v>
      </c>
      <c r="G13" s="128" t="s">
        <v>4246</v>
      </c>
      <c r="H13" s="125"/>
      <c r="I13" s="125"/>
      <c r="J13" s="125"/>
      <c r="K13" s="128"/>
      <c r="L13" s="271" t="s">
        <v>70</v>
      </c>
      <c r="M13" s="125" t="s">
        <v>24</v>
      </c>
      <c r="N13" s="181" t="s">
        <v>47</v>
      </c>
      <c r="O13" s="194" t="str">
        <f>HYPERLINK("https://leetcode.com/problems/string-to-integer-atoi/","https://leetcode.com/problems/string-to-integer-atoi/")</f>
        <v>https://leetcode.com/problems/string-to-integer-atoi/</v>
      </c>
    </row>
    <row r="14" spans="1:15" ht="31.5" customHeight="1" x14ac:dyDescent="0.2">
      <c r="A14" s="7">
        <v>9</v>
      </c>
      <c r="B14" s="7">
        <v>9</v>
      </c>
      <c r="C14" s="13" t="s">
        <v>72</v>
      </c>
      <c r="D14" s="7" t="s">
        <v>4440</v>
      </c>
      <c r="E14" s="21" t="s">
        <v>20</v>
      </c>
      <c r="F14" s="3" t="s">
        <v>62</v>
      </c>
      <c r="G14" s="3" t="s">
        <v>62</v>
      </c>
      <c r="H14" s="7"/>
      <c r="I14" s="7"/>
      <c r="J14" s="7"/>
      <c r="K14" s="3"/>
      <c r="L14" s="228" t="s">
        <v>75</v>
      </c>
      <c r="M14" s="7" t="s">
        <v>65</v>
      </c>
      <c r="N14" s="176" t="s">
        <v>47</v>
      </c>
      <c r="O14" s="191" t="str">
        <f>HYPERLINK("https://leetcode.com/problems/palindrome-number/","https://leetcode.com/problems/palindrome-number/")</f>
        <v>https://leetcode.com/problems/palindrome-number/</v>
      </c>
    </row>
    <row r="15" spans="1:15" ht="31.5" customHeight="1" x14ac:dyDescent="0.2">
      <c r="A15" s="125">
        <v>10</v>
      </c>
      <c r="B15" s="125">
        <v>10</v>
      </c>
      <c r="C15" s="126" t="s">
        <v>77</v>
      </c>
      <c r="D15" s="125" t="s">
        <v>4441</v>
      </c>
      <c r="E15" s="129" t="s">
        <v>42</v>
      </c>
      <c r="F15" s="128" t="s">
        <v>675</v>
      </c>
      <c r="G15" s="128" t="s">
        <v>1042</v>
      </c>
      <c r="H15" s="125"/>
      <c r="I15" s="125"/>
      <c r="J15" s="125"/>
      <c r="K15" s="128"/>
      <c r="L15" s="271" t="s">
        <v>80</v>
      </c>
      <c r="M15" s="125" t="s">
        <v>81</v>
      </c>
      <c r="N15" s="181" t="s">
        <v>81</v>
      </c>
      <c r="O15" s="194" t="str">
        <f>HYPERLINK("https://leetcode.com/problems/regular-expression-matching/","https://leetcode.com/problems/regular-expression-matching/")</f>
        <v>https://leetcode.com/problems/regular-expression-matching/</v>
      </c>
    </row>
    <row r="16" spans="1:15" ht="31.5" customHeight="1" x14ac:dyDescent="0.2">
      <c r="A16" s="7">
        <v>11</v>
      </c>
      <c r="B16" s="7">
        <v>11</v>
      </c>
      <c r="C16" s="13" t="s">
        <v>83</v>
      </c>
      <c r="D16" s="7" t="s">
        <v>4442</v>
      </c>
      <c r="E16" s="18" t="s">
        <v>28</v>
      </c>
      <c r="F16" s="3" t="s">
        <v>84</v>
      </c>
      <c r="G16" s="3" t="s">
        <v>689</v>
      </c>
      <c r="H16" s="7"/>
      <c r="I16" s="7"/>
      <c r="J16" s="7"/>
      <c r="K16" s="3"/>
      <c r="L16" s="228" t="s">
        <v>86</v>
      </c>
      <c r="M16" s="7" t="s">
        <v>24</v>
      </c>
      <c r="N16" s="176" t="s">
        <v>47</v>
      </c>
      <c r="O16" s="191" t="str">
        <f>HYPERLINK("https://leetcode.com/problems/container-with-most-water/","https://leetcode.com/problems/container-with-most-water/")</f>
        <v>https://leetcode.com/problems/container-with-most-water/</v>
      </c>
    </row>
    <row r="17" spans="1:15" ht="31.5" customHeight="1" x14ac:dyDescent="0.2">
      <c r="A17" s="125">
        <v>12</v>
      </c>
      <c r="B17" s="125">
        <v>12</v>
      </c>
      <c r="C17" s="126" t="s">
        <v>88</v>
      </c>
      <c r="D17" s="125" t="s">
        <v>4443</v>
      </c>
      <c r="E17" s="127" t="s">
        <v>28</v>
      </c>
      <c r="F17" s="128" t="s">
        <v>56</v>
      </c>
      <c r="G17" s="128" t="s">
        <v>62</v>
      </c>
      <c r="H17" s="125"/>
      <c r="I17" s="125"/>
      <c r="J17" s="125"/>
      <c r="K17" s="128"/>
      <c r="L17" s="271" t="s">
        <v>91</v>
      </c>
      <c r="M17" s="125" t="s">
        <v>47</v>
      </c>
      <c r="N17" s="181" t="s">
        <v>47</v>
      </c>
      <c r="O17" s="194" t="str">
        <f>HYPERLINK("https://leetcode.com/problems/integer-to-roman/","https://leetcode.com/problems/integer-to-roman/")</f>
        <v>https://leetcode.com/problems/integer-to-roman/</v>
      </c>
    </row>
    <row r="18" spans="1:15" ht="31.5" customHeight="1" x14ac:dyDescent="0.2">
      <c r="A18" s="7">
        <v>13</v>
      </c>
      <c r="B18" s="7">
        <v>13</v>
      </c>
      <c r="C18" s="13" t="s">
        <v>93</v>
      </c>
      <c r="D18" s="7" t="s">
        <v>4444</v>
      </c>
      <c r="E18" s="21" t="s">
        <v>20</v>
      </c>
      <c r="F18" s="3" t="s">
        <v>56</v>
      </c>
      <c r="G18" s="3" t="s">
        <v>62</v>
      </c>
      <c r="H18" s="7"/>
      <c r="I18" s="7"/>
      <c r="J18" s="7"/>
      <c r="K18" s="3"/>
      <c r="L18" s="228" t="s">
        <v>95</v>
      </c>
      <c r="M18" s="7" t="s">
        <v>24</v>
      </c>
      <c r="N18" s="176" t="s">
        <v>47</v>
      </c>
      <c r="O18" s="191" t="str">
        <f>HYPERLINK("https://leetcode.com/problems/roman-to-integer/","https://leetcode.com/problems/roman-to-integer/")</f>
        <v>https://leetcode.com/problems/roman-to-integer/</v>
      </c>
    </row>
    <row r="19" spans="1:15" ht="31.5" customHeight="1" x14ac:dyDescent="0.2">
      <c r="A19" s="125">
        <v>14</v>
      </c>
      <c r="B19" s="125">
        <v>14</v>
      </c>
      <c r="C19" s="126" t="s">
        <v>97</v>
      </c>
      <c r="D19" s="125" t="s">
        <v>4445</v>
      </c>
      <c r="E19" s="130" t="s">
        <v>20</v>
      </c>
      <c r="F19" s="128" t="s">
        <v>98</v>
      </c>
      <c r="G19" s="128" t="s">
        <v>98</v>
      </c>
      <c r="H19" s="125"/>
      <c r="I19" s="125"/>
      <c r="J19" s="125"/>
      <c r="K19" s="128"/>
      <c r="L19" s="271" t="s">
        <v>100</v>
      </c>
      <c r="M19" s="125" t="s">
        <v>101</v>
      </c>
      <c r="N19" s="181" t="s">
        <v>47</v>
      </c>
      <c r="O19" s="194" t="str">
        <f>HYPERLINK("https://leetcode.com/problems/longest-common-prefix/","https://leetcode.com/problems/longest-common-prefix/")</f>
        <v>https://leetcode.com/problems/longest-common-prefix/</v>
      </c>
    </row>
    <row r="20" spans="1:15" ht="31.5" customHeight="1" x14ac:dyDescent="0.2">
      <c r="A20" s="7">
        <v>15</v>
      </c>
      <c r="B20" s="7">
        <v>15</v>
      </c>
      <c r="C20" s="13" t="s">
        <v>103</v>
      </c>
      <c r="D20" s="7" t="s">
        <v>4446</v>
      </c>
      <c r="E20" s="18" t="s">
        <v>28</v>
      </c>
      <c r="F20" s="3" t="s">
        <v>84</v>
      </c>
      <c r="G20" s="3" t="s">
        <v>689</v>
      </c>
      <c r="H20" s="7"/>
      <c r="I20" s="7"/>
      <c r="J20" s="7"/>
      <c r="K20" s="3"/>
      <c r="L20" s="228" t="s">
        <v>106</v>
      </c>
      <c r="M20" s="7" t="s">
        <v>53</v>
      </c>
      <c r="N20" s="176" t="s">
        <v>47</v>
      </c>
      <c r="O20" s="191" t="str">
        <f>HYPERLINK("https://leetcode.com/problems/3sum/","https://leetcode.com/problems/3sum/")</f>
        <v>https://leetcode.com/problems/3sum/</v>
      </c>
    </row>
    <row r="21" spans="1:15" ht="31.5" customHeight="1" x14ac:dyDescent="0.2">
      <c r="A21" s="125">
        <v>16</v>
      </c>
      <c r="B21" s="125">
        <v>16</v>
      </c>
      <c r="C21" s="126" t="s">
        <v>108</v>
      </c>
      <c r="D21" s="125" t="s">
        <v>4447</v>
      </c>
      <c r="E21" s="127" t="s">
        <v>28</v>
      </c>
      <c r="F21" s="128" t="s">
        <v>84</v>
      </c>
      <c r="G21" s="128" t="s">
        <v>689</v>
      </c>
      <c r="H21" s="125"/>
      <c r="I21" s="125"/>
      <c r="J21" s="125"/>
      <c r="K21" s="128"/>
      <c r="L21" s="271" t="s">
        <v>111</v>
      </c>
      <c r="M21" s="125" t="s">
        <v>53</v>
      </c>
      <c r="N21" s="181" t="s">
        <v>47</v>
      </c>
      <c r="O21" s="194" t="str">
        <f>HYPERLINK("https://leetcode.com/problems/3sum-closest/","https://leetcode.com/problems/3sum-closest/")</f>
        <v>https://leetcode.com/problems/3sum-closest/</v>
      </c>
    </row>
    <row r="22" spans="1:15" ht="31.5" customHeight="1" x14ac:dyDescent="0.2">
      <c r="A22" s="7">
        <v>17</v>
      </c>
      <c r="B22" s="7">
        <v>17</v>
      </c>
      <c r="C22" s="13" t="s">
        <v>113</v>
      </c>
      <c r="D22" s="7" t="s">
        <v>4448</v>
      </c>
      <c r="E22" s="18" t="s">
        <v>28</v>
      </c>
      <c r="F22" s="3" t="s">
        <v>114</v>
      </c>
      <c r="G22" s="3" t="s">
        <v>300</v>
      </c>
      <c r="H22" s="7"/>
      <c r="I22" s="7"/>
      <c r="J22" s="7"/>
      <c r="K22" s="3"/>
      <c r="L22" s="228" t="s">
        <v>117</v>
      </c>
      <c r="M22" s="7" t="s">
        <v>118</v>
      </c>
      <c r="N22" s="176" t="s">
        <v>24</v>
      </c>
      <c r="O22" s="191" t="str">
        <f>HYPERLINK("https://leetcode.com/problems/letter-combinations-of-a-phone-number/","https://leetcode.com/problems/letter-combinations-of-a-phone-number/")</f>
        <v>https://leetcode.com/problems/letter-combinations-of-a-phone-number/</v>
      </c>
    </row>
    <row r="23" spans="1:15" ht="31.5" customHeight="1" x14ac:dyDescent="0.2">
      <c r="A23" s="125">
        <v>18</v>
      </c>
      <c r="B23" s="125">
        <v>18</v>
      </c>
      <c r="C23" s="126" t="s">
        <v>120</v>
      </c>
      <c r="D23" s="125" t="s">
        <v>4449</v>
      </c>
      <c r="E23" s="127" t="s">
        <v>28</v>
      </c>
      <c r="F23" s="128" t="s">
        <v>84</v>
      </c>
      <c r="G23" s="128" t="s">
        <v>689</v>
      </c>
      <c r="H23" s="125"/>
      <c r="I23" s="125"/>
      <c r="J23" s="125"/>
      <c r="K23" s="128"/>
      <c r="L23" s="271" t="s">
        <v>123</v>
      </c>
      <c r="M23" s="125" t="s">
        <v>124</v>
      </c>
      <c r="N23" s="181" t="s">
        <v>47</v>
      </c>
      <c r="O23" s="194" t="str">
        <f>HYPERLINK("https://leetcode.com/problems/4sum/","https://leetcode.com/problems/4sum/")</f>
        <v>https://leetcode.com/problems/4sum/</v>
      </c>
    </row>
    <row r="24" spans="1:15" ht="31.5" customHeight="1" x14ac:dyDescent="0.2">
      <c r="A24" s="7">
        <v>19</v>
      </c>
      <c r="B24" s="7">
        <v>19</v>
      </c>
      <c r="C24" s="13" t="s">
        <v>126</v>
      </c>
      <c r="D24" s="7" t="s">
        <v>4450</v>
      </c>
      <c r="E24" s="18" t="s">
        <v>28</v>
      </c>
      <c r="F24" s="3" t="s">
        <v>679</v>
      </c>
      <c r="G24" s="3" t="s">
        <v>127</v>
      </c>
      <c r="H24" s="7"/>
      <c r="I24" s="7"/>
      <c r="J24" s="7"/>
      <c r="K24" s="3"/>
      <c r="L24" s="228" t="s">
        <v>130</v>
      </c>
      <c r="M24" s="7" t="s">
        <v>24</v>
      </c>
      <c r="N24" s="176" t="s">
        <v>47</v>
      </c>
      <c r="O24" s="191" t="str">
        <f>HYPERLINK("https://leetcode.com/problems/remove-nth-node-from-end-of-list/","https://leetcode.com/problems/remove-nth-node-from-end-of-list/")</f>
        <v>https://leetcode.com/problems/remove-nth-node-from-end-of-list/</v>
      </c>
    </row>
    <row r="25" spans="1:15" ht="31.5" customHeight="1" x14ac:dyDescent="0.2">
      <c r="A25" s="125">
        <v>20</v>
      </c>
      <c r="B25" s="125">
        <v>20</v>
      </c>
      <c r="C25" s="126" t="s">
        <v>132</v>
      </c>
      <c r="D25" s="125" t="s">
        <v>4451</v>
      </c>
      <c r="E25" s="130" t="s">
        <v>20</v>
      </c>
      <c r="F25" s="128" t="s">
        <v>133</v>
      </c>
      <c r="G25" s="128" t="s">
        <v>540</v>
      </c>
      <c r="H25" s="125"/>
      <c r="I25" s="125"/>
      <c r="J25" s="125"/>
      <c r="K25" s="128"/>
      <c r="L25" s="271" t="s">
        <v>135</v>
      </c>
      <c r="M25" s="125" t="s">
        <v>24</v>
      </c>
      <c r="N25" s="181" t="s">
        <v>24</v>
      </c>
      <c r="O25" s="194" t="str">
        <f>HYPERLINK("https://leetcode.com/problems/valid-parentheses/","https://leetcode.com/problems/valid-parentheses/")</f>
        <v>https://leetcode.com/problems/valid-parentheses/</v>
      </c>
    </row>
    <row r="26" spans="1:15" ht="31.5" customHeight="1" x14ac:dyDescent="0.2">
      <c r="A26" s="7">
        <v>21</v>
      </c>
      <c r="B26" s="7">
        <v>21</v>
      </c>
      <c r="C26" s="13" t="s">
        <v>137</v>
      </c>
      <c r="D26" s="7" t="s">
        <v>4452</v>
      </c>
      <c r="E26" s="21" t="s">
        <v>20</v>
      </c>
      <c r="F26" s="3" t="s">
        <v>127</v>
      </c>
      <c r="G26" s="3" t="s">
        <v>127</v>
      </c>
      <c r="H26" s="7"/>
      <c r="I26" s="7"/>
      <c r="J26" s="7"/>
      <c r="K26" s="3"/>
      <c r="L26" s="228" t="s">
        <v>139</v>
      </c>
      <c r="M26" s="7" t="s">
        <v>140</v>
      </c>
      <c r="N26" s="176" t="s">
        <v>141</v>
      </c>
      <c r="O26" s="191" t="str">
        <f>HYPERLINK("https://leetcode.com/problems/merge-two-sorted-lists/","https://leetcode.com/problems/merge-two-sorted-lists/")</f>
        <v>https://leetcode.com/problems/merge-two-sorted-lists/</v>
      </c>
    </row>
    <row r="27" spans="1:15" ht="31.5" customHeight="1" x14ac:dyDescent="0.2">
      <c r="A27" s="125">
        <v>22</v>
      </c>
      <c r="B27" s="125">
        <v>22</v>
      </c>
      <c r="C27" s="126" t="s">
        <v>143</v>
      </c>
      <c r="D27" s="125" t="s">
        <v>4453</v>
      </c>
      <c r="E27" s="127" t="s">
        <v>28</v>
      </c>
      <c r="F27" s="128" t="s">
        <v>4251</v>
      </c>
      <c r="G27" s="128" t="s">
        <v>300</v>
      </c>
      <c r="H27" s="125"/>
      <c r="I27" s="125"/>
      <c r="J27" s="125"/>
      <c r="K27" s="128"/>
      <c r="L27" s="271" t="s">
        <v>145</v>
      </c>
      <c r="M27" s="125" t="s">
        <v>146</v>
      </c>
      <c r="N27" s="181" t="s">
        <v>24</v>
      </c>
      <c r="O27" s="194" t="str">
        <f>HYPERLINK("https://leetcode.com/problems/generate-parentheses/","https://leetcode.com/problems/generate-parentheses/")</f>
        <v>https://leetcode.com/problems/generate-parentheses/</v>
      </c>
    </row>
    <row r="28" spans="1:15" ht="31.5" customHeight="1" x14ac:dyDescent="0.2">
      <c r="A28" s="7">
        <v>23</v>
      </c>
      <c r="B28" s="7">
        <v>23</v>
      </c>
      <c r="C28" s="13" t="s">
        <v>148</v>
      </c>
      <c r="D28" s="7" t="s">
        <v>4454</v>
      </c>
      <c r="E28" s="20" t="s">
        <v>42</v>
      </c>
      <c r="F28" s="3" t="s">
        <v>149</v>
      </c>
      <c r="G28" s="3" t="s">
        <v>4455</v>
      </c>
      <c r="H28" s="7"/>
      <c r="I28" s="7"/>
      <c r="J28" s="7"/>
      <c r="K28" s="3"/>
      <c r="L28" s="228" t="s">
        <v>151</v>
      </c>
      <c r="M28" s="7" t="s">
        <v>152</v>
      </c>
      <c r="N28" s="176" t="s">
        <v>153</v>
      </c>
      <c r="O28" s="191" t="str">
        <f>HYPERLINK("https://leetcode.com/problems/merge-k-sorted-lists/","https://leetcode.com/problems/merge-k-sorted-lists/")</f>
        <v>https://leetcode.com/problems/merge-k-sorted-lists/</v>
      </c>
    </row>
    <row r="29" spans="1:15" ht="31.5" customHeight="1" x14ac:dyDescent="0.2">
      <c r="A29" s="125">
        <v>24</v>
      </c>
      <c r="B29" s="125">
        <v>26</v>
      </c>
      <c r="C29" s="126" t="s">
        <v>165</v>
      </c>
      <c r="D29" s="125" t="s">
        <v>4459</v>
      </c>
      <c r="E29" s="130" t="s">
        <v>20</v>
      </c>
      <c r="F29" s="128" t="s">
        <v>84</v>
      </c>
      <c r="G29" s="128" t="s">
        <v>689</v>
      </c>
      <c r="H29" s="125"/>
      <c r="I29" s="125"/>
      <c r="J29" s="125"/>
      <c r="K29" s="128"/>
      <c r="L29" s="271" t="s">
        <v>169</v>
      </c>
      <c r="M29" s="125" t="s">
        <v>24</v>
      </c>
      <c r="N29" s="181" t="s">
        <v>47</v>
      </c>
      <c r="O29" s="194" t="str">
        <f>HYPERLINK("https://leetcode.com/problems/remove-duplicates-from-sorted-array/","https://leetcode.com/problems/remove-duplicates-from-sorted-array/")</f>
        <v>https://leetcode.com/problems/remove-duplicates-from-sorted-array/</v>
      </c>
    </row>
    <row r="30" spans="1:15" ht="31.5" customHeight="1" x14ac:dyDescent="0.2">
      <c r="A30" s="7">
        <v>25</v>
      </c>
      <c r="B30" s="7">
        <v>27</v>
      </c>
      <c r="C30" s="13" t="s">
        <v>171</v>
      </c>
      <c r="D30" s="7" t="s">
        <v>4460</v>
      </c>
      <c r="E30" s="21" t="s">
        <v>20</v>
      </c>
      <c r="F30" s="3" t="s">
        <v>166</v>
      </c>
      <c r="G30" s="3" t="s">
        <v>166</v>
      </c>
      <c r="H30" s="7"/>
      <c r="I30" s="7"/>
      <c r="J30" s="7"/>
      <c r="K30" s="3"/>
      <c r="L30" s="228" t="s">
        <v>173</v>
      </c>
      <c r="M30" s="7" t="s">
        <v>24</v>
      </c>
      <c r="N30" s="176" t="s">
        <v>47</v>
      </c>
      <c r="O30" s="191" t="str">
        <f>HYPERLINK("https://leetcode.com/problems/remove-element/","https://leetcode.com/problems/remove-element/")</f>
        <v>https://leetcode.com/problems/remove-element/</v>
      </c>
    </row>
    <row r="31" spans="1:15" ht="31.5" customHeight="1" x14ac:dyDescent="0.2">
      <c r="A31" s="125">
        <v>26</v>
      </c>
      <c r="B31" s="125">
        <v>28</v>
      </c>
      <c r="C31" s="126" t="s">
        <v>175</v>
      </c>
      <c r="D31" s="125" t="s">
        <v>4461</v>
      </c>
      <c r="E31" s="130" t="s">
        <v>20</v>
      </c>
      <c r="F31" s="128" t="s">
        <v>611</v>
      </c>
      <c r="G31" s="128" t="s">
        <v>4732</v>
      </c>
      <c r="H31" s="125"/>
      <c r="I31" s="125"/>
      <c r="J31" s="125"/>
      <c r="K31" s="128"/>
      <c r="L31" s="271" t="s">
        <v>177</v>
      </c>
      <c r="M31" s="125" t="s">
        <v>178</v>
      </c>
      <c r="N31" s="181" t="s">
        <v>47</v>
      </c>
      <c r="O31" s="194" t="str">
        <f>HYPERLINK("https://leetcode.com/problems/find-the-index-of-the-first-occurrence-in-a-string/","https://leetcode.com/problems/find-the-index-of-the-first-occurrence-in-a-string/")</f>
        <v>https://leetcode.com/problems/find-the-index-of-the-first-occurrence-in-a-string/</v>
      </c>
    </row>
    <row r="32" spans="1:15" ht="31.5" customHeight="1" x14ac:dyDescent="0.2">
      <c r="A32" s="7">
        <v>27</v>
      </c>
      <c r="B32" s="7">
        <v>31</v>
      </c>
      <c r="C32" s="13" t="s">
        <v>192</v>
      </c>
      <c r="D32" s="7" t="s">
        <v>4463</v>
      </c>
      <c r="E32" s="18" t="s">
        <v>28</v>
      </c>
      <c r="F32" s="3" t="s">
        <v>84</v>
      </c>
      <c r="G32" s="3" t="s">
        <v>689</v>
      </c>
      <c r="H32" s="7"/>
      <c r="I32" s="7"/>
      <c r="J32" s="7"/>
      <c r="K32" s="3"/>
      <c r="L32" s="228" t="s">
        <v>195</v>
      </c>
      <c r="M32" s="7" t="s">
        <v>24</v>
      </c>
      <c r="N32" s="176" t="s">
        <v>47</v>
      </c>
      <c r="O32" s="191" t="str">
        <f>HYPERLINK("https://leetcode.com/problems/next-permutation/","https://leetcode.com/problems/next-permutation/")</f>
        <v>https://leetcode.com/problems/next-permutation/</v>
      </c>
    </row>
    <row r="33" spans="1:15" ht="31.5" customHeight="1" x14ac:dyDescent="0.2">
      <c r="A33" s="125">
        <v>28</v>
      </c>
      <c r="B33" s="125">
        <v>32</v>
      </c>
      <c r="C33" s="126" t="s">
        <v>197</v>
      </c>
      <c r="D33" s="125" t="s">
        <v>4464</v>
      </c>
      <c r="E33" s="129" t="s">
        <v>42</v>
      </c>
      <c r="F33" s="128" t="s">
        <v>198</v>
      </c>
      <c r="G33" s="128" t="s">
        <v>4465</v>
      </c>
      <c r="H33" s="125"/>
      <c r="I33" s="125"/>
      <c r="J33" s="125"/>
      <c r="K33" s="128"/>
      <c r="L33" s="271" t="s">
        <v>200</v>
      </c>
      <c r="M33" s="125" t="s">
        <v>24</v>
      </c>
      <c r="N33" s="181" t="s">
        <v>24</v>
      </c>
      <c r="O33" s="194" t="str">
        <f>HYPERLINK("https://leetcode.com/problems/longest-valid-parentheses/","https://leetcode.com/problems/longest-valid-parentheses/")</f>
        <v>https://leetcode.com/problems/longest-valid-parentheses/</v>
      </c>
    </row>
    <row r="34" spans="1:15" ht="31.5" customHeight="1" x14ac:dyDescent="0.2">
      <c r="A34" s="7">
        <v>29</v>
      </c>
      <c r="B34" s="7">
        <v>33</v>
      </c>
      <c r="C34" s="13" t="s">
        <v>202</v>
      </c>
      <c r="D34" s="7" t="s">
        <v>4466</v>
      </c>
      <c r="E34" s="18" t="s">
        <v>28</v>
      </c>
      <c r="F34" s="3" t="s">
        <v>41</v>
      </c>
      <c r="G34" s="3" t="s">
        <v>4255</v>
      </c>
      <c r="H34" s="7"/>
      <c r="I34" s="7"/>
      <c r="J34" s="7"/>
      <c r="K34" s="3"/>
      <c r="L34" s="228" t="s">
        <v>204</v>
      </c>
      <c r="M34" s="7" t="s">
        <v>65</v>
      </c>
      <c r="N34" s="176" t="s">
        <v>47</v>
      </c>
      <c r="O34" s="191" t="str">
        <f>HYPERLINK("https://leetcode.com/problems/search-in-rotated-sorted-array/","https://leetcode.com/problems/search-in-rotated-sorted-array/")</f>
        <v>https://leetcode.com/problems/search-in-rotated-sorted-array/</v>
      </c>
    </row>
    <row r="35" spans="1:15" ht="31.5" customHeight="1" x14ac:dyDescent="0.2">
      <c r="A35" s="125">
        <v>30</v>
      </c>
      <c r="B35" s="125">
        <v>34</v>
      </c>
      <c r="C35" s="126" t="s">
        <v>206</v>
      </c>
      <c r="D35" s="125" t="s">
        <v>4467</v>
      </c>
      <c r="E35" s="127" t="s">
        <v>28</v>
      </c>
      <c r="F35" s="128" t="s">
        <v>41</v>
      </c>
      <c r="G35" s="128" t="s">
        <v>512</v>
      </c>
      <c r="H35" s="125"/>
      <c r="I35" s="125"/>
      <c r="J35" s="125"/>
      <c r="K35" s="128"/>
      <c r="L35" s="271" t="s">
        <v>208</v>
      </c>
      <c r="M35" s="125" t="s">
        <v>65</v>
      </c>
      <c r="N35" s="181" t="s">
        <v>47</v>
      </c>
      <c r="O35" s="194" t="str">
        <f>HYPERLINK("https://leetcode.com/problems/find-first-and-last-position-of-element-in-sorted-array/","https://leetcode.com/problems/find-first-and-last-position-of-element-in-sorted-array/")</f>
        <v>https://leetcode.com/problems/find-first-and-last-position-of-element-in-sorted-array/</v>
      </c>
    </row>
    <row r="36" spans="1:15" ht="31.5" customHeight="1" x14ac:dyDescent="0.2">
      <c r="A36" s="7">
        <v>31</v>
      </c>
      <c r="B36" s="7">
        <v>35</v>
      </c>
      <c r="C36" s="13" t="s">
        <v>210</v>
      </c>
      <c r="D36" s="7" t="s">
        <v>4468</v>
      </c>
      <c r="E36" s="21" t="s">
        <v>20</v>
      </c>
      <c r="F36" s="3" t="s">
        <v>41</v>
      </c>
      <c r="G36" s="3" t="s">
        <v>512</v>
      </c>
      <c r="H36" s="7"/>
      <c r="I36" s="7"/>
      <c r="J36" s="7"/>
      <c r="K36" s="3"/>
      <c r="L36" s="228" t="s">
        <v>212</v>
      </c>
      <c r="M36" s="7" t="s">
        <v>65</v>
      </c>
      <c r="N36" s="176" t="s">
        <v>47</v>
      </c>
      <c r="O36" s="191" t="str">
        <f>HYPERLINK("https://leetcode.com/problems/search-insert-position/","https://leetcode.com/problems/search-insert-position/")</f>
        <v>https://leetcode.com/problems/search-insert-position/</v>
      </c>
    </row>
    <row r="37" spans="1:15" ht="31.5" customHeight="1" x14ac:dyDescent="0.2">
      <c r="A37" s="125">
        <v>32</v>
      </c>
      <c r="B37" s="125">
        <v>39</v>
      </c>
      <c r="C37" s="126" t="s">
        <v>233</v>
      </c>
      <c r="D37" s="125" t="s">
        <v>4473</v>
      </c>
      <c r="E37" s="127" t="s">
        <v>28</v>
      </c>
      <c r="F37" s="128" t="s">
        <v>234</v>
      </c>
      <c r="G37" s="128" t="s">
        <v>300</v>
      </c>
      <c r="H37" s="125"/>
      <c r="I37" s="125"/>
      <c r="J37" s="125"/>
      <c r="K37" s="128"/>
      <c r="L37" s="271" t="s">
        <v>237</v>
      </c>
      <c r="M37" s="125" t="s">
        <v>238</v>
      </c>
      <c r="N37" s="181" t="s">
        <v>239</v>
      </c>
      <c r="O37" s="194" t="str">
        <f>HYPERLINK("https://leetcode.com/problems/combination-sum/","https://leetcode.com/problems/combination-sum/")</f>
        <v>https://leetcode.com/problems/combination-sum/</v>
      </c>
    </row>
    <row r="38" spans="1:15" ht="31.5" customHeight="1" x14ac:dyDescent="0.2">
      <c r="A38" s="7">
        <v>33</v>
      </c>
      <c r="B38" s="7">
        <v>41</v>
      </c>
      <c r="C38" s="13" t="s">
        <v>246</v>
      </c>
      <c r="D38" s="7" t="s">
        <v>4475</v>
      </c>
      <c r="E38" s="20" t="s">
        <v>42</v>
      </c>
      <c r="F38" s="3" t="s">
        <v>19</v>
      </c>
      <c r="G38" s="3" t="s">
        <v>1699</v>
      </c>
      <c r="H38" s="7"/>
      <c r="I38" s="7"/>
      <c r="J38" s="7"/>
      <c r="K38" s="3"/>
      <c r="L38" s="228" t="s">
        <v>249</v>
      </c>
      <c r="M38" s="7" t="s">
        <v>24</v>
      </c>
      <c r="N38" s="176" t="s">
        <v>47</v>
      </c>
      <c r="O38" s="191" t="str">
        <f>HYPERLINK("https://leetcode.com/problems/first-missing-positive/","https://leetcode.com/problems/first-missing-positive/")</f>
        <v>https://leetcode.com/problems/first-missing-positive/</v>
      </c>
    </row>
    <row r="39" spans="1:15" ht="31.5" customHeight="1" x14ac:dyDescent="0.2">
      <c r="A39" s="125">
        <v>34</v>
      </c>
      <c r="B39" s="125">
        <v>42</v>
      </c>
      <c r="C39" s="126" t="s">
        <v>251</v>
      </c>
      <c r="D39" s="125" t="s">
        <v>4476</v>
      </c>
      <c r="E39" s="129" t="s">
        <v>42</v>
      </c>
      <c r="F39" s="128" t="s">
        <v>4259</v>
      </c>
      <c r="G39" s="128" t="s">
        <v>4477</v>
      </c>
      <c r="H39" s="125"/>
      <c r="I39" s="125"/>
      <c r="J39" s="125"/>
      <c r="K39" s="128"/>
      <c r="L39" s="271" t="s">
        <v>254</v>
      </c>
      <c r="M39" s="125" t="s">
        <v>24</v>
      </c>
      <c r="N39" s="181" t="s">
        <v>47</v>
      </c>
      <c r="O39" s="194" t="str">
        <f>HYPERLINK("https://leetcode.com/problems/trapping-rain-water/","https://leetcode.com/problems/trapping-rain-water/")</f>
        <v>https://leetcode.com/problems/trapping-rain-water/</v>
      </c>
    </row>
    <row r="40" spans="1:15" ht="31.5" customHeight="1" x14ac:dyDescent="0.2">
      <c r="A40" s="7">
        <v>35</v>
      </c>
      <c r="B40" s="7">
        <v>46</v>
      </c>
      <c r="C40" s="13" t="s">
        <v>272</v>
      </c>
      <c r="D40" s="7" t="s">
        <v>4480</v>
      </c>
      <c r="E40" s="18" t="s">
        <v>28</v>
      </c>
      <c r="F40" s="3" t="s">
        <v>234</v>
      </c>
      <c r="G40" s="3" t="s">
        <v>300</v>
      </c>
      <c r="H40" s="7"/>
      <c r="I40" s="7"/>
      <c r="J40" s="7"/>
      <c r="K40" s="3"/>
      <c r="L40" s="228" t="s">
        <v>274</v>
      </c>
      <c r="M40" s="7" t="s">
        <v>275</v>
      </c>
      <c r="N40" s="176" t="s">
        <v>24</v>
      </c>
      <c r="O40" s="191" t="str">
        <f>HYPERLINK("https://leetcode.com/problems/permutations/","https://leetcode.com/problems/permutations/")</f>
        <v>https://leetcode.com/problems/permutations/</v>
      </c>
    </row>
    <row r="41" spans="1:15" ht="31.5" customHeight="1" x14ac:dyDescent="0.2">
      <c r="A41" s="125">
        <v>36</v>
      </c>
      <c r="B41" s="125">
        <v>48</v>
      </c>
      <c r="C41" s="126" t="s">
        <v>282</v>
      </c>
      <c r="D41" s="125" t="s">
        <v>4481</v>
      </c>
      <c r="E41" s="127" t="s">
        <v>28</v>
      </c>
      <c r="F41" s="128" t="s">
        <v>283</v>
      </c>
      <c r="G41" s="128" t="s">
        <v>4187</v>
      </c>
      <c r="H41" s="125"/>
      <c r="I41" s="125"/>
      <c r="J41" s="125"/>
      <c r="K41" s="128"/>
      <c r="L41" s="271" t="s">
        <v>286</v>
      </c>
      <c r="M41" s="125" t="s">
        <v>53</v>
      </c>
      <c r="N41" s="181" t="s">
        <v>47</v>
      </c>
      <c r="O41" s="194" t="str">
        <f>HYPERLINK("https://leetcode.com/problems/rotate-image/","https://leetcode.com/problems/rotate-image/")</f>
        <v>https://leetcode.com/problems/rotate-image/</v>
      </c>
    </row>
    <row r="42" spans="1:15" ht="31.5" customHeight="1" x14ac:dyDescent="0.2">
      <c r="A42" s="7">
        <v>37</v>
      </c>
      <c r="B42" s="7">
        <v>49</v>
      </c>
      <c r="C42" s="13" t="s">
        <v>288</v>
      </c>
      <c r="D42" s="7" t="s">
        <v>4482</v>
      </c>
      <c r="E42" s="18" t="s">
        <v>28</v>
      </c>
      <c r="F42" s="3" t="s">
        <v>289</v>
      </c>
      <c r="G42" s="3" t="s">
        <v>4244</v>
      </c>
      <c r="H42" s="7"/>
      <c r="I42" s="7"/>
      <c r="J42" s="7"/>
      <c r="K42" s="3"/>
      <c r="L42" s="228" t="s">
        <v>291</v>
      </c>
      <c r="M42" s="7" t="s">
        <v>292</v>
      </c>
      <c r="N42" s="176" t="s">
        <v>292</v>
      </c>
      <c r="O42" s="191" t="str">
        <f>HYPERLINK("https://leetcode.com/problems/group-anagrams/","https://leetcode.com/problems/group-anagrams/")</f>
        <v>https://leetcode.com/problems/group-anagrams/</v>
      </c>
    </row>
    <row r="43" spans="1:15" ht="31.5" customHeight="1" x14ac:dyDescent="0.2">
      <c r="A43" s="125">
        <v>38</v>
      </c>
      <c r="B43" s="125">
        <v>50</v>
      </c>
      <c r="C43" s="126" t="s">
        <v>294</v>
      </c>
      <c r="D43" s="125" t="s">
        <v>4483</v>
      </c>
      <c r="E43" s="127" t="s">
        <v>28</v>
      </c>
      <c r="F43" s="128" t="s">
        <v>295</v>
      </c>
      <c r="G43" s="128" t="s">
        <v>4484</v>
      </c>
      <c r="H43" s="125"/>
      <c r="I43" s="125"/>
      <c r="J43" s="125"/>
      <c r="K43" s="128"/>
      <c r="L43" s="271" t="s">
        <v>297</v>
      </c>
      <c r="M43" s="125" t="s">
        <v>65</v>
      </c>
      <c r="N43" s="181" t="s">
        <v>47</v>
      </c>
      <c r="O43" s="194" t="str">
        <f>HYPERLINK("https://leetcode.com/problems/powx-n/","https://leetcode.com/problems/powx-n/")</f>
        <v>https://leetcode.com/problems/powx-n/</v>
      </c>
    </row>
    <row r="44" spans="1:15" ht="31.5" customHeight="1" x14ac:dyDescent="0.2">
      <c r="A44" s="7">
        <v>39</v>
      </c>
      <c r="B44" s="7">
        <v>51</v>
      </c>
      <c r="C44" s="13" t="s">
        <v>299</v>
      </c>
      <c r="D44" s="7" t="s">
        <v>4485</v>
      </c>
      <c r="E44" s="20" t="s">
        <v>42</v>
      </c>
      <c r="F44" s="3" t="s">
        <v>234</v>
      </c>
      <c r="G44" s="3" t="s">
        <v>300</v>
      </c>
      <c r="H44" s="7"/>
      <c r="I44" s="7"/>
      <c r="J44" s="7"/>
      <c r="K44" s="3"/>
      <c r="L44" s="228" t="s">
        <v>302</v>
      </c>
      <c r="M44" s="7" t="s">
        <v>303</v>
      </c>
      <c r="N44" s="176" t="s">
        <v>304</v>
      </c>
      <c r="O44" s="191" t="str">
        <f>HYPERLINK("https://leetcode.com/problems/n-queens/","https://leetcode.com/problems/n-queens/")</f>
        <v>https://leetcode.com/problems/n-queens/</v>
      </c>
    </row>
    <row r="45" spans="1:15" ht="31.5" customHeight="1" x14ac:dyDescent="0.2">
      <c r="A45" s="125">
        <v>40</v>
      </c>
      <c r="B45" s="125">
        <v>53</v>
      </c>
      <c r="C45" s="126" t="s">
        <v>308</v>
      </c>
      <c r="D45" s="125" t="s">
        <v>4486</v>
      </c>
      <c r="E45" s="127" t="s">
        <v>28</v>
      </c>
      <c r="F45" s="128" t="s">
        <v>309</v>
      </c>
      <c r="G45" s="128" t="s">
        <v>4261</v>
      </c>
      <c r="H45" s="125"/>
      <c r="I45" s="125"/>
      <c r="J45" s="125"/>
      <c r="K45" s="128"/>
      <c r="L45" s="271" t="s">
        <v>311</v>
      </c>
      <c r="M45" s="125" t="s">
        <v>24</v>
      </c>
      <c r="N45" s="181" t="s">
        <v>47</v>
      </c>
      <c r="O45" s="194" t="str">
        <f>HYPERLINK("https://leetcode.com/problems/maximum-subarray/","https://leetcode.com/problems/maximum-subarray/")</f>
        <v>https://leetcode.com/problems/maximum-subarray/</v>
      </c>
    </row>
    <row r="46" spans="1:15" ht="31.5" customHeight="1" x14ac:dyDescent="0.2">
      <c r="A46" s="7">
        <v>41</v>
      </c>
      <c r="B46" s="7">
        <v>54</v>
      </c>
      <c r="C46" s="13" t="s">
        <v>313</v>
      </c>
      <c r="D46" s="7" t="s">
        <v>4487</v>
      </c>
      <c r="E46" s="18" t="s">
        <v>28</v>
      </c>
      <c r="F46" s="3" t="s">
        <v>283</v>
      </c>
      <c r="G46" s="3" t="s">
        <v>4488</v>
      </c>
      <c r="H46" s="7"/>
      <c r="I46" s="7"/>
      <c r="J46" s="7"/>
      <c r="K46" s="3"/>
      <c r="L46" s="228" t="s">
        <v>315</v>
      </c>
      <c r="M46" s="7" t="s">
        <v>81</v>
      </c>
      <c r="N46" s="176" t="s">
        <v>47</v>
      </c>
      <c r="O46" s="191" t="str">
        <f>HYPERLINK("https://leetcode.com/problems/spiral-matrix/","https://leetcode.com/problems/spiral-matrix/")</f>
        <v>https://leetcode.com/problems/spiral-matrix/</v>
      </c>
    </row>
    <row r="47" spans="1:15" ht="31.5" customHeight="1" x14ac:dyDescent="0.2">
      <c r="A47" s="125">
        <v>42</v>
      </c>
      <c r="B47" s="125">
        <v>55</v>
      </c>
      <c r="C47" s="126" t="s">
        <v>317</v>
      </c>
      <c r="D47" s="125" t="s">
        <v>4489</v>
      </c>
      <c r="E47" s="127" t="s">
        <v>28</v>
      </c>
      <c r="F47" s="128" t="s">
        <v>318</v>
      </c>
      <c r="G47" s="128" t="s">
        <v>3091</v>
      </c>
      <c r="H47" s="125"/>
      <c r="I47" s="125"/>
      <c r="J47" s="125"/>
      <c r="K47" s="128"/>
      <c r="L47" s="271" t="s">
        <v>320</v>
      </c>
      <c r="M47" s="125" t="s">
        <v>24</v>
      </c>
      <c r="N47" s="181" t="s">
        <v>47</v>
      </c>
      <c r="O47" s="194" t="str">
        <f>HYPERLINK("https://leetcode.com/problems/jump-game/","https://leetcode.com/problems/jump-game/")</f>
        <v>https://leetcode.com/problems/jump-game/</v>
      </c>
    </row>
    <row r="48" spans="1:15" ht="31.5" customHeight="1" x14ac:dyDescent="0.2">
      <c r="A48" s="7">
        <v>43</v>
      </c>
      <c r="B48" s="7">
        <v>56</v>
      </c>
      <c r="C48" s="13" t="s">
        <v>322</v>
      </c>
      <c r="D48" s="7" t="s">
        <v>4490</v>
      </c>
      <c r="E48" s="18" t="s">
        <v>28</v>
      </c>
      <c r="F48" s="3" t="s">
        <v>323</v>
      </c>
      <c r="G48" s="3" t="s">
        <v>322</v>
      </c>
      <c r="H48" s="7"/>
      <c r="I48" s="7"/>
      <c r="J48" s="7"/>
      <c r="K48" s="3"/>
      <c r="L48" s="228" t="s">
        <v>325</v>
      </c>
      <c r="M48" s="7" t="s">
        <v>326</v>
      </c>
      <c r="N48" s="176" t="s">
        <v>24</v>
      </c>
      <c r="O48" s="191" t="str">
        <f>HYPERLINK("https://leetcode.com/problems/merge-intervals/","https://leetcode.com/problems/merge-intervals/")</f>
        <v>https://leetcode.com/problems/merge-intervals/</v>
      </c>
    </row>
    <row r="49" spans="1:15" ht="31.5" customHeight="1" x14ac:dyDescent="0.2">
      <c r="A49" s="125">
        <v>44</v>
      </c>
      <c r="B49" s="125">
        <v>58</v>
      </c>
      <c r="C49" s="126" t="s">
        <v>333</v>
      </c>
      <c r="D49" s="125" t="s">
        <v>4491</v>
      </c>
      <c r="E49" s="130" t="s">
        <v>20</v>
      </c>
      <c r="F49" s="128" t="s">
        <v>98</v>
      </c>
      <c r="G49" s="128" t="s">
        <v>98</v>
      </c>
      <c r="H49" s="125"/>
      <c r="I49" s="125"/>
      <c r="J49" s="125"/>
      <c r="K49" s="128"/>
      <c r="L49" s="271" t="s">
        <v>335</v>
      </c>
      <c r="M49" s="125" t="s">
        <v>24</v>
      </c>
      <c r="N49" s="181" t="s">
        <v>47</v>
      </c>
      <c r="O49" s="194" t="str">
        <f>HYPERLINK("https://leetcode.com/problems/length-of-last-word/","https://leetcode.com/problems/length-of-last-word/")</f>
        <v>https://leetcode.com/problems/length-of-last-word/</v>
      </c>
    </row>
    <row r="50" spans="1:15" ht="31.5" customHeight="1" x14ac:dyDescent="0.2">
      <c r="A50" s="7">
        <v>45</v>
      </c>
      <c r="B50" s="7">
        <v>62</v>
      </c>
      <c r="C50" s="13" t="s">
        <v>353</v>
      </c>
      <c r="D50" s="7" t="s">
        <v>4495</v>
      </c>
      <c r="E50" s="18" t="s">
        <v>28</v>
      </c>
      <c r="F50" s="3" t="s">
        <v>354</v>
      </c>
      <c r="G50" s="3" t="s">
        <v>1042</v>
      </c>
      <c r="H50" s="7"/>
      <c r="I50" s="7"/>
      <c r="J50" s="7"/>
      <c r="K50" s="3"/>
      <c r="L50" s="228" t="s">
        <v>357</v>
      </c>
      <c r="M50" s="7" t="s">
        <v>81</v>
      </c>
      <c r="N50" s="176" t="s">
        <v>24</v>
      </c>
      <c r="O50" s="191" t="str">
        <f>HYPERLINK("https://leetcode.com/problems/unique-paths/","https://leetcode.com/problems/unique-paths/")</f>
        <v>https://leetcode.com/problems/unique-paths/</v>
      </c>
    </row>
    <row r="51" spans="1:15" ht="31.5" customHeight="1" x14ac:dyDescent="0.2">
      <c r="A51" s="125">
        <v>46</v>
      </c>
      <c r="B51" s="125">
        <v>65</v>
      </c>
      <c r="C51" s="126" t="s">
        <v>370</v>
      </c>
      <c r="D51" s="125" t="s">
        <v>4865</v>
      </c>
      <c r="E51" s="129" t="s">
        <v>42</v>
      </c>
      <c r="F51" s="128" t="s">
        <v>56</v>
      </c>
      <c r="G51" s="128" t="s">
        <v>98</v>
      </c>
      <c r="H51" s="125"/>
      <c r="I51" s="125"/>
      <c r="J51" s="125"/>
      <c r="K51" s="128"/>
      <c r="L51" s="271" t="s">
        <v>373</v>
      </c>
      <c r="M51" s="125" t="s">
        <v>24</v>
      </c>
      <c r="N51" s="181" t="s">
        <v>47</v>
      </c>
      <c r="O51" s="194" t="str">
        <f>HYPERLINK("https://leetcode.com/problems/valid-number/","https://leetcode.com/problems/valid-number/")</f>
        <v>https://leetcode.com/problems/valid-number/</v>
      </c>
    </row>
    <row r="52" spans="1:15" ht="31.5" customHeight="1" x14ac:dyDescent="0.2">
      <c r="A52" s="7">
        <v>47</v>
      </c>
      <c r="B52" s="7">
        <v>66</v>
      </c>
      <c r="C52" s="13" t="s">
        <v>375</v>
      </c>
      <c r="D52" s="7" t="s">
        <v>4497</v>
      </c>
      <c r="E52" s="21" t="s">
        <v>20</v>
      </c>
      <c r="F52" s="3" t="s">
        <v>376</v>
      </c>
      <c r="G52" s="3" t="s">
        <v>62</v>
      </c>
      <c r="H52" s="7"/>
      <c r="I52" s="7"/>
      <c r="J52" s="7"/>
      <c r="K52" s="3"/>
      <c r="L52" s="228" t="s">
        <v>378</v>
      </c>
      <c r="M52" s="7" t="s">
        <v>24</v>
      </c>
      <c r="N52" s="176" t="s">
        <v>47</v>
      </c>
      <c r="O52" s="191" t="str">
        <f>HYPERLINK("https://leetcode.com/problems/plus-one/","https://leetcode.com/problems/plus-one/")</f>
        <v>https://leetcode.com/problems/plus-one/</v>
      </c>
    </row>
    <row r="53" spans="1:15" ht="31.5" customHeight="1" x14ac:dyDescent="0.2">
      <c r="A53" s="125">
        <v>48</v>
      </c>
      <c r="B53" s="125">
        <v>67</v>
      </c>
      <c r="C53" s="126" t="s">
        <v>380</v>
      </c>
      <c r="D53" s="125" t="s">
        <v>4498</v>
      </c>
      <c r="E53" s="130" t="s">
        <v>20</v>
      </c>
      <c r="F53" s="128" t="s">
        <v>2456</v>
      </c>
      <c r="G53" s="128" t="s">
        <v>666</v>
      </c>
      <c r="H53" s="125"/>
      <c r="I53" s="125"/>
      <c r="J53" s="125"/>
      <c r="K53" s="128"/>
      <c r="L53" s="271" t="s">
        <v>384</v>
      </c>
      <c r="M53" s="125" t="s">
        <v>32</v>
      </c>
      <c r="N53" s="181" t="s">
        <v>32</v>
      </c>
      <c r="O53" s="194" t="str">
        <f>HYPERLINK("https://leetcode.com/problems/add-binary/","https://leetcode.com/problems/add-binary/")</f>
        <v>https://leetcode.com/problems/add-binary/</v>
      </c>
    </row>
    <row r="54" spans="1:15" ht="31.5" customHeight="1" x14ac:dyDescent="0.2">
      <c r="A54" s="7">
        <v>49</v>
      </c>
      <c r="B54" s="7">
        <v>69</v>
      </c>
      <c r="C54" s="13" t="s">
        <v>394</v>
      </c>
      <c r="D54" s="7" t="s">
        <v>4501</v>
      </c>
      <c r="E54" s="21" t="s">
        <v>20</v>
      </c>
      <c r="F54" s="3" t="s">
        <v>295</v>
      </c>
      <c r="G54" s="3" t="s">
        <v>512</v>
      </c>
      <c r="H54" s="7"/>
      <c r="I54" s="7"/>
      <c r="J54" s="7"/>
      <c r="K54" s="3"/>
      <c r="L54" s="228" t="s">
        <v>396</v>
      </c>
      <c r="M54" s="7" t="s">
        <v>65</v>
      </c>
      <c r="N54" s="176" t="s">
        <v>47</v>
      </c>
      <c r="O54" s="191" t="str">
        <f>HYPERLINK("https://leetcode.com/problems/sqrtx/","https://leetcode.com/problems/sqrtx/")</f>
        <v>https://leetcode.com/problems/sqrtx/</v>
      </c>
    </row>
    <row r="55" spans="1:15" ht="31.5" customHeight="1" x14ac:dyDescent="0.2">
      <c r="A55" s="125">
        <v>50</v>
      </c>
      <c r="B55" s="125">
        <v>70</v>
      </c>
      <c r="C55" s="126" t="s">
        <v>398</v>
      </c>
      <c r="D55" s="125" t="s">
        <v>4437</v>
      </c>
      <c r="E55" s="130" t="s">
        <v>20</v>
      </c>
      <c r="F55" s="128" t="s">
        <v>1314</v>
      </c>
      <c r="G55" s="128" t="s">
        <v>4264</v>
      </c>
      <c r="H55" s="125"/>
      <c r="I55" s="125"/>
      <c r="J55" s="125"/>
      <c r="K55" s="128"/>
      <c r="L55" s="271" t="s">
        <v>400</v>
      </c>
      <c r="M55" s="125" t="s">
        <v>24</v>
      </c>
      <c r="N55" s="181" t="s">
        <v>47</v>
      </c>
      <c r="O55" s="194" t="str">
        <f>HYPERLINK("https://leetcode.com/problems/climbing-stairs/","https://leetcode.com/problems/climbing-stairs/")</f>
        <v>https://leetcode.com/problems/climbing-stairs/</v>
      </c>
    </row>
    <row r="56" spans="1:15" ht="31.5" customHeight="1" x14ac:dyDescent="0.2">
      <c r="A56" s="7">
        <v>51</v>
      </c>
      <c r="B56" s="7">
        <v>71</v>
      </c>
      <c r="C56" s="13" t="s">
        <v>402</v>
      </c>
      <c r="D56" s="7" t="s">
        <v>4502</v>
      </c>
      <c r="E56" s="18" t="s">
        <v>28</v>
      </c>
      <c r="F56" s="3" t="s">
        <v>133</v>
      </c>
      <c r="G56" s="3" t="s">
        <v>540</v>
      </c>
      <c r="H56" s="7"/>
      <c r="I56" s="7"/>
      <c r="J56" s="7"/>
      <c r="K56" s="3"/>
      <c r="L56" s="228" t="s">
        <v>404</v>
      </c>
      <c r="M56" s="7" t="s">
        <v>24</v>
      </c>
      <c r="N56" s="176" t="s">
        <v>24</v>
      </c>
      <c r="O56" s="191" t="str">
        <f>HYPERLINK("https://leetcode.com/problems/simplify-path/","https://leetcode.com/problems/simplify-path/")</f>
        <v>https://leetcode.com/problems/simplify-path/</v>
      </c>
    </row>
    <row r="57" spans="1:15" ht="31.5" customHeight="1" x14ac:dyDescent="0.2">
      <c r="A57" s="125">
        <v>52</v>
      </c>
      <c r="B57" s="125">
        <v>73</v>
      </c>
      <c r="C57" s="126" t="s">
        <v>411</v>
      </c>
      <c r="D57" s="125" t="s">
        <v>4472</v>
      </c>
      <c r="E57" s="127" t="s">
        <v>28</v>
      </c>
      <c r="F57" s="128" t="s">
        <v>283</v>
      </c>
      <c r="G57" s="128" t="s">
        <v>4187</v>
      </c>
      <c r="H57" s="125"/>
      <c r="I57" s="125"/>
      <c r="J57" s="125"/>
      <c r="K57" s="128"/>
      <c r="L57" s="271" t="s">
        <v>413</v>
      </c>
      <c r="M57" s="125" t="s">
        <v>81</v>
      </c>
      <c r="N57" s="181" t="s">
        <v>47</v>
      </c>
      <c r="O57" s="194" t="str">
        <f>HYPERLINK("https://leetcode.com/problems/set-matrix-zeroes/","https://leetcode.com/problems/set-matrix-zeroes/")</f>
        <v>https://leetcode.com/problems/set-matrix-zeroes/</v>
      </c>
    </row>
    <row r="58" spans="1:15" ht="31.5" customHeight="1" x14ac:dyDescent="0.2">
      <c r="A58" s="7">
        <v>53</v>
      </c>
      <c r="B58" s="7">
        <v>74</v>
      </c>
      <c r="C58" s="13" t="s">
        <v>415</v>
      </c>
      <c r="D58" s="7" t="s">
        <v>4505</v>
      </c>
      <c r="E58" s="18" t="s">
        <v>28</v>
      </c>
      <c r="F58" s="3" t="s">
        <v>416</v>
      </c>
      <c r="G58" s="3" t="s">
        <v>512</v>
      </c>
      <c r="H58" s="7"/>
      <c r="I58" s="7"/>
      <c r="J58" s="7"/>
      <c r="K58" s="3"/>
      <c r="L58" s="228" t="s">
        <v>419</v>
      </c>
      <c r="M58" s="7" t="s">
        <v>420</v>
      </c>
      <c r="N58" s="176" t="s">
        <v>47</v>
      </c>
      <c r="O58" s="191" t="str">
        <f>HYPERLINK("https://leetcode.com/problems/search-a-2d-matrix/","https://leetcode.com/problems/search-a-2d-matrix/")</f>
        <v>https://leetcode.com/problems/search-a-2d-matrix/</v>
      </c>
    </row>
    <row r="59" spans="1:15" ht="31.5" customHeight="1" x14ac:dyDescent="0.2">
      <c r="A59" s="125">
        <v>54</v>
      </c>
      <c r="B59" s="125">
        <v>75</v>
      </c>
      <c r="C59" s="126" t="s">
        <v>422</v>
      </c>
      <c r="D59" s="125" t="s">
        <v>4506</v>
      </c>
      <c r="E59" s="127" t="s">
        <v>28</v>
      </c>
      <c r="F59" s="128" t="s">
        <v>84</v>
      </c>
      <c r="G59" s="128" t="s">
        <v>4507</v>
      </c>
      <c r="H59" s="125"/>
      <c r="I59" s="125"/>
      <c r="J59" s="125"/>
      <c r="K59" s="128"/>
      <c r="L59" s="271" t="s">
        <v>424</v>
      </c>
      <c r="M59" s="125" t="s">
        <v>24</v>
      </c>
      <c r="N59" s="181" t="s">
        <v>47</v>
      </c>
      <c r="O59" s="194" t="str">
        <f>HYPERLINK("https://leetcode.com/problems/sort-colors/","https://leetcode.com/problems/sort-colors/")</f>
        <v>https://leetcode.com/problems/sort-colors/</v>
      </c>
    </row>
    <row r="60" spans="1:15" ht="31.5" customHeight="1" x14ac:dyDescent="0.2">
      <c r="A60" s="7">
        <v>55</v>
      </c>
      <c r="B60" s="7">
        <v>76</v>
      </c>
      <c r="C60" s="13" t="s">
        <v>426</v>
      </c>
      <c r="D60" s="7" t="s">
        <v>4445</v>
      </c>
      <c r="E60" s="20" t="s">
        <v>42</v>
      </c>
      <c r="F60" s="3" t="s">
        <v>427</v>
      </c>
      <c r="G60" s="3" t="s">
        <v>917</v>
      </c>
      <c r="H60" s="7"/>
      <c r="I60" s="7"/>
      <c r="J60" s="7"/>
      <c r="K60" s="3"/>
      <c r="L60" s="228" t="s">
        <v>430</v>
      </c>
      <c r="M60" s="7" t="s">
        <v>178</v>
      </c>
      <c r="N60" s="176" t="s">
        <v>153</v>
      </c>
      <c r="O60" s="191" t="str">
        <f>HYPERLINK("https://leetcode.com/problems/minimum-window-substring/","https://leetcode.com/problems/minimum-window-substring/")</f>
        <v>https://leetcode.com/problems/minimum-window-substring/</v>
      </c>
    </row>
    <row r="61" spans="1:15" ht="31.5" customHeight="1" x14ac:dyDescent="0.2">
      <c r="A61" s="125">
        <v>56</v>
      </c>
      <c r="B61" s="125">
        <v>78</v>
      </c>
      <c r="C61" s="126" t="s">
        <v>436</v>
      </c>
      <c r="D61" s="125" t="s">
        <v>4508</v>
      </c>
      <c r="E61" s="127" t="s">
        <v>28</v>
      </c>
      <c r="F61" s="128" t="s">
        <v>234</v>
      </c>
      <c r="G61" s="128" t="s">
        <v>4509</v>
      </c>
      <c r="H61" s="125"/>
      <c r="I61" s="125"/>
      <c r="J61" s="125"/>
      <c r="K61" s="128"/>
      <c r="L61" s="271" t="s">
        <v>439</v>
      </c>
      <c r="M61" s="125" t="s">
        <v>440</v>
      </c>
      <c r="N61" s="181" t="s">
        <v>24</v>
      </c>
      <c r="O61" s="194" t="str">
        <f>HYPERLINK("https://leetcode.com/problems/subsets/","https://leetcode.com/problems/subsets/")</f>
        <v>https://leetcode.com/problems/subsets/</v>
      </c>
    </row>
    <row r="62" spans="1:15" ht="31.5" customHeight="1" x14ac:dyDescent="0.2">
      <c r="A62" s="7">
        <v>57</v>
      </c>
      <c r="B62" s="7">
        <v>79</v>
      </c>
      <c r="C62" s="13" t="s">
        <v>442</v>
      </c>
      <c r="D62" s="7" t="s">
        <v>4510</v>
      </c>
      <c r="E62" s="18" t="s">
        <v>28</v>
      </c>
      <c r="F62" s="3" t="s">
        <v>4192</v>
      </c>
      <c r="G62" s="3" t="s">
        <v>4268</v>
      </c>
      <c r="H62" s="7"/>
      <c r="I62" s="7"/>
      <c r="J62" s="7"/>
      <c r="K62" s="3"/>
      <c r="L62" s="228" t="s">
        <v>445</v>
      </c>
      <c r="M62" s="7" t="s">
        <v>446</v>
      </c>
      <c r="N62" s="176" t="s">
        <v>392</v>
      </c>
      <c r="O62" s="191" t="str">
        <f>HYPERLINK("https://leetcode.com/problems/word-search/","https://leetcode.com/problems/word-search/")</f>
        <v>https://leetcode.com/problems/word-search/</v>
      </c>
    </row>
    <row r="63" spans="1:15" ht="31.5" customHeight="1" x14ac:dyDescent="0.2">
      <c r="A63" s="125">
        <v>58</v>
      </c>
      <c r="B63" s="125">
        <v>84</v>
      </c>
      <c r="C63" s="126" t="s">
        <v>465</v>
      </c>
      <c r="D63" s="125" t="s">
        <v>4497</v>
      </c>
      <c r="E63" s="129" t="s">
        <v>42</v>
      </c>
      <c r="F63" s="128" t="s">
        <v>466</v>
      </c>
      <c r="G63" s="128" t="s">
        <v>1473</v>
      </c>
      <c r="H63" s="125"/>
      <c r="I63" s="125"/>
      <c r="J63" s="125"/>
      <c r="K63" s="128"/>
      <c r="L63" s="271" t="s">
        <v>468</v>
      </c>
      <c r="M63" s="125" t="s">
        <v>24</v>
      </c>
      <c r="N63" s="181" t="s">
        <v>24</v>
      </c>
      <c r="O63" s="194" t="str">
        <f>HYPERLINK("https://leetcode.com/problems/largest-rectangle-in-histogram/","https://leetcode.com/problems/largest-rectangle-in-histogram/")</f>
        <v>https://leetcode.com/problems/largest-rectangle-in-histogram/</v>
      </c>
    </row>
    <row r="64" spans="1:15" ht="31.5" customHeight="1" x14ac:dyDescent="0.2">
      <c r="A64" s="7">
        <v>59</v>
      </c>
      <c r="B64" s="7">
        <v>85</v>
      </c>
      <c r="C64" s="13" t="s">
        <v>470</v>
      </c>
      <c r="D64" s="7" t="s">
        <v>4512</v>
      </c>
      <c r="E64" s="20" t="s">
        <v>42</v>
      </c>
      <c r="F64" s="3" t="s">
        <v>471</v>
      </c>
      <c r="G64" s="3" t="s">
        <v>4513</v>
      </c>
      <c r="H64" s="7"/>
      <c r="I64" s="7"/>
      <c r="J64" s="7"/>
      <c r="K64" s="3"/>
      <c r="L64" s="228" t="s">
        <v>473</v>
      </c>
      <c r="M64" s="7" t="s">
        <v>81</v>
      </c>
      <c r="N64" s="176" t="s">
        <v>24</v>
      </c>
      <c r="O64" s="191" t="str">
        <f>HYPERLINK("https://leetcode.com/problems/maximal-rectangle/","https://leetcode.com/problems/maximal-rectangle/")</f>
        <v>https://leetcode.com/problems/maximal-rectangle/</v>
      </c>
    </row>
    <row r="65" spans="1:15" ht="31.5" customHeight="1" x14ac:dyDescent="0.2">
      <c r="A65" s="125">
        <v>60</v>
      </c>
      <c r="B65" s="125">
        <v>88</v>
      </c>
      <c r="C65" s="126" t="s">
        <v>479</v>
      </c>
      <c r="D65" s="125" t="s">
        <v>4514</v>
      </c>
      <c r="E65" s="130" t="s">
        <v>20</v>
      </c>
      <c r="F65" s="128" t="s">
        <v>84</v>
      </c>
      <c r="G65" s="128" t="s">
        <v>689</v>
      </c>
      <c r="H65" s="125"/>
      <c r="I65" s="125"/>
      <c r="J65" s="125"/>
      <c r="K65" s="128"/>
      <c r="L65" s="271" t="s">
        <v>481</v>
      </c>
      <c r="M65" s="125" t="s">
        <v>259</v>
      </c>
      <c r="N65" s="181" t="s">
        <v>47</v>
      </c>
      <c r="O65" s="194" t="str">
        <f>HYPERLINK("https://leetcode.com/problems/merge-sorted-array/","https://leetcode.com/problems/merge-sorted-array/")</f>
        <v>https://leetcode.com/problems/merge-sorted-array/</v>
      </c>
    </row>
    <row r="66" spans="1:15" ht="31.5" customHeight="1" x14ac:dyDescent="0.2">
      <c r="A66" s="7">
        <v>61</v>
      </c>
      <c r="B66" s="7">
        <v>91</v>
      </c>
      <c r="C66" s="13" t="s">
        <v>490</v>
      </c>
      <c r="D66" s="7" t="s">
        <v>4516</v>
      </c>
      <c r="E66" s="18" t="s">
        <v>28</v>
      </c>
      <c r="F66" s="3" t="s">
        <v>50</v>
      </c>
      <c r="G66" s="3" t="s">
        <v>1042</v>
      </c>
      <c r="H66" s="7"/>
      <c r="I66" s="7"/>
      <c r="J66" s="7"/>
      <c r="K66" s="3"/>
      <c r="L66" s="228" t="s">
        <v>492</v>
      </c>
      <c r="M66" s="7" t="s">
        <v>24</v>
      </c>
      <c r="N66" s="176" t="s">
        <v>47</v>
      </c>
      <c r="O66" s="191" t="str">
        <f>HYPERLINK("https://leetcode.com/problems/decode-ways/","https://leetcode.com/problems/decode-ways/")</f>
        <v>https://leetcode.com/problems/decode-ways/</v>
      </c>
    </row>
    <row r="67" spans="1:15" ht="31.5" customHeight="1" x14ac:dyDescent="0.2">
      <c r="A67" s="125">
        <v>62</v>
      </c>
      <c r="B67" s="125">
        <v>92</v>
      </c>
      <c r="C67" s="126" t="s">
        <v>494</v>
      </c>
      <c r="D67" s="125" t="s">
        <v>4517</v>
      </c>
      <c r="E67" s="127" t="s">
        <v>28</v>
      </c>
      <c r="F67" s="128" t="s">
        <v>127</v>
      </c>
      <c r="G67" s="128" t="s">
        <v>127</v>
      </c>
      <c r="H67" s="125"/>
      <c r="I67" s="125"/>
      <c r="J67" s="125"/>
      <c r="K67" s="128"/>
      <c r="L67" s="271" t="s">
        <v>461</v>
      </c>
      <c r="M67" s="125" t="s">
        <v>24</v>
      </c>
      <c r="N67" s="181" t="s">
        <v>47</v>
      </c>
      <c r="O67" s="194" t="str">
        <f>HYPERLINK("https://leetcode.com/problems/reverse-linked-list-ii/","https://leetcode.com/problems/reverse-linked-list-ii/")</f>
        <v>https://leetcode.com/problems/reverse-linked-list-ii/</v>
      </c>
    </row>
    <row r="68" spans="1:15" ht="31.5" customHeight="1" x14ac:dyDescent="0.2">
      <c r="A68" s="7">
        <v>63</v>
      </c>
      <c r="B68" s="7">
        <v>96</v>
      </c>
      <c r="C68" s="13" t="s">
        <v>510</v>
      </c>
      <c r="D68" s="7" t="s">
        <v>4525</v>
      </c>
      <c r="E68" s="18" t="s">
        <v>28</v>
      </c>
      <c r="F68" s="3" t="s">
        <v>511</v>
      </c>
      <c r="G68" s="3" t="s">
        <v>4627</v>
      </c>
      <c r="H68" s="7"/>
      <c r="I68" s="7"/>
      <c r="J68" s="7"/>
      <c r="K68" s="3"/>
      <c r="L68" s="228" t="s">
        <v>513</v>
      </c>
      <c r="M68" s="7" t="s">
        <v>53</v>
      </c>
      <c r="N68" s="176" t="s">
        <v>24</v>
      </c>
      <c r="O68" s="191" t="str">
        <f>HYPERLINK("https://leetcode.com/problems/unique-binary-search-trees/","https://leetcode.com/problems/unique-binary-search-trees/")</f>
        <v>https://leetcode.com/problems/unique-binary-search-trees/</v>
      </c>
    </row>
    <row r="69" spans="1:15" ht="31.5" customHeight="1" x14ac:dyDescent="0.2">
      <c r="A69" s="125">
        <v>64</v>
      </c>
      <c r="B69" s="125">
        <v>98</v>
      </c>
      <c r="C69" s="126" t="s">
        <v>517</v>
      </c>
      <c r="D69" s="125" t="s">
        <v>4519</v>
      </c>
      <c r="E69" s="127" t="s">
        <v>28</v>
      </c>
      <c r="F69" s="128" t="s">
        <v>518</v>
      </c>
      <c r="G69" s="128" t="s">
        <v>4520</v>
      </c>
      <c r="H69" s="125"/>
      <c r="I69" s="125"/>
      <c r="J69" s="125"/>
      <c r="K69" s="128"/>
      <c r="L69" s="271" t="s">
        <v>520</v>
      </c>
      <c r="M69" s="125" t="s">
        <v>24</v>
      </c>
      <c r="N69" s="181" t="s">
        <v>503</v>
      </c>
      <c r="O69" s="194" t="str">
        <f>HYPERLINK("https://leetcode.com/problems/validate-binary-search-tree/","https://leetcode.com/problems/validate-binary-search-tree/")</f>
        <v>https://leetcode.com/problems/validate-binary-search-tree/</v>
      </c>
    </row>
    <row r="70" spans="1:15" ht="31.5" customHeight="1" x14ac:dyDescent="0.2">
      <c r="A70" s="7">
        <v>65</v>
      </c>
      <c r="B70" s="7">
        <v>100</v>
      </c>
      <c r="C70" s="13" t="s">
        <v>524</v>
      </c>
      <c r="D70" s="7" t="s">
        <v>4522</v>
      </c>
      <c r="E70" s="21" t="s">
        <v>20</v>
      </c>
      <c r="F70" s="3" t="s">
        <v>500</v>
      </c>
      <c r="G70" s="3" t="s">
        <v>4256</v>
      </c>
      <c r="H70" s="7"/>
      <c r="I70" s="7"/>
      <c r="J70" s="7"/>
      <c r="K70" s="3"/>
      <c r="L70" s="228" t="s">
        <v>526</v>
      </c>
      <c r="M70" s="7" t="s">
        <v>24</v>
      </c>
      <c r="N70" s="176" t="s">
        <v>503</v>
      </c>
      <c r="O70" s="191" t="str">
        <f>HYPERLINK("https://leetcode.com/problems/same-tree/","https://leetcode.com/problems/same-tree/")</f>
        <v>https://leetcode.com/problems/same-tree/</v>
      </c>
    </row>
    <row r="71" spans="1:15" ht="31.5" customHeight="1" x14ac:dyDescent="0.2">
      <c r="A71" s="125">
        <v>66</v>
      </c>
      <c r="B71" s="125">
        <v>101</v>
      </c>
      <c r="C71" s="126" t="s">
        <v>528</v>
      </c>
      <c r="D71" s="125" t="s">
        <v>4523</v>
      </c>
      <c r="E71" s="130" t="s">
        <v>20</v>
      </c>
      <c r="F71" s="128" t="s">
        <v>529</v>
      </c>
      <c r="G71" s="128" t="s">
        <v>4256</v>
      </c>
      <c r="H71" s="125"/>
      <c r="I71" s="125"/>
      <c r="J71" s="125"/>
      <c r="K71" s="128"/>
      <c r="L71" s="271" t="s">
        <v>531</v>
      </c>
      <c r="M71" s="125" t="s">
        <v>24</v>
      </c>
      <c r="N71" s="181" t="s">
        <v>503</v>
      </c>
      <c r="O71" s="194" t="str">
        <f>HYPERLINK("https://leetcode.com/problems/symmetric-tree/","https://leetcode.com/problems/symmetric-tree/")</f>
        <v>https://leetcode.com/problems/symmetric-tree/</v>
      </c>
    </row>
    <row r="72" spans="1:15" ht="31.5" customHeight="1" x14ac:dyDescent="0.2">
      <c r="A72" s="7">
        <v>67</v>
      </c>
      <c r="B72" s="7">
        <v>102</v>
      </c>
      <c r="C72" s="13" t="s">
        <v>533</v>
      </c>
      <c r="D72" s="7" t="s">
        <v>4524</v>
      </c>
      <c r="E72" s="18" t="s">
        <v>28</v>
      </c>
      <c r="F72" s="3" t="s">
        <v>534</v>
      </c>
      <c r="G72" s="3" t="s">
        <v>4270</v>
      </c>
      <c r="H72" s="7"/>
      <c r="I72" s="7"/>
      <c r="J72" s="7"/>
      <c r="K72" s="3"/>
      <c r="L72" s="228" t="s">
        <v>536</v>
      </c>
      <c r="M72" s="7" t="s">
        <v>24</v>
      </c>
      <c r="N72" s="176" t="s">
        <v>24</v>
      </c>
      <c r="O72" s="191" t="str">
        <f>HYPERLINK("https://leetcode.com/problems/binary-tree-level-order-traversal/","https://leetcode.com/problems/binary-tree-level-order-traversal/")</f>
        <v>https://leetcode.com/problems/binary-tree-level-order-traversal/</v>
      </c>
    </row>
    <row r="73" spans="1:15" ht="31.5" customHeight="1" x14ac:dyDescent="0.2">
      <c r="A73" s="125">
        <v>68</v>
      </c>
      <c r="B73" s="125">
        <v>104</v>
      </c>
      <c r="C73" s="126" t="s">
        <v>544</v>
      </c>
      <c r="D73" s="125" t="s">
        <v>4526</v>
      </c>
      <c r="E73" s="130" t="s">
        <v>20</v>
      </c>
      <c r="F73" s="128" t="s">
        <v>500</v>
      </c>
      <c r="G73" s="128" t="s">
        <v>4256</v>
      </c>
      <c r="H73" s="125"/>
      <c r="I73" s="125"/>
      <c r="J73" s="125"/>
      <c r="K73" s="128"/>
      <c r="L73" s="271" t="s">
        <v>546</v>
      </c>
      <c r="M73" s="125" t="s">
        <v>24</v>
      </c>
      <c r="N73" s="181" t="s">
        <v>503</v>
      </c>
      <c r="O73" s="194" t="str">
        <f>HYPERLINK("https://leetcode.com/problems/maximum-depth-of-binary-tree/","https://leetcode.com/problems/maximum-depth-of-binary-tree/")</f>
        <v>https://leetcode.com/problems/maximum-depth-of-binary-tree/</v>
      </c>
    </row>
    <row r="74" spans="1:15" ht="31.5" customHeight="1" x14ac:dyDescent="0.2">
      <c r="A74" s="7">
        <v>69</v>
      </c>
      <c r="B74" s="7">
        <v>105</v>
      </c>
      <c r="C74" s="13" t="s">
        <v>548</v>
      </c>
      <c r="D74" s="7" t="s">
        <v>4527</v>
      </c>
      <c r="E74" s="18" t="s">
        <v>28</v>
      </c>
      <c r="F74" s="3" t="s">
        <v>549</v>
      </c>
      <c r="G74" s="3" t="s">
        <v>4256</v>
      </c>
      <c r="H74" s="7"/>
      <c r="I74" s="7"/>
      <c r="J74" s="7"/>
      <c r="K74" s="3"/>
      <c r="L74" s="228" t="s">
        <v>551</v>
      </c>
      <c r="M74" s="7" t="s">
        <v>24</v>
      </c>
      <c r="N74" s="176" t="s">
        <v>24</v>
      </c>
      <c r="O74" s="191" t="str">
        <f>HYPERLINK("https://leetcode.com/problems/construct-binary-tree-from-preorder-and-inorder-traversal/","https://leetcode.com/problems/construct-binary-tree-from-preorder-and-inorder-traversal/")</f>
        <v>https://leetcode.com/problems/construct-binary-tree-from-preorder-and-inorder-traversal/</v>
      </c>
    </row>
    <row r="75" spans="1:15" ht="31.5" customHeight="1" x14ac:dyDescent="0.2">
      <c r="A75" s="125">
        <v>70</v>
      </c>
      <c r="B75" s="125">
        <v>110</v>
      </c>
      <c r="C75" s="126" t="s">
        <v>568</v>
      </c>
      <c r="D75" s="125" t="s">
        <v>4529</v>
      </c>
      <c r="E75" s="130" t="s">
        <v>20</v>
      </c>
      <c r="F75" s="128" t="s">
        <v>500</v>
      </c>
      <c r="G75" s="128" t="s">
        <v>4256</v>
      </c>
      <c r="H75" s="125"/>
      <c r="I75" s="125"/>
      <c r="J75" s="125"/>
      <c r="K75" s="128"/>
      <c r="L75" s="271" t="s">
        <v>571</v>
      </c>
      <c r="M75" s="125" t="s">
        <v>24</v>
      </c>
      <c r="N75" s="181" t="s">
        <v>503</v>
      </c>
      <c r="O75" s="194" t="str">
        <f>HYPERLINK("https://leetcode.com/problems/balanced-binary-tree/","https://leetcode.com/problems/balanced-binary-tree/")</f>
        <v>https://leetcode.com/problems/balanced-binary-tree/</v>
      </c>
    </row>
    <row r="76" spans="1:15" ht="31.5" customHeight="1" x14ac:dyDescent="0.2">
      <c r="A76" s="7">
        <v>71</v>
      </c>
      <c r="B76" s="7">
        <v>116</v>
      </c>
      <c r="C76" s="13" t="s">
        <v>586</v>
      </c>
      <c r="D76" s="7" t="s">
        <v>4532</v>
      </c>
      <c r="E76" s="18" t="s">
        <v>28</v>
      </c>
      <c r="F76" s="3" t="s">
        <v>534</v>
      </c>
      <c r="G76" s="3" t="s">
        <v>4270</v>
      </c>
      <c r="H76" s="7"/>
      <c r="I76" s="7"/>
      <c r="J76" s="7"/>
      <c r="K76" s="3"/>
      <c r="L76" s="228" t="s">
        <v>571</v>
      </c>
      <c r="M76" s="7" t="s">
        <v>24</v>
      </c>
      <c r="N76" s="176" t="s">
        <v>47</v>
      </c>
      <c r="O76" s="191" t="str">
        <f>HYPERLINK("https://leetcode.com/problems/populating-next-right-pointers-in-each-node/","https://leetcode.com/problems/populating-next-right-pointers-in-each-node/")</f>
        <v>https://leetcode.com/problems/populating-next-right-pointers-in-each-node/</v>
      </c>
    </row>
    <row r="77" spans="1:15" ht="31.5" customHeight="1" x14ac:dyDescent="0.2">
      <c r="A77" s="125">
        <v>72</v>
      </c>
      <c r="B77" s="125">
        <v>117</v>
      </c>
      <c r="C77" s="126" t="s">
        <v>588</v>
      </c>
      <c r="D77" s="125" t="s">
        <v>4432</v>
      </c>
      <c r="E77" s="127" t="s">
        <v>28</v>
      </c>
      <c r="F77" s="128" t="s">
        <v>534</v>
      </c>
      <c r="G77" s="128" t="s">
        <v>4270</v>
      </c>
      <c r="H77" s="125"/>
      <c r="I77" s="125"/>
      <c r="J77" s="125"/>
      <c r="K77" s="128"/>
      <c r="L77" s="271" t="s">
        <v>571</v>
      </c>
      <c r="M77" s="125" t="s">
        <v>24</v>
      </c>
      <c r="N77" s="181" t="s">
        <v>47</v>
      </c>
      <c r="O77" s="194" t="str">
        <f>HYPERLINK("https://leetcode.com/problems/populating-next-right-pointers-in-each-node-ii/","https://leetcode.com/problems/populating-next-right-pointers-in-each-node-ii/")</f>
        <v>https://leetcode.com/problems/populating-next-right-pointers-in-each-node-ii/</v>
      </c>
    </row>
    <row r="78" spans="1:15" ht="31.5" customHeight="1" x14ac:dyDescent="0.2">
      <c r="A78" s="7">
        <v>73</v>
      </c>
      <c r="B78" s="7">
        <v>118</v>
      </c>
      <c r="C78" s="13" t="s">
        <v>591</v>
      </c>
      <c r="D78" s="7" t="s">
        <v>4533</v>
      </c>
      <c r="E78" s="21" t="s">
        <v>20</v>
      </c>
      <c r="F78" s="3" t="s">
        <v>376</v>
      </c>
      <c r="G78" s="3" t="s">
        <v>4534</v>
      </c>
      <c r="H78" s="7"/>
      <c r="I78" s="7"/>
      <c r="J78" s="7"/>
      <c r="K78" s="3"/>
      <c r="L78" s="228" t="s">
        <v>508</v>
      </c>
      <c r="M78" s="7" t="s">
        <v>53</v>
      </c>
      <c r="N78" s="176" t="s">
        <v>53</v>
      </c>
      <c r="O78" s="191" t="str">
        <f>HYPERLINK("https://leetcode.com/problems/pascals-triangle/","https://leetcode.com/problems/pascals-triangle/")</f>
        <v>https://leetcode.com/problems/pascals-triangle/</v>
      </c>
    </row>
    <row r="79" spans="1:15" ht="31.5" customHeight="1" x14ac:dyDescent="0.2">
      <c r="A79" s="125">
        <v>74</v>
      </c>
      <c r="B79" s="125">
        <v>121</v>
      </c>
      <c r="C79" s="126" t="s">
        <v>595</v>
      </c>
      <c r="D79" s="125" t="s">
        <v>4536</v>
      </c>
      <c r="E79" s="130" t="s">
        <v>20</v>
      </c>
      <c r="F79" s="128" t="s">
        <v>318</v>
      </c>
      <c r="G79" s="128" t="s">
        <v>3091</v>
      </c>
      <c r="H79" s="125"/>
      <c r="I79" s="125"/>
      <c r="J79" s="125"/>
      <c r="K79" s="128"/>
      <c r="L79" s="271" t="s">
        <v>597</v>
      </c>
      <c r="M79" s="125" t="s">
        <v>24</v>
      </c>
      <c r="N79" s="181" t="s">
        <v>47</v>
      </c>
      <c r="O79" s="194" t="str">
        <f>HYPERLINK("https://leetcode.com/problems/best-time-to-buy-and-sell-stock/","https://leetcode.com/problems/best-time-to-buy-and-sell-stock/")</f>
        <v>https://leetcode.com/problems/best-time-to-buy-and-sell-stock/</v>
      </c>
    </row>
    <row r="80" spans="1:15" ht="31.5" customHeight="1" x14ac:dyDescent="0.2">
      <c r="A80" s="7">
        <v>75</v>
      </c>
      <c r="B80" s="7">
        <v>122</v>
      </c>
      <c r="C80" s="13" t="s">
        <v>599</v>
      </c>
      <c r="D80" s="7" t="s">
        <v>4537</v>
      </c>
      <c r="E80" s="18" t="s">
        <v>28</v>
      </c>
      <c r="F80" s="3" t="s">
        <v>267</v>
      </c>
      <c r="G80" s="3" t="s">
        <v>4348</v>
      </c>
      <c r="H80" s="7"/>
      <c r="I80" s="7"/>
      <c r="J80" s="7"/>
      <c r="K80" s="3"/>
      <c r="L80" s="228" t="s">
        <v>601</v>
      </c>
      <c r="M80" s="7" t="s">
        <v>24</v>
      </c>
      <c r="N80" s="176" t="s">
        <v>47</v>
      </c>
      <c r="O80" s="191" t="str">
        <f>HYPERLINK("https://leetcode.com/problems/best-time-to-buy-and-sell-stock-ii/","https://leetcode.com/problems/best-time-to-buy-and-sell-stock-ii/")</f>
        <v>https://leetcode.com/problems/best-time-to-buy-and-sell-stock-ii/</v>
      </c>
    </row>
    <row r="81" spans="1:15" ht="31.5" customHeight="1" x14ac:dyDescent="0.2">
      <c r="A81" s="125">
        <v>76</v>
      </c>
      <c r="B81" s="125">
        <v>123</v>
      </c>
      <c r="C81" s="126" t="s">
        <v>603</v>
      </c>
      <c r="D81" s="125" t="s">
        <v>4538</v>
      </c>
      <c r="E81" s="129" t="s">
        <v>42</v>
      </c>
      <c r="F81" s="128" t="s">
        <v>309</v>
      </c>
      <c r="G81" s="128" t="s">
        <v>4539</v>
      </c>
      <c r="H81" s="125"/>
      <c r="I81" s="125"/>
      <c r="J81" s="125"/>
      <c r="K81" s="128"/>
      <c r="L81" s="271" t="s">
        <v>508</v>
      </c>
      <c r="M81" s="125" t="s">
        <v>24</v>
      </c>
      <c r="N81" s="181" t="s">
        <v>47</v>
      </c>
      <c r="O81" s="194" t="str">
        <f>HYPERLINK("https://leetcode.com/problems/best-time-to-buy-and-sell-stock-iii/","https://leetcode.com/problems/best-time-to-buy-and-sell-stock-iii/")</f>
        <v>https://leetcode.com/problems/best-time-to-buy-and-sell-stock-iii/</v>
      </c>
    </row>
    <row r="82" spans="1:15" ht="31.5" customHeight="1" x14ac:dyDescent="0.2">
      <c r="A82" s="7">
        <v>77</v>
      </c>
      <c r="B82" s="7">
        <v>124</v>
      </c>
      <c r="C82" s="13" t="s">
        <v>605</v>
      </c>
      <c r="D82" s="7" t="s">
        <v>4540</v>
      </c>
      <c r="E82" s="20" t="s">
        <v>42</v>
      </c>
      <c r="F82" s="3" t="s">
        <v>606</v>
      </c>
      <c r="G82" s="3" t="s">
        <v>4256</v>
      </c>
      <c r="H82" s="7"/>
      <c r="I82" s="7"/>
      <c r="J82" s="7"/>
      <c r="K82" s="3"/>
      <c r="L82" s="228" t="s">
        <v>608</v>
      </c>
      <c r="M82" s="7" t="s">
        <v>24</v>
      </c>
      <c r="N82" s="176" t="s">
        <v>503</v>
      </c>
      <c r="O82" s="191" t="str">
        <f>HYPERLINK("https://leetcode.com/problems/binary-tree-maximum-path-sum/","https://leetcode.com/problems/binary-tree-maximum-path-sum/")</f>
        <v>https://leetcode.com/problems/binary-tree-maximum-path-sum/</v>
      </c>
    </row>
    <row r="83" spans="1:15" ht="31.5" customHeight="1" x14ac:dyDescent="0.2">
      <c r="A83" s="125">
        <v>78</v>
      </c>
      <c r="B83" s="125">
        <v>125</v>
      </c>
      <c r="C83" s="126" t="s">
        <v>610</v>
      </c>
      <c r="D83" s="125" t="s">
        <v>4486</v>
      </c>
      <c r="E83" s="130" t="s">
        <v>20</v>
      </c>
      <c r="F83" s="128" t="s">
        <v>611</v>
      </c>
      <c r="G83" s="128" t="s">
        <v>689</v>
      </c>
      <c r="H83" s="125"/>
      <c r="I83" s="125"/>
      <c r="J83" s="125"/>
      <c r="K83" s="128"/>
      <c r="L83" s="271" t="s">
        <v>613</v>
      </c>
      <c r="M83" s="125" t="s">
        <v>24</v>
      </c>
      <c r="N83" s="181" t="s">
        <v>47</v>
      </c>
      <c r="O83" s="194" t="str">
        <f>HYPERLINK("https://leetcode.com/problems/valid-palindrome/","https://leetcode.com/problems/valid-palindrome/")</f>
        <v>https://leetcode.com/problems/valid-palindrome/</v>
      </c>
    </row>
    <row r="84" spans="1:15" ht="31.5" customHeight="1" x14ac:dyDescent="0.2">
      <c r="A84" s="7">
        <v>79</v>
      </c>
      <c r="B84" s="7">
        <v>127</v>
      </c>
      <c r="C84" s="13" t="s">
        <v>623</v>
      </c>
      <c r="D84" s="7" t="s">
        <v>4543</v>
      </c>
      <c r="E84" s="20" t="s">
        <v>42</v>
      </c>
      <c r="F84" s="3" t="s">
        <v>624</v>
      </c>
      <c r="G84" s="3" t="s">
        <v>4258</v>
      </c>
      <c r="H84" s="7"/>
      <c r="I84" s="7"/>
      <c r="J84" s="7"/>
      <c r="K84" s="3"/>
      <c r="L84" s="228" t="s">
        <v>619</v>
      </c>
      <c r="M84" s="7" t="s">
        <v>625</v>
      </c>
      <c r="N84" s="176" t="s">
        <v>626</v>
      </c>
      <c r="O84" s="191" t="str">
        <f>HYPERLINK("https://leetcode.com/problems/word-ladder/","https://leetcode.com/problems/word-ladder/")</f>
        <v>https://leetcode.com/problems/word-ladder/</v>
      </c>
    </row>
    <row r="85" spans="1:15" ht="31.5" customHeight="1" x14ac:dyDescent="0.2">
      <c r="A85" s="125">
        <v>80</v>
      </c>
      <c r="B85" s="125">
        <v>128</v>
      </c>
      <c r="C85" s="126" t="s">
        <v>628</v>
      </c>
      <c r="D85" s="125" t="s">
        <v>4544</v>
      </c>
      <c r="E85" s="127" t="s">
        <v>28</v>
      </c>
      <c r="F85" s="128" t="s">
        <v>629</v>
      </c>
      <c r="G85" s="128" t="s">
        <v>4545</v>
      </c>
      <c r="H85" s="125"/>
      <c r="I85" s="125"/>
      <c r="J85" s="125"/>
      <c r="K85" s="128"/>
      <c r="L85" s="271" t="s">
        <v>631</v>
      </c>
      <c r="M85" s="125" t="s">
        <v>24</v>
      </c>
      <c r="N85" s="181" t="s">
        <v>24</v>
      </c>
      <c r="O85" s="194" t="str">
        <f>HYPERLINK("https://leetcode.com/problems/longest-consecutive-sequence/","https://leetcode.com/problems/longest-consecutive-sequence/")</f>
        <v>https://leetcode.com/problems/longest-consecutive-sequence/</v>
      </c>
    </row>
    <row r="86" spans="1:15" ht="31.5" customHeight="1" x14ac:dyDescent="0.2">
      <c r="A86" s="7">
        <v>81</v>
      </c>
      <c r="B86" s="7">
        <v>129</v>
      </c>
      <c r="C86" s="13" t="s">
        <v>633</v>
      </c>
      <c r="D86" s="7" t="s">
        <v>4546</v>
      </c>
      <c r="E86" s="18" t="s">
        <v>28</v>
      </c>
      <c r="F86" s="3" t="s">
        <v>500</v>
      </c>
      <c r="G86" s="3" t="s">
        <v>4256</v>
      </c>
      <c r="H86" s="7"/>
      <c r="I86" s="7"/>
      <c r="J86" s="7"/>
      <c r="K86" s="3"/>
      <c r="L86" s="228" t="s">
        <v>571</v>
      </c>
      <c r="M86" s="7" t="s">
        <v>24</v>
      </c>
      <c r="N86" s="176" t="s">
        <v>503</v>
      </c>
      <c r="O86" s="191" t="str">
        <f>HYPERLINK("https://leetcode.com/problems/sum-root-to-leaf-numbers/","https://leetcode.com/problems/sum-root-to-leaf-numbers/")</f>
        <v>https://leetcode.com/problems/sum-root-to-leaf-numbers/</v>
      </c>
    </row>
    <row r="87" spans="1:15" ht="31.5" customHeight="1" x14ac:dyDescent="0.2">
      <c r="A87" s="125">
        <v>82</v>
      </c>
      <c r="B87" s="125">
        <v>131</v>
      </c>
      <c r="C87" s="126" t="s">
        <v>640</v>
      </c>
      <c r="D87" s="125" t="s">
        <v>4549</v>
      </c>
      <c r="E87" s="127" t="s">
        <v>28</v>
      </c>
      <c r="F87" s="128" t="s">
        <v>641</v>
      </c>
      <c r="G87" s="128" t="s">
        <v>300</v>
      </c>
      <c r="H87" s="125"/>
      <c r="I87" s="125"/>
      <c r="J87" s="125"/>
      <c r="K87" s="128"/>
      <c r="L87" s="271" t="s">
        <v>508</v>
      </c>
      <c r="M87" s="125" t="s">
        <v>643</v>
      </c>
      <c r="N87" s="181" t="s">
        <v>53</v>
      </c>
      <c r="O87" s="194" t="str">
        <f>HYPERLINK("https://leetcode.com/problems/palindrome-partitioning/","https://leetcode.com/problems/palindrome-partitioning/")</f>
        <v>https://leetcode.com/problems/palindrome-partitioning/</v>
      </c>
    </row>
    <row r="88" spans="1:15" ht="31.5" customHeight="1" x14ac:dyDescent="0.2">
      <c r="A88" s="7">
        <v>83</v>
      </c>
      <c r="B88" s="7">
        <v>133</v>
      </c>
      <c r="C88" s="13" t="s">
        <v>645</v>
      </c>
      <c r="D88" s="7" t="s">
        <v>4737</v>
      </c>
      <c r="E88" s="18" t="s">
        <v>28</v>
      </c>
      <c r="F88" s="3" t="s">
        <v>646</v>
      </c>
      <c r="G88" s="3" t="s">
        <v>4274</v>
      </c>
      <c r="H88" s="7"/>
      <c r="I88" s="7"/>
      <c r="J88" s="7"/>
      <c r="K88" s="3"/>
      <c r="L88" s="228" t="s">
        <v>619</v>
      </c>
      <c r="M88" s="7" t="s">
        <v>648</v>
      </c>
      <c r="N88" s="176" t="s">
        <v>649</v>
      </c>
      <c r="O88" s="191" t="str">
        <f>HYPERLINK("https://leetcode.com/problems/clone-graph/","https://leetcode.com/problems/clone-graph/")</f>
        <v>https://leetcode.com/problems/clone-graph/</v>
      </c>
    </row>
    <row r="89" spans="1:15" ht="31.5" customHeight="1" x14ac:dyDescent="0.2">
      <c r="A89" s="125">
        <v>84</v>
      </c>
      <c r="B89" s="125">
        <v>134</v>
      </c>
      <c r="C89" s="126" t="s">
        <v>651</v>
      </c>
      <c r="D89" s="125" t="s">
        <v>4550</v>
      </c>
      <c r="E89" s="127" t="s">
        <v>28</v>
      </c>
      <c r="F89" s="128" t="s">
        <v>318</v>
      </c>
      <c r="G89" s="128" t="s">
        <v>3091</v>
      </c>
      <c r="H89" s="125"/>
      <c r="I89" s="125"/>
      <c r="J89" s="125"/>
      <c r="K89" s="128"/>
      <c r="L89" s="271" t="s">
        <v>654</v>
      </c>
      <c r="M89" s="125" t="s">
        <v>24</v>
      </c>
      <c r="N89" s="181" t="s">
        <v>47</v>
      </c>
      <c r="O89" s="194" t="str">
        <f>HYPERLINK("https://leetcode.com/problems/gas-station/","https://leetcode.com/problems/gas-station/")</f>
        <v>https://leetcode.com/problems/gas-station/</v>
      </c>
    </row>
    <row r="90" spans="1:15" ht="31.5" customHeight="1" x14ac:dyDescent="0.2">
      <c r="A90" s="7">
        <v>85</v>
      </c>
      <c r="B90" s="7">
        <v>135</v>
      </c>
      <c r="C90" s="13" t="s">
        <v>656</v>
      </c>
      <c r="D90" s="7" t="s">
        <v>4433</v>
      </c>
      <c r="E90" s="20" t="s">
        <v>42</v>
      </c>
      <c r="F90" s="3" t="s">
        <v>318</v>
      </c>
      <c r="G90" s="3" t="s">
        <v>3091</v>
      </c>
      <c r="H90" s="7"/>
      <c r="I90" s="7"/>
      <c r="J90" s="7"/>
      <c r="K90" s="3"/>
      <c r="L90" s="228" t="s">
        <v>654</v>
      </c>
      <c r="M90" s="7" t="s">
        <v>24</v>
      </c>
      <c r="N90" s="176" t="s">
        <v>24</v>
      </c>
      <c r="O90" s="191" t="str">
        <f>HYPERLINK("https://leetcode.com/problems/candy/","https://leetcode.com/problems/candy/")</f>
        <v>https://leetcode.com/problems/candy/</v>
      </c>
    </row>
    <row r="91" spans="1:15" ht="31.5" customHeight="1" x14ac:dyDescent="0.2">
      <c r="A91" s="125">
        <v>86</v>
      </c>
      <c r="B91" s="125">
        <v>136</v>
      </c>
      <c r="C91" s="126" t="s">
        <v>659</v>
      </c>
      <c r="D91" s="125" t="s">
        <v>4551</v>
      </c>
      <c r="E91" s="130" t="s">
        <v>20</v>
      </c>
      <c r="F91" s="128" t="s">
        <v>660</v>
      </c>
      <c r="G91" s="128" t="s">
        <v>666</v>
      </c>
      <c r="H91" s="125"/>
      <c r="I91" s="125"/>
      <c r="J91" s="125"/>
      <c r="K91" s="128"/>
      <c r="L91" s="271" t="s">
        <v>663</v>
      </c>
      <c r="M91" s="125" t="s">
        <v>24</v>
      </c>
      <c r="N91" s="181" t="s">
        <v>47</v>
      </c>
      <c r="O91" s="194" t="str">
        <f>HYPERLINK("https://leetcode.com/problems/single-number/","https://leetcode.com/problems/single-number/")</f>
        <v>https://leetcode.com/problems/single-number/</v>
      </c>
    </row>
    <row r="92" spans="1:15" ht="31.5" customHeight="1" x14ac:dyDescent="0.2">
      <c r="A92" s="7">
        <v>87</v>
      </c>
      <c r="B92" s="7">
        <v>138</v>
      </c>
      <c r="C92" s="13" t="s">
        <v>668</v>
      </c>
      <c r="D92" s="7" t="s">
        <v>4472</v>
      </c>
      <c r="E92" s="18" t="s">
        <v>28</v>
      </c>
      <c r="F92" s="3" t="s">
        <v>669</v>
      </c>
      <c r="G92" s="3" t="s">
        <v>4552</v>
      </c>
      <c r="H92" s="7"/>
      <c r="I92" s="7"/>
      <c r="J92" s="7"/>
      <c r="K92" s="3"/>
      <c r="L92" s="228" t="s">
        <v>461</v>
      </c>
      <c r="M92" s="7" t="s">
        <v>24</v>
      </c>
      <c r="N92" s="176" t="s">
        <v>24</v>
      </c>
      <c r="O92" s="191" t="str">
        <f>HYPERLINK("https://leetcode.com/problems/copy-list-with-random-pointer/","https://leetcode.com/problems/copy-list-with-random-pointer/")</f>
        <v>https://leetcode.com/problems/copy-list-with-random-pointer/</v>
      </c>
    </row>
    <row r="93" spans="1:15" ht="31.5" customHeight="1" x14ac:dyDescent="0.2">
      <c r="A93" s="125">
        <v>88</v>
      </c>
      <c r="B93" s="125">
        <v>139</v>
      </c>
      <c r="C93" s="126" t="s">
        <v>671</v>
      </c>
      <c r="D93" s="125" t="s">
        <v>4553</v>
      </c>
      <c r="E93" s="127" t="s">
        <v>28</v>
      </c>
      <c r="F93" s="128" t="s">
        <v>672</v>
      </c>
      <c r="G93" s="128" t="s">
        <v>1042</v>
      </c>
      <c r="H93" s="125"/>
      <c r="I93" s="125"/>
      <c r="J93" s="125"/>
      <c r="K93" s="128"/>
      <c r="L93" s="271" t="s">
        <v>508</v>
      </c>
      <c r="M93" s="125" t="s">
        <v>53</v>
      </c>
      <c r="N93" s="181" t="s">
        <v>24</v>
      </c>
      <c r="O93" s="194" t="str">
        <f>HYPERLINK("https://leetcode.com/problems/word-break/","https://leetcode.com/problems/word-break/")</f>
        <v>https://leetcode.com/problems/word-break/</v>
      </c>
    </row>
    <row r="94" spans="1:15" ht="31.5" customHeight="1" x14ac:dyDescent="0.2">
      <c r="A94" s="7">
        <v>89</v>
      </c>
      <c r="B94" s="7">
        <v>143</v>
      </c>
      <c r="C94" s="13" t="s">
        <v>688</v>
      </c>
      <c r="D94" s="7" t="s">
        <v>4556</v>
      </c>
      <c r="E94" s="18" t="s">
        <v>28</v>
      </c>
      <c r="F94" s="3" t="s">
        <v>679</v>
      </c>
      <c r="G94" s="3" t="s">
        <v>127</v>
      </c>
      <c r="H94" s="7"/>
      <c r="I94" s="7"/>
      <c r="J94" s="7"/>
      <c r="K94" s="3"/>
      <c r="L94" s="228" t="s">
        <v>690</v>
      </c>
      <c r="M94" s="7" t="s">
        <v>24</v>
      </c>
      <c r="N94" s="176" t="s">
        <v>47</v>
      </c>
      <c r="O94" s="191" t="str">
        <f>HYPERLINK("https://leetcode.com/problems/reorder-list/","https://leetcode.com/problems/reorder-list/")</f>
        <v>https://leetcode.com/problems/reorder-list/</v>
      </c>
    </row>
    <row r="95" spans="1:15" ht="31.5" customHeight="1" x14ac:dyDescent="0.2">
      <c r="A95" s="125">
        <v>90</v>
      </c>
      <c r="B95" s="125">
        <v>146</v>
      </c>
      <c r="C95" s="126" t="s">
        <v>692</v>
      </c>
      <c r="D95" s="125" t="s">
        <v>4510</v>
      </c>
      <c r="E95" s="127" t="s">
        <v>28</v>
      </c>
      <c r="F95" s="128" t="s">
        <v>693</v>
      </c>
      <c r="G95" s="128" t="s">
        <v>4557</v>
      </c>
      <c r="H95" s="125"/>
      <c r="I95" s="125"/>
      <c r="J95" s="125"/>
      <c r="K95" s="128"/>
      <c r="L95" s="271" t="s">
        <v>695</v>
      </c>
      <c r="M95" s="125" t="s">
        <v>696</v>
      </c>
      <c r="N95" s="181" t="s">
        <v>697</v>
      </c>
      <c r="O95" s="194" t="str">
        <f>HYPERLINK("https://leetcode.com/problems/lru-cache/","https://leetcode.com/problems/lru-cache/")</f>
        <v>https://leetcode.com/problems/lru-cache/</v>
      </c>
    </row>
    <row r="96" spans="1:15" ht="31.5" customHeight="1" x14ac:dyDescent="0.2">
      <c r="A96" s="7">
        <v>91</v>
      </c>
      <c r="B96" s="7">
        <v>148</v>
      </c>
      <c r="C96" s="13" t="s">
        <v>699</v>
      </c>
      <c r="D96" s="7" t="s">
        <v>4558</v>
      </c>
      <c r="E96" s="18" t="s">
        <v>28</v>
      </c>
      <c r="F96" s="3" t="s">
        <v>700</v>
      </c>
      <c r="G96" s="3" t="s">
        <v>4559</v>
      </c>
      <c r="H96" s="7"/>
      <c r="I96" s="7"/>
      <c r="J96" s="7"/>
      <c r="K96" s="3"/>
      <c r="L96" s="228" t="s">
        <v>461</v>
      </c>
      <c r="M96" s="7" t="s">
        <v>326</v>
      </c>
      <c r="N96" s="176" t="s">
        <v>65</v>
      </c>
      <c r="O96" s="191" t="str">
        <f>HYPERLINK("https://leetcode.com/problems/sort-list/","https://leetcode.com/problems/sort-list/")</f>
        <v>https://leetcode.com/problems/sort-list/</v>
      </c>
    </row>
    <row r="97" spans="1:15" ht="31.5" customHeight="1" x14ac:dyDescent="0.2">
      <c r="A97" s="125">
        <v>92</v>
      </c>
      <c r="B97" s="125">
        <v>150</v>
      </c>
      <c r="C97" s="126" t="s">
        <v>707</v>
      </c>
      <c r="D97" s="125" t="s">
        <v>4562</v>
      </c>
      <c r="E97" s="127" t="s">
        <v>28</v>
      </c>
      <c r="F97" s="128" t="s">
        <v>708</v>
      </c>
      <c r="G97" s="128" t="s">
        <v>540</v>
      </c>
      <c r="H97" s="125"/>
      <c r="I97" s="125"/>
      <c r="J97" s="125"/>
      <c r="K97" s="128"/>
      <c r="L97" s="271" t="s">
        <v>711</v>
      </c>
      <c r="M97" s="125" t="s">
        <v>24</v>
      </c>
      <c r="N97" s="181" t="s">
        <v>24</v>
      </c>
      <c r="O97" s="194" t="str">
        <f>HYPERLINK("https://leetcode.com/problems/evaluate-reverse-polish-notation/","https://leetcode.com/problems/evaluate-reverse-polish-notation/")</f>
        <v>https://leetcode.com/problems/evaluate-reverse-polish-notation/</v>
      </c>
    </row>
    <row r="98" spans="1:15" ht="31.5" customHeight="1" x14ac:dyDescent="0.2">
      <c r="A98" s="7">
        <v>93</v>
      </c>
      <c r="B98" s="7">
        <v>151</v>
      </c>
      <c r="C98" s="13" t="s">
        <v>713</v>
      </c>
      <c r="D98" s="7" t="s">
        <v>4563</v>
      </c>
      <c r="E98" s="18" t="s">
        <v>28</v>
      </c>
      <c r="F98" s="3" t="s">
        <v>611</v>
      </c>
      <c r="G98" s="3" t="s">
        <v>4564</v>
      </c>
      <c r="H98" s="7"/>
      <c r="I98" s="7"/>
      <c r="J98" s="7"/>
      <c r="K98" s="3"/>
      <c r="L98" s="228" t="s">
        <v>690</v>
      </c>
      <c r="M98" s="7" t="s">
        <v>24</v>
      </c>
      <c r="N98" s="176" t="s">
        <v>24</v>
      </c>
      <c r="O98" s="191" t="str">
        <f>HYPERLINK("https://leetcode.com/problems/reverse-words-in-a-string/","https://leetcode.com/problems/reverse-words-in-a-string/")</f>
        <v>https://leetcode.com/problems/reverse-words-in-a-string/</v>
      </c>
    </row>
    <row r="99" spans="1:15" ht="31.5" customHeight="1" x14ac:dyDescent="0.2">
      <c r="A99" s="125">
        <v>94</v>
      </c>
      <c r="B99" s="125">
        <v>152</v>
      </c>
      <c r="C99" s="126" t="s">
        <v>715</v>
      </c>
      <c r="D99" s="125" t="s">
        <v>4565</v>
      </c>
      <c r="E99" s="127" t="s">
        <v>28</v>
      </c>
      <c r="F99" s="128" t="s">
        <v>309</v>
      </c>
      <c r="G99" s="128" t="s">
        <v>1042</v>
      </c>
      <c r="H99" s="125"/>
      <c r="I99" s="125"/>
      <c r="J99" s="125"/>
      <c r="K99" s="128"/>
      <c r="L99" s="271" t="s">
        <v>718</v>
      </c>
      <c r="M99" s="125" t="s">
        <v>24</v>
      </c>
      <c r="N99" s="181" t="s">
        <v>47</v>
      </c>
      <c r="O99" s="194" t="str">
        <f>HYPERLINK("https://leetcode.com/problems/maximum-product-subarray/","https://leetcode.com/problems/maximum-product-subarray/")</f>
        <v>https://leetcode.com/problems/maximum-product-subarray/</v>
      </c>
    </row>
    <row r="100" spans="1:15" ht="31.5" customHeight="1" x14ac:dyDescent="0.2">
      <c r="A100" s="7">
        <v>95</v>
      </c>
      <c r="B100" s="7">
        <v>153</v>
      </c>
      <c r="C100" s="13" t="s">
        <v>720</v>
      </c>
      <c r="D100" s="7" t="s">
        <v>4566</v>
      </c>
      <c r="E100" s="18" t="s">
        <v>28</v>
      </c>
      <c r="F100" s="3" t="s">
        <v>41</v>
      </c>
      <c r="G100" s="3" t="s">
        <v>512</v>
      </c>
      <c r="H100" s="7"/>
      <c r="I100" s="7"/>
      <c r="J100" s="7"/>
      <c r="K100" s="3"/>
      <c r="L100" s="228" t="s">
        <v>722</v>
      </c>
      <c r="M100" s="7" t="s">
        <v>65</v>
      </c>
      <c r="N100" s="176" t="s">
        <v>47</v>
      </c>
      <c r="O100" s="191" t="str">
        <f>HYPERLINK("https://leetcode.com/problems/find-minimum-in-rotated-sorted-array/","https://leetcode.com/problems/find-minimum-in-rotated-sorted-array/")</f>
        <v>https://leetcode.com/problems/find-minimum-in-rotated-sorted-array/</v>
      </c>
    </row>
    <row r="101" spans="1:15" ht="31.5" customHeight="1" x14ac:dyDescent="0.2">
      <c r="A101" s="125">
        <v>96</v>
      </c>
      <c r="B101" s="125">
        <v>155</v>
      </c>
      <c r="C101" s="126" t="s">
        <v>728</v>
      </c>
      <c r="D101" s="125" t="s">
        <v>4567</v>
      </c>
      <c r="E101" s="127" t="s">
        <v>28</v>
      </c>
      <c r="F101" s="128" t="s">
        <v>729</v>
      </c>
      <c r="G101" s="128" t="s">
        <v>4568</v>
      </c>
      <c r="H101" s="125"/>
      <c r="I101" s="125"/>
      <c r="J101" s="125"/>
      <c r="K101" s="128"/>
      <c r="L101" s="271" t="s">
        <v>731</v>
      </c>
      <c r="M101" s="125" t="s">
        <v>732</v>
      </c>
      <c r="N101" s="181" t="s">
        <v>24</v>
      </c>
      <c r="O101" s="194" t="str">
        <f>HYPERLINK("https://leetcode.com/problems/min-stack/","https://leetcode.com/problems/min-stack/")</f>
        <v>https://leetcode.com/problems/min-stack/</v>
      </c>
    </row>
    <row r="102" spans="1:15" ht="31.5" customHeight="1" x14ac:dyDescent="0.2">
      <c r="A102" s="7">
        <v>97</v>
      </c>
      <c r="B102" s="7">
        <v>160</v>
      </c>
      <c r="C102" s="13" t="s">
        <v>743</v>
      </c>
      <c r="D102" s="7" t="s">
        <v>4525</v>
      </c>
      <c r="E102" s="21" t="s">
        <v>20</v>
      </c>
      <c r="F102" s="3" t="s">
        <v>679</v>
      </c>
      <c r="G102" s="3" t="s">
        <v>127</v>
      </c>
      <c r="H102" s="7"/>
      <c r="I102" s="7"/>
      <c r="J102" s="7"/>
      <c r="K102" s="3"/>
      <c r="L102" s="228" t="s">
        <v>745</v>
      </c>
      <c r="M102" s="7" t="s">
        <v>259</v>
      </c>
      <c r="N102" s="176" t="s">
        <v>47</v>
      </c>
      <c r="O102" s="191" t="str">
        <f>HYPERLINK("https://leetcode.com/problems/intersection-of-two-linked-lists/","https://leetcode.com/problems/intersection-of-two-linked-lists/")</f>
        <v>https://leetcode.com/problems/intersection-of-two-linked-lists/</v>
      </c>
    </row>
    <row r="103" spans="1:15" ht="31.5" customHeight="1" x14ac:dyDescent="0.2">
      <c r="A103" s="125">
        <v>98</v>
      </c>
      <c r="B103" s="125">
        <v>162</v>
      </c>
      <c r="C103" s="126" t="s">
        <v>752</v>
      </c>
      <c r="D103" s="125" t="s">
        <v>4569</v>
      </c>
      <c r="E103" s="127" t="s">
        <v>28</v>
      </c>
      <c r="F103" s="128" t="s">
        <v>41</v>
      </c>
      <c r="G103" s="128" t="s">
        <v>512</v>
      </c>
      <c r="H103" s="125"/>
      <c r="I103" s="125"/>
      <c r="J103" s="125"/>
      <c r="K103" s="128"/>
      <c r="L103" s="271" t="s">
        <v>513</v>
      </c>
      <c r="M103" s="125" t="s">
        <v>65</v>
      </c>
      <c r="N103" s="181" t="s">
        <v>47</v>
      </c>
      <c r="O103" s="194" t="str">
        <f>HYPERLINK("https://leetcode.com/problems/find-peak-element/","https://leetcode.com/problems/find-peak-element/")</f>
        <v>https://leetcode.com/problems/find-peak-element/</v>
      </c>
    </row>
    <row r="104" spans="1:15" ht="31.5" customHeight="1" x14ac:dyDescent="0.2">
      <c r="A104" s="7">
        <v>99</v>
      </c>
      <c r="B104" s="7">
        <v>167</v>
      </c>
      <c r="C104" s="13" t="s">
        <v>765</v>
      </c>
      <c r="D104" s="7" t="s">
        <v>4570</v>
      </c>
      <c r="E104" s="18" t="s">
        <v>28</v>
      </c>
      <c r="F104" s="3" t="s">
        <v>1110</v>
      </c>
      <c r="G104" s="3" t="s">
        <v>689</v>
      </c>
      <c r="H104" s="7"/>
      <c r="I104" s="7"/>
      <c r="J104" s="7"/>
      <c r="K104" s="3"/>
      <c r="L104" s="228" t="s">
        <v>690</v>
      </c>
      <c r="M104" s="7" t="s">
        <v>24</v>
      </c>
      <c r="N104" s="176" t="s">
        <v>47</v>
      </c>
      <c r="O104" s="191" t="str">
        <f>HYPERLINK("https://leetcode.com/problems/two-sum-ii-input-array-is-sorted/","https://leetcode.com/problems/two-sum-ii-input-array-is-sorted/")</f>
        <v>https://leetcode.com/problems/two-sum-ii-input-array-is-sorted/</v>
      </c>
    </row>
    <row r="105" spans="1:15" ht="31.5" customHeight="1" x14ac:dyDescent="0.2">
      <c r="A105" s="125">
        <v>100</v>
      </c>
      <c r="B105" s="125">
        <v>169</v>
      </c>
      <c r="C105" s="126" t="s">
        <v>773</v>
      </c>
      <c r="D105" s="125" t="s">
        <v>4571</v>
      </c>
      <c r="E105" s="130" t="s">
        <v>20</v>
      </c>
      <c r="F105" s="128" t="s">
        <v>166</v>
      </c>
      <c r="G105" s="128" t="s">
        <v>4572</v>
      </c>
      <c r="H105" s="125"/>
      <c r="I105" s="125"/>
      <c r="J105" s="125"/>
      <c r="K105" s="128"/>
      <c r="L105" s="271" t="s">
        <v>776</v>
      </c>
      <c r="M105" s="125" t="s">
        <v>24</v>
      </c>
      <c r="N105" s="181" t="s">
        <v>47</v>
      </c>
      <c r="O105" s="194" t="str">
        <f>HYPERLINK("https://leetcode.com/problems/majority-element/","https://leetcode.com/problems/majority-element/")</f>
        <v>https://leetcode.com/problems/majority-element/</v>
      </c>
    </row>
    <row r="106" spans="1:15" ht="31.5" customHeight="1" x14ac:dyDescent="0.2">
      <c r="A106" s="7">
        <v>101</v>
      </c>
      <c r="B106" s="7">
        <v>173</v>
      </c>
      <c r="C106" s="13" t="s">
        <v>785</v>
      </c>
      <c r="D106" s="7" t="s">
        <v>4740</v>
      </c>
      <c r="E106" s="18" t="s">
        <v>28</v>
      </c>
      <c r="F106" s="3" t="s">
        <v>4741</v>
      </c>
      <c r="G106" s="3" t="s">
        <v>4742</v>
      </c>
      <c r="H106" s="7"/>
      <c r="I106" s="7"/>
      <c r="J106" s="7"/>
      <c r="K106" s="3"/>
      <c r="L106" s="228" t="s">
        <v>513</v>
      </c>
      <c r="M106" s="7" t="s">
        <v>788</v>
      </c>
      <c r="N106" s="176" t="s">
        <v>503</v>
      </c>
      <c r="O106" s="191" t="str">
        <f>HYPERLINK("https://leetcode.com/problems/binary-search-tree-iterator/","https://leetcode.com/problems/binary-search-tree-iterator/")</f>
        <v>https://leetcode.com/problems/binary-search-tree-iterator/</v>
      </c>
    </row>
    <row r="107" spans="1:15" ht="31.5" customHeight="1" x14ac:dyDescent="0.2">
      <c r="A107" s="125">
        <v>102</v>
      </c>
      <c r="B107" s="125">
        <v>176</v>
      </c>
      <c r="C107" s="126" t="s">
        <v>800</v>
      </c>
      <c r="D107" s="125" t="s">
        <v>4569</v>
      </c>
      <c r="E107" s="127" t="s">
        <v>28</v>
      </c>
      <c r="F107" s="128" t="s">
        <v>796</v>
      </c>
      <c r="G107" s="128"/>
      <c r="H107" s="125"/>
      <c r="I107" s="125"/>
      <c r="J107" s="125"/>
      <c r="K107" s="128"/>
      <c r="L107" s="271" t="s">
        <v>4239</v>
      </c>
      <c r="M107" s="125" t="s">
        <v>24</v>
      </c>
      <c r="N107" s="181" t="s">
        <v>24</v>
      </c>
      <c r="O107" s="194" t="str">
        <f>HYPERLINK("https://leetcode.com/problems/second-highest-salary/","https://leetcode.com/problems/second-highest-salary/")</f>
        <v>https://leetcode.com/problems/second-highest-salary/</v>
      </c>
    </row>
    <row r="108" spans="1:15" ht="31.5" customHeight="1" x14ac:dyDescent="0.2">
      <c r="A108" s="7">
        <v>103</v>
      </c>
      <c r="B108" s="7">
        <v>189</v>
      </c>
      <c r="C108" s="13" t="s">
        <v>852</v>
      </c>
      <c r="D108" s="7" t="s">
        <v>4574</v>
      </c>
      <c r="E108" s="18" t="s">
        <v>28</v>
      </c>
      <c r="F108" s="3" t="s">
        <v>853</v>
      </c>
      <c r="G108" s="3" t="s">
        <v>4575</v>
      </c>
      <c r="H108" s="7"/>
      <c r="I108" s="7"/>
      <c r="J108" s="7"/>
      <c r="K108" s="3"/>
      <c r="L108" s="228" t="s">
        <v>690</v>
      </c>
      <c r="M108" s="7" t="s">
        <v>24</v>
      </c>
      <c r="N108" s="176" t="s">
        <v>47</v>
      </c>
      <c r="O108" s="191" t="str">
        <f>HYPERLINK("https://leetcode.com/problems/rotate-array/","https://leetcode.com/problems/rotate-array/")</f>
        <v>https://leetcode.com/problems/rotate-array/</v>
      </c>
    </row>
    <row r="109" spans="1:15" ht="31.5" customHeight="1" x14ac:dyDescent="0.2">
      <c r="A109" s="125">
        <v>104</v>
      </c>
      <c r="B109" s="125">
        <v>191</v>
      </c>
      <c r="C109" s="126" t="s">
        <v>858</v>
      </c>
      <c r="D109" s="125" t="s">
        <v>4576</v>
      </c>
      <c r="E109" s="130" t="s">
        <v>20</v>
      </c>
      <c r="F109" s="128" t="s">
        <v>666</v>
      </c>
      <c r="G109" s="128" t="s">
        <v>666</v>
      </c>
      <c r="H109" s="125"/>
      <c r="I109" s="125"/>
      <c r="J109" s="125"/>
      <c r="K109" s="128"/>
      <c r="L109" s="271" t="s">
        <v>230</v>
      </c>
      <c r="M109" s="125" t="s">
        <v>47</v>
      </c>
      <c r="N109" s="181" t="s">
        <v>47</v>
      </c>
      <c r="O109" s="194" t="str">
        <f>HYPERLINK("https://leetcode.com/problems/number-of-1-bits/","https://leetcode.com/problems/number-of-1-bits/")</f>
        <v>https://leetcode.com/problems/number-of-1-bits/</v>
      </c>
    </row>
    <row r="110" spans="1:15" ht="31.5" customHeight="1" x14ac:dyDescent="0.2">
      <c r="A110" s="7">
        <v>105</v>
      </c>
      <c r="B110" s="7">
        <v>198</v>
      </c>
      <c r="C110" s="13" t="s">
        <v>874</v>
      </c>
      <c r="D110" s="7" t="s">
        <v>4578</v>
      </c>
      <c r="E110" s="18" t="s">
        <v>28</v>
      </c>
      <c r="F110" s="3" t="s">
        <v>309</v>
      </c>
      <c r="G110" s="3" t="s">
        <v>1042</v>
      </c>
      <c r="H110" s="7"/>
      <c r="I110" s="7"/>
      <c r="J110" s="7"/>
      <c r="K110" s="3"/>
      <c r="L110" s="228" t="s">
        <v>876</v>
      </c>
      <c r="M110" s="7" t="s">
        <v>24</v>
      </c>
      <c r="N110" s="176" t="s">
        <v>47</v>
      </c>
      <c r="O110" s="191" t="str">
        <f>HYPERLINK("https://leetcode.com/problems/house-robber/","https://leetcode.com/problems/house-robber/")</f>
        <v>https://leetcode.com/problems/house-robber/</v>
      </c>
    </row>
    <row r="111" spans="1:15" ht="31.5" customHeight="1" x14ac:dyDescent="0.2">
      <c r="A111" s="125">
        <v>106</v>
      </c>
      <c r="B111" s="125">
        <v>199</v>
      </c>
      <c r="C111" s="126" t="s">
        <v>878</v>
      </c>
      <c r="D111" s="125" t="s">
        <v>4744</v>
      </c>
      <c r="E111" s="127" t="s">
        <v>28</v>
      </c>
      <c r="F111" s="128" t="s">
        <v>879</v>
      </c>
      <c r="G111" s="128" t="s">
        <v>4270</v>
      </c>
      <c r="H111" s="125"/>
      <c r="I111" s="125"/>
      <c r="J111" s="125"/>
      <c r="K111" s="128"/>
      <c r="L111" s="271" t="s">
        <v>571</v>
      </c>
      <c r="M111" s="125" t="s">
        <v>24</v>
      </c>
      <c r="N111" s="181" t="s">
        <v>24</v>
      </c>
      <c r="O111" s="194" t="str">
        <f>HYPERLINK("https://leetcode.com/problems/binary-tree-right-side-view/","https://leetcode.com/problems/binary-tree-right-side-view/")</f>
        <v>https://leetcode.com/problems/binary-tree-right-side-view/</v>
      </c>
    </row>
    <row r="112" spans="1:15" ht="31.5" customHeight="1" x14ac:dyDescent="0.2">
      <c r="A112" s="7">
        <v>107</v>
      </c>
      <c r="B112" s="7">
        <v>200</v>
      </c>
      <c r="C112" s="13" t="s">
        <v>882</v>
      </c>
      <c r="D112" s="7" t="s">
        <v>4558</v>
      </c>
      <c r="E112" s="18" t="s">
        <v>28</v>
      </c>
      <c r="F112" s="3" t="s">
        <v>4159</v>
      </c>
      <c r="G112" s="3" t="s">
        <v>4579</v>
      </c>
      <c r="H112" s="7"/>
      <c r="I112" s="7"/>
      <c r="J112" s="7"/>
      <c r="K112" s="3"/>
      <c r="L112" s="228" t="s">
        <v>884</v>
      </c>
      <c r="M112" s="7" t="s">
        <v>81</v>
      </c>
      <c r="N112" s="176" t="s">
        <v>81</v>
      </c>
      <c r="O112" s="191" t="str">
        <f>HYPERLINK("https://leetcode.com/problems/number-of-islands/","https://leetcode.com/problems/number-of-islands/")</f>
        <v>https://leetcode.com/problems/number-of-islands/</v>
      </c>
    </row>
    <row r="113" spans="1:15" ht="31.5" customHeight="1" x14ac:dyDescent="0.2">
      <c r="A113" s="125">
        <v>108</v>
      </c>
      <c r="B113" s="125">
        <v>202</v>
      </c>
      <c r="C113" s="126" t="s">
        <v>886</v>
      </c>
      <c r="D113" s="125" t="s">
        <v>4521</v>
      </c>
      <c r="E113" s="130" t="s">
        <v>20</v>
      </c>
      <c r="F113" s="128" t="s">
        <v>887</v>
      </c>
      <c r="G113" s="128" t="s">
        <v>4034</v>
      </c>
      <c r="H113" s="125"/>
      <c r="I113" s="125"/>
      <c r="J113" s="125"/>
      <c r="K113" s="128"/>
      <c r="L113" s="271" t="s">
        <v>889</v>
      </c>
      <c r="M113" s="125" t="s">
        <v>65</v>
      </c>
      <c r="N113" s="181" t="s">
        <v>47</v>
      </c>
      <c r="O113" s="194" t="str">
        <f>HYPERLINK("https://leetcode.com/problems/happy-number/","https://leetcode.com/problems/happy-number/")</f>
        <v>https://leetcode.com/problems/happy-number/</v>
      </c>
    </row>
    <row r="114" spans="1:15" ht="31.5" customHeight="1" x14ac:dyDescent="0.2">
      <c r="A114" s="7">
        <v>109</v>
      </c>
      <c r="B114" s="7">
        <v>205</v>
      </c>
      <c r="C114" s="13" t="s">
        <v>896</v>
      </c>
      <c r="D114" s="7" t="s">
        <v>4433</v>
      </c>
      <c r="E114" s="21" t="s">
        <v>20</v>
      </c>
      <c r="F114" s="3" t="s">
        <v>897</v>
      </c>
      <c r="G114" s="3" t="s">
        <v>4244</v>
      </c>
      <c r="H114" s="7"/>
      <c r="I114" s="7"/>
      <c r="J114" s="7"/>
      <c r="K114" s="3"/>
      <c r="L114" s="228" t="s">
        <v>705</v>
      </c>
      <c r="M114" s="7" t="s">
        <v>24</v>
      </c>
      <c r="N114" s="176" t="s">
        <v>47</v>
      </c>
      <c r="O114" s="191" t="str">
        <f>HYPERLINK("https://leetcode.com/problems/isomorphic-strings/","https://leetcode.com/problems/isomorphic-strings/")</f>
        <v>https://leetcode.com/problems/isomorphic-strings/</v>
      </c>
    </row>
    <row r="115" spans="1:15" ht="31.5" customHeight="1" x14ac:dyDescent="0.2">
      <c r="A115" s="125">
        <v>110</v>
      </c>
      <c r="B115" s="125">
        <v>206</v>
      </c>
      <c r="C115" s="126" t="s">
        <v>899</v>
      </c>
      <c r="D115" s="125" t="s">
        <v>4582</v>
      </c>
      <c r="E115" s="130" t="s">
        <v>20</v>
      </c>
      <c r="F115" s="128" t="s">
        <v>127</v>
      </c>
      <c r="G115" s="128" t="s">
        <v>127</v>
      </c>
      <c r="H115" s="125"/>
      <c r="I115" s="125"/>
      <c r="J115" s="125"/>
      <c r="K115" s="128"/>
      <c r="L115" s="271" t="s">
        <v>901</v>
      </c>
      <c r="M115" s="125" t="s">
        <v>24</v>
      </c>
      <c r="N115" s="181" t="s">
        <v>47</v>
      </c>
      <c r="O115" s="194" t="str">
        <f>HYPERLINK("https://leetcode.com/problems/reverse-linked-list/","https://leetcode.com/problems/reverse-linked-list/")</f>
        <v>https://leetcode.com/problems/reverse-linked-list/</v>
      </c>
    </row>
    <row r="116" spans="1:15" ht="31.5" customHeight="1" x14ac:dyDescent="0.2">
      <c r="A116" s="7">
        <v>111</v>
      </c>
      <c r="B116" s="7">
        <v>207</v>
      </c>
      <c r="C116" s="13" t="s">
        <v>903</v>
      </c>
      <c r="D116" s="7" t="s">
        <v>4583</v>
      </c>
      <c r="E116" s="18" t="s">
        <v>28</v>
      </c>
      <c r="F116" s="3" t="s">
        <v>4156</v>
      </c>
      <c r="G116" s="3" t="s">
        <v>4282</v>
      </c>
      <c r="H116" s="7"/>
      <c r="I116" s="7"/>
      <c r="J116" s="7"/>
      <c r="K116" s="3"/>
      <c r="L116" s="228" t="s">
        <v>906</v>
      </c>
      <c r="M116" s="7" t="s">
        <v>648</v>
      </c>
      <c r="N116" s="176" t="s">
        <v>648</v>
      </c>
      <c r="O116" s="191" t="str">
        <f>HYPERLINK("https://leetcode.com/problems/course-schedule/","https://leetcode.com/problems/course-schedule/")</f>
        <v>https://leetcode.com/problems/course-schedule/</v>
      </c>
    </row>
    <row r="117" spans="1:15" ht="31.5" customHeight="1" x14ac:dyDescent="0.2">
      <c r="A117" s="125">
        <v>112</v>
      </c>
      <c r="B117" s="125">
        <v>208</v>
      </c>
      <c r="C117" s="126" t="s">
        <v>908</v>
      </c>
      <c r="D117" s="125" t="s">
        <v>4456</v>
      </c>
      <c r="E117" s="127" t="s">
        <v>28</v>
      </c>
      <c r="F117" s="128" t="s">
        <v>909</v>
      </c>
      <c r="G117" s="128" t="s">
        <v>925</v>
      </c>
      <c r="H117" s="125"/>
      <c r="I117" s="125"/>
      <c r="J117" s="125"/>
      <c r="K117" s="128"/>
      <c r="L117" s="271" t="s">
        <v>911</v>
      </c>
      <c r="M117" s="125" t="s">
        <v>912</v>
      </c>
      <c r="N117" s="181" t="s">
        <v>913</v>
      </c>
      <c r="O117" s="194" t="str">
        <f>HYPERLINK("https://leetcode.com/problems/implement-trie-prefix-tree/","https://leetcode.com/problems/implement-trie-prefix-tree/")</f>
        <v>https://leetcode.com/problems/implement-trie-prefix-tree/</v>
      </c>
    </row>
    <row r="118" spans="1:15" ht="31.5" customHeight="1" x14ac:dyDescent="0.2">
      <c r="A118" s="7">
        <v>113</v>
      </c>
      <c r="B118" s="7">
        <v>210</v>
      </c>
      <c r="C118" s="13" t="s">
        <v>921</v>
      </c>
      <c r="D118" s="7" t="s">
        <v>4585</v>
      </c>
      <c r="E118" s="18" t="s">
        <v>28</v>
      </c>
      <c r="F118" s="3" t="s">
        <v>1167</v>
      </c>
      <c r="G118" s="3" t="s">
        <v>4282</v>
      </c>
      <c r="H118" s="7"/>
      <c r="I118" s="7"/>
      <c r="J118" s="7"/>
      <c r="K118" s="3"/>
      <c r="L118" s="228" t="s">
        <v>619</v>
      </c>
      <c r="M118" s="7" t="s">
        <v>648</v>
      </c>
      <c r="N118" s="176" t="s">
        <v>648</v>
      </c>
      <c r="O118" s="191" t="str">
        <f>HYPERLINK("https://leetcode.com/problems/course-schedule-ii/","https://leetcode.com/problems/course-schedule-ii/")</f>
        <v>https://leetcode.com/problems/course-schedule-ii/</v>
      </c>
    </row>
    <row r="119" spans="1:15" ht="31.5" customHeight="1" x14ac:dyDescent="0.2">
      <c r="A119" s="125">
        <v>114</v>
      </c>
      <c r="B119" s="125">
        <v>215</v>
      </c>
      <c r="C119" s="126" t="s">
        <v>940</v>
      </c>
      <c r="D119" s="125" t="s">
        <v>4590</v>
      </c>
      <c r="E119" s="127" t="s">
        <v>28</v>
      </c>
      <c r="F119" s="128" t="s">
        <v>4286</v>
      </c>
      <c r="G119" s="128" t="s">
        <v>4591</v>
      </c>
      <c r="H119" s="125"/>
      <c r="I119" s="125"/>
      <c r="J119" s="125"/>
      <c r="K119" s="128"/>
      <c r="L119" s="271" t="s">
        <v>943</v>
      </c>
      <c r="M119" s="125" t="s">
        <v>944</v>
      </c>
      <c r="N119" s="181" t="s">
        <v>945</v>
      </c>
      <c r="O119" s="194" t="str">
        <f>HYPERLINK("https://leetcode.com/problems/kth-largest-element-in-an-array/","https://leetcode.com/problems/kth-largest-element-in-an-array/")</f>
        <v>https://leetcode.com/problems/kth-largest-element-in-an-array/</v>
      </c>
    </row>
    <row r="120" spans="1:15" ht="31.5" customHeight="1" x14ac:dyDescent="0.2">
      <c r="A120" s="7">
        <v>115</v>
      </c>
      <c r="B120" s="7">
        <v>217</v>
      </c>
      <c r="C120" s="13" t="s">
        <v>951</v>
      </c>
      <c r="D120" s="7" t="s">
        <v>4592</v>
      </c>
      <c r="E120" s="21" t="s">
        <v>20</v>
      </c>
      <c r="F120" s="3" t="s">
        <v>19</v>
      </c>
      <c r="G120" s="3" t="s">
        <v>4244</v>
      </c>
      <c r="H120" s="7"/>
      <c r="I120" s="7"/>
      <c r="J120" s="7"/>
      <c r="K120" s="3"/>
      <c r="L120" s="228" t="s">
        <v>954</v>
      </c>
      <c r="M120" s="7" t="s">
        <v>24</v>
      </c>
      <c r="N120" s="176" t="s">
        <v>24</v>
      </c>
      <c r="O120" s="191" t="str">
        <f>HYPERLINK("https://leetcode.com/problems/contains-duplicate/","https://leetcode.com/problems/contains-duplicate/")</f>
        <v>https://leetcode.com/problems/contains-duplicate/</v>
      </c>
    </row>
    <row r="121" spans="1:15" ht="31.5" customHeight="1" x14ac:dyDescent="0.2">
      <c r="A121" s="125">
        <v>116</v>
      </c>
      <c r="B121" s="125">
        <v>219</v>
      </c>
      <c r="C121" s="126" t="s">
        <v>962</v>
      </c>
      <c r="D121" s="125" t="s">
        <v>4577</v>
      </c>
      <c r="E121" s="130" t="s">
        <v>20</v>
      </c>
      <c r="F121" s="128" t="s">
        <v>3181</v>
      </c>
      <c r="G121" s="128" t="s">
        <v>4594</v>
      </c>
      <c r="H121" s="125"/>
      <c r="I121" s="125"/>
      <c r="J121" s="125"/>
      <c r="K121" s="128"/>
      <c r="L121" s="271" t="s">
        <v>919</v>
      </c>
      <c r="M121" s="125" t="s">
        <v>24</v>
      </c>
      <c r="N121" s="181" t="s">
        <v>153</v>
      </c>
      <c r="O121" s="194" t="str">
        <f>HYPERLINK("https://leetcode.com/problems/contains-duplicate-ii/","https://leetcode.com/problems/contains-duplicate-ii/")</f>
        <v>https://leetcode.com/problems/contains-duplicate-ii/</v>
      </c>
    </row>
    <row r="122" spans="1:15" ht="31.5" customHeight="1" x14ac:dyDescent="0.2">
      <c r="A122" s="7">
        <v>117</v>
      </c>
      <c r="B122" s="7">
        <v>224</v>
      </c>
      <c r="C122" s="13" t="s">
        <v>970</v>
      </c>
      <c r="D122" s="7" t="s">
        <v>4596</v>
      </c>
      <c r="E122" s="20" t="s">
        <v>42</v>
      </c>
      <c r="F122" s="3" t="s">
        <v>971</v>
      </c>
      <c r="G122" s="3" t="s">
        <v>540</v>
      </c>
      <c r="H122" s="7"/>
      <c r="I122" s="7"/>
      <c r="J122" s="7"/>
      <c r="K122" s="3"/>
      <c r="L122" s="228" t="s">
        <v>542</v>
      </c>
      <c r="M122" s="7" t="s">
        <v>24</v>
      </c>
      <c r="N122" s="176" t="s">
        <v>24</v>
      </c>
      <c r="O122" s="191" t="str">
        <f>HYPERLINK("https://leetcode.com/problems/basic-calculator/","https://leetcode.com/problems/basic-calculator/")</f>
        <v>https://leetcode.com/problems/basic-calculator/</v>
      </c>
    </row>
    <row r="123" spans="1:15" ht="31.5" customHeight="1" x14ac:dyDescent="0.2">
      <c r="A123" s="125">
        <v>118</v>
      </c>
      <c r="B123" s="125">
        <v>225</v>
      </c>
      <c r="C123" s="126" t="s">
        <v>973</v>
      </c>
      <c r="D123" s="125" t="s">
        <v>4546</v>
      </c>
      <c r="E123" s="130" t="s">
        <v>20</v>
      </c>
      <c r="F123" s="128" t="s">
        <v>974</v>
      </c>
      <c r="G123" s="128" t="s">
        <v>4597</v>
      </c>
      <c r="H123" s="125"/>
      <c r="I123" s="125"/>
      <c r="J123" s="125"/>
      <c r="K123" s="128"/>
      <c r="L123" s="271" t="s">
        <v>542</v>
      </c>
      <c r="M123" s="125" t="s">
        <v>24</v>
      </c>
      <c r="N123" s="181" t="s">
        <v>24</v>
      </c>
      <c r="O123" s="194" t="str">
        <f>HYPERLINK("https://leetcode.com/problems/implement-stack-using-queues/","https://leetcode.com/problems/implement-stack-using-queues/")</f>
        <v>https://leetcode.com/problems/implement-stack-using-queues/</v>
      </c>
    </row>
    <row r="124" spans="1:15" ht="31.5" customHeight="1" x14ac:dyDescent="0.2">
      <c r="A124" s="7">
        <v>119</v>
      </c>
      <c r="B124" s="7">
        <v>227</v>
      </c>
      <c r="C124" s="13" t="s">
        <v>980</v>
      </c>
      <c r="D124" s="7" t="s">
        <v>4596</v>
      </c>
      <c r="E124" s="18" t="s">
        <v>28</v>
      </c>
      <c r="F124" s="3" t="s">
        <v>971</v>
      </c>
      <c r="G124" s="3" t="s">
        <v>540</v>
      </c>
      <c r="H124" s="7"/>
      <c r="I124" s="7"/>
      <c r="J124" s="7"/>
      <c r="K124" s="3"/>
      <c r="L124" s="228" t="s">
        <v>542</v>
      </c>
      <c r="M124" s="7" t="s">
        <v>24</v>
      </c>
      <c r="N124" s="176" t="s">
        <v>24</v>
      </c>
      <c r="O124" s="191" t="str">
        <f>HYPERLINK("https://leetcode.com/problems/basic-calculator-ii/","https://leetcode.com/problems/basic-calculator-ii/")</f>
        <v>https://leetcode.com/problems/basic-calculator-ii/</v>
      </c>
    </row>
    <row r="125" spans="1:15" ht="31.5" customHeight="1" x14ac:dyDescent="0.2">
      <c r="A125" s="125">
        <v>120</v>
      </c>
      <c r="B125" s="125">
        <v>230</v>
      </c>
      <c r="C125" s="126" t="s">
        <v>989</v>
      </c>
      <c r="D125" s="125" t="s">
        <v>4576</v>
      </c>
      <c r="E125" s="127" t="s">
        <v>28</v>
      </c>
      <c r="F125" s="128" t="s">
        <v>518</v>
      </c>
      <c r="G125" s="128" t="s">
        <v>4287</v>
      </c>
      <c r="H125" s="125"/>
      <c r="I125" s="125"/>
      <c r="J125" s="125"/>
      <c r="K125" s="128"/>
      <c r="L125" s="271" t="s">
        <v>571</v>
      </c>
      <c r="M125" s="125" t="s">
        <v>991</v>
      </c>
      <c r="N125" s="181" t="s">
        <v>503</v>
      </c>
      <c r="O125" s="194" t="str">
        <f>HYPERLINK("https://leetcode.com/problems/kth-smallest-element-in-a-bst/","https://leetcode.com/problems/kth-smallest-element-in-a-bst/")</f>
        <v>https://leetcode.com/problems/kth-smallest-element-in-a-bst/</v>
      </c>
    </row>
    <row r="126" spans="1:15" ht="31.5" customHeight="1" x14ac:dyDescent="0.2">
      <c r="A126" s="7">
        <v>121</v>
      </c>
      <c r="B126" s="7">
        <v>231</v>
      </c>
      <c r="C126" s="13" t="s">
        <v>993</v>
      </c>
      <c r="D126" s="7" t="s">
        <v>4600</v>
      </c>
      <c r="E126" s="21" t="s">
        <v>20</v>
      </c>
      <c r="F126" s="3" t="s">
        <v>181</v>
      </c>
      <c r="G126" s="3" t="s">
        <v>666</v>
      </c>
      <c r="H126" s="7"/>
      <c r="I126" s="7"/>
      <c r="J126" s="7"/>
      <c r="K126" s="3"/>
      <c r="L126" s="228" t="s">
        <v>230</v>
      </c>
      <c r="M126" s="7" t="s">
        <v>47</v>
      </c>
      <c r="N126" s="176" t="s">
        <v>47</v>
      </c>
      <c r="O126" s="191" t="str">
        <f>HYPERLINK("https://leetcode.com/problems/power-of-two/","https://leetcode.com/problems/power-of-two/")</f>
        <v>https://leetcode.com/problems/power-of-two/</v>
      </c>
    </row>
    <row r="127" spans="1:15" ht="31.5" customHeight="1" x14ac:dyDescent="0.2">
      <c r="A127" s="125">
        <v>122</v>
      </c>
      <c r="B127" s="125">
        <v>232</v>
      </c>
      <c r="C127" s="126" t="s">
        <v>995</v>
      </c>
      <c r="D127" s="125" t="s">
        <v>4601</v>
      </c>
      <c r="E127" s="130" t="s">
        <v>20</v>
      </c>
      <c r="F127" s="128" t="s">
        <v>974</v>
      </c>
      <c r="G127" s="128" t="s">
        <v>540</v>
      </c>
      <c r="H127" s="125"/>
      <c r="I127" s="125"/>
      <c r="J127" s="125"/>
      <c r="K127" s="128"/>
      <c r="L127" s="271" t="s">
        <v>542</v>
      </c>
      <c r="M127" s="125" t="s">
        <v>996</v>
      </c>
      <c r="N127" s="181" t="s">
        <v>24</v>
      </c>
      <c r="O127" s="194" t="str">
        <f>HYPERLINK("https://leetcode.com/problems/implement-queue-using-stacks/","https://leetcode.com/problems/implement-queue-using-stacks/")</f>
        <v>https://leetcode.com/problems/implement-queue-using-stacks/</v>
      </c>
    </row>
    <row r="128" spans="1:15" ht="31.5" customHeight="1" x14ac:dyDescent="0.2">
      <c r="A128" s="7">
        <v>123</v>
      </c>
      <c r="B128" s="7">
        <v>234</v>
      </c>
      <c r="C128" s="13" t="s">
        <v>998</v>
      </c>
      <c r="D128" s="7" t="s">
        <v>4555</v>
      </c>
      <c r="E128" s="21" t="s">
        <v>20</v>
      </c>
      <c r="F128" s="3" t="s">
        <v>4290</v>
      </c>
      <c r="G128" s="3" t="s">
        <v>4034</v>
      </c>
      <c r="H128" s="7"/>
      <c r="I128" s="7"/>
      <c r="J128" s="7"/>
      <c r="K128" s="3"/>
      <c r="L128" s="228" t="s">
        <v>1000</v>
      </c>
      <c r="M128" s="7" t="s">
        <v>24</v>
      </c>
      <c r="N128" s="176" t="s">
        <v>47</v>
      </c>
      <c r="O128" s="191" t="str">
        <f>HYPERLINK("https://leetcode.com/problems/palindrome-linked-list/","https://leetcode.com/problems/palindrome-linked-list/")</f>
        <v>https://leetcode.com/problems/palindrome-linked-list/</v>
      </c>
    </row>
    <row r="129" spans="1:15" ht="31.5" customHeight="1" x14ac:dyDescent="0.2">
      <c r="A129" s="125">
        <v>124</v>
      </c>
      <c r="B129" s="125">
        <v>235</v>
      </c>
      <c r="C129" s="126" t="s">
        <v>1002</v>
      </c>
      <c r="D129" s="125" t="s">
        <v>4602</v>
      </c>
      <c r="E129" s="127" t="s">
        <v>28</v>
      </c>
      <c r="F129" s="128" t="s">
        <v>518</v>
      </c>
      <c r="G129" s="128" t="s">
        <v>4520</v>
      </c>
      <c r="H129" s="125"/>
      <c r="I129" s="125"/>
      <c r="J129" s="125"/>
      <c r="K129" s="128"/>
      <c r="L129" s="271" t="s">
        <v>513</v>
      </c>
      <c r="M129" s="125" t="s">
        <v>503</v>
      </c>
      <c r="N129" s="181" t="s">
        <v>47</v>
      </c>
      <c r="O129" s="194" t="str">
        <f>HYPERLINK("https://leetcode.com/problems/lowest-common-ancestor-of-a-binary-search-tree/","https://leetcode.com/problems/lowest-common-ancestor-of-a-binary-search-tree/")</f>
        <v>https://leetcode.com/problems/lowest-common-ancestor-of-a-binary-search-tree/</v>
      </c>
    </row>
    <row r="130" spans="1:15" ht="31.5" customHeight="1" x14ac:dyDescent="0.2">
      <c r="A130" s="7">
        <v>125</v>
      </c>
      <c r="B130" s="7">
        <v>236</v>
      </c>
      <c r="C130" s="13" t="s">
        <v>1004</v>
      </c>
      <c r="D130" s="7" t="s">
        <v>4603</v>
      </c>
      <c r="E130" s="18" t="s">
        <v>28</v>
      </c>
      <c r="F130" s="3" t="s">
        <v>500</v>
      </c>
      <c r="G130" s="3" t="s">
        <v>4256</v>
      </c>
      <c r="H130" s="7"/>
      <c r="I130" s="7"/>
      <c r="J130" s="7"/>
      <c r="K130" s="3"/>
      <c r="L130" s="228" t="s">
        <v>571</v>
      </c>
      <c r="M130" s="7" t="s">
        <v>24</v>
      </c>
      <c r="N130" s="176" t="s">
        <v>503</v>
      </c>
      <c r="O130" s="191" t="str">
        <f>HYPERLINK("https://leetcode.com/problems/lowest-common-ancestor-of-a-binary-tree/","https://leetcode.com/problems/lowest-common-ancestor-of-a-binary-tree/")</f>
        <v>https://leetcode.com/problems/lowest-common-ancestor-of-a-binary-tree/</v>
      </c>
    </row>
    <row r="131" spans="1:15" ht="31.5" customHeight="1" x14ac:dyDescent="0.2">
      <c r="A131" s="125">
        <v>126</v>
      </c>
      <c r="B131" s="125">
        <v>237</v>
      </c>
      <c r="C131" s="126" t="s">
        <v>1006</v>
      </c>
      <c r="D131" s="125" t="s">
        <v>4604</v>
      </c>
      <c r="E131" s="127" t="s">
        <v>28</v>
      </c>
      <c r="F131" s="128" t="s">
        <v>127</v>
      </c>
      <c r="G131" s="128" t="s">
        <v>127</v>
      </c>
      <c r="H131" s="125"/>
      <c r="I131" s="125"/>
      <c r="J131" s="125"/>
      <c r="K131" s="128"/>
      <c r="L131" s="271" t="s">
        <v>461</v>
      </c>
      <c r="M131" s="125" t="s">
        <v>47</v>
      </c>
      <c r="N131" s="181" t="s">
        <v>47</v>
      </c>
      <c r="O131" s="194" t="str">
        <f>HYPERLINK("https://leetcode.com/problems/delete-node-in-a-linked-list/","https://leetcode.com/problems/delete-node-in-a-linked-list/")</f>
        <v>https://leetcode.com/problems/delete-node-in-a-linked-list/</v>
      </c>
    </row>
    <row r="132" spans="1:15" ht="31.5" customHeight="1" x14ac:dyDescent="0.2">
      <c r="A132" s="7">
        <v>127</v>
      </c>
      <c r="B132" s="7">
        <v>238</v>
      </c>
      <c r="C132" s="13" t="s">
        <v>1008</v>
      </c>
      <c r="D132" s="7" t="s">
        <v>4590</v>
      </c>
      <c r="E132" s="18" t="s">
        <v>28</v>
      </c>
      <c r="F132" s="3" t="s">
        <v>1009</v>
      </c>
      <c r="G132" s="3" t="s">
        <v>4316</v>
      </c>
      <c r="H132" s="7"/>
      <c r="I132" s="7"/>
      <c r="J132" s="7"/>
      <c r="K132" s="3"/>
      <c r="L132" s="228" t="s">
        <v>1011</v>
      </c>
      <c r="M132" s="7" t="s">
        <v>24</v>
      </c>
      <c r="N132" s="176" t="s">
        <v>1012</v>
      </c>
      <c r="O132" s="191" t="str">
        <f>HYPERLINK("https://leetcode.com/problems/product-of-array-except-self/","https://leetcode.com/problems/product-of-array-except-self/")</f>
        <v>https://leetcode.com/problems/product-of-array-except-self/</v>
      </c>
    </row>
    <row r="133" spans="1:15" ht="31.5" customHeight="1" x14ac:dyDescent="0.2">
      <c r="A133" s="125">
        <v>128</v>
      </c>
      <c r="B133" s="125">
        <v>239</v>
      </c>
      <c r="C133" s="126" t="s">
        <v>1014</v>
      </c>
      <c r="D133" s="125" t="s">
        <v>4605</v>
      </c>
      <c r="E133" s="129" t="s">
        <v>42</v>
      </c>
      <c r="F133" s="128" t="s">
        <v>1015</v>
      </c>
      <c r="G133" s="128" t="s">
        <v>1016</v>
      </c>
      <c r="H133" s="125"/>
      <c r="I133" s="125"/>
      <c r="J133" s="125"/>
      <c r="K133" s="128"/>
      <c r="L133" s="271" t="s">
        <v>1017</v>
      </c>
      <c r="M133" s="125" t="s">
        <v>24</v>
      </c>
      <c r="N133" s="181" t="s">
        <v>153</v>
      </c>
      <c r="O133" s="194" t="str">
        <f>HYPERLINK("https://leetcode.com/problems/sliding-window-maximum/","https://leetcode.com/problems/sliding-window-maximum/")</f>
        <v>https://leetcode.com/problems/sliding-window-maximum/</v>
      </c>
    </row>
    <row r="134" spans="1:15" ht="31.5" customHeight="1" x14ac:dyDescent="0.2">
      <c r="A134" s="7">
        <v>129</v>
      </c>
      <c r="B134" s="7">
        <v>242</v>
      </c>
      <c r="C134" s="13" t="s">
        <v>1022</v>
      </c>
      <c r="D134" s="7" t="s">
        <v>4607</v>
      </c>
      <c r="E134" s="21" t="s">
        <v>20</v>
      </c>
      <c r="F134" s="3" t="s">
        <v>897</v>
      </c>
      <c r="G134" s="3" t="s">
        <v>4244</v>
      </c>
      <c r="H134" s="7"/>
      <c r="I134" s="7"/>
      <c r="J134" s="7"/>
      <c r="K134" s="3"/>
      <c r="L134" s="228" t="s">
        <v>1024</v>
      </c>
      <c r="M134" s="7" t="s">
        <v>24</v>
      </c>
      <c r="N134" s="176" t="s">
        <v>47</v>
      </c>
      <c r="O134" s="191" t="str">
        <f>HYPERLINK("https://leetcode.com/problems/valid-anagram/","https://leetcode.com/problems/valid-anagram/")</f>
        <v>https://leetcode.com/problems/valid-anagram/</v>
      </c>
    </row>
    <row r="135" spans="1:15" ht="31.5" customHeight="1" x14ac:dyDescent="0.2">
      <c r="A135" s="125">
        <v>130</v>
      </c>
      <c r="B135" s="125">
        <v>246</v>
      </c>
      <c r="C135" s="126" t="s">
        <v>1028</v>
      </c>
      <c r="D135" s="125" t="s">
        <v>4445</v>
      </c>
      <c r="E135" s="130" t="s">
        <v>20</v>
      </c>
      <c r="F135" s="128" t="s">
        <v>897</v>
      </c>
      <c r="G135" s="128" t="s">
        <v>4244</v>
      </c>
      <c r="H135" s="125"/>
      <c r="I135" s="125"/>
      <c r="J135" s="125"/>
      <c r="K135" s="128"/>
      <c r="L135" s="271" t="s">
        <v>705</v>
      </c>
      <c r="M135" s="125" t="s">
        <v>24</v>
      </c>
      <c r="N135" s="181" t="s">
        <v>24</v>
      </c>
      <c r="O135" s="194" t="str">
        <f>HYPERLINK("https://leetcode.com/problems/strobogrammatic-number/","https://leetcode.com/problems/strobogrammatic-number/")</f>
        <v>https://leetcode.com/problems/strobogrammatic-number/</v>
      </c>
    </row>
    <row r="136" spans="1:15" ht="31.5" customHeight="1" x14ac:dyDescent="0.2">
      <c r="A136" s="7">
        <v>131</v>
      </c>
      <c r="B136" s="7">
        <v>249</v>
      </c>
      <c r="C136" s="13" t="s">
        <v>1030</v>
      </c>
      <c r="D136" s="7" t="s">
        <v>4608</v>
      </c>
      <c r="E136" s="18" t="s">
        <v>28</v>
      </c>
      <c r="F136" s="3" t="s">
        <v>897</v>
      </c>
      <c r="G136" s="3" t="s">
        <v>4244</v>
      </c>
      <c r="H136" s="7"/>
      <c r="I136" s="7"/>
      <c r="J136" s="7"/>
      <c r="K136" s="3"/>
      <c r="L136" s="228" t="s">
        <v>705</v>
      </c>
      <c r="M136" s="7" t="s">
        <v>24</v>
      </c>
      <c r="N136" s="176" t="s">
        <v>24</v>
      </c>
      <c r="O136" s="191" t="str">
        <f>HYPERLINK("https://leetcode.com/problems/group-shifted-strings/","https://leetcode.com/problems/group-shifted-strings/")</f>
        <v>https://leetcode.com/problems/group-shifted-strings/</v>
      </c>
    </row>
    <row r="137" spans="1:15" ht="31.5" customHeight="1" x14ac:dyDescent="0.2">
      <c r="A137" s="125">
        <v>132</v>
      </c>
      <c r="B137" s="125">
        <v>253</v>
      </c>
      <c r="C137" s="126" t="s">
        <v>1036</v>
      </c>
      <c r="D137" s="125" t="s">
        <v>4609</v>
      </c>
      <c r="E137" s="127" t="s">
        <v>28</v>
      </c>
      <c r="F137" s="128" t="s">
        <v>4174</v>
      </c>
      <c r="G137" s="128" t="s">
        <v>4353</v>
      </c>
      <c r="H137" s="125"/>
      <c r="I137" s="125"/>
      <c r="J137" s="125"/>
      <c r="K137" s="128"/>
      <c r="L137" s="271" t="s">
        <v>959</v>
      </c>
      <c r="M137" s="125" t="s">
        <v>960</v>
      </c>
      <c r="N137" s="181" t="s">
        <v>153</v>
      </c>
      <c r="O137" s="194" t="str">
        <f>HYPERLINK("https://leetcode.com/problems/meeting-rooms-ii/","https://leetcode.com/problems/meeting-rooms-ii/")</f>
        <v>https://leetcode.com/problems/meeting-rooms-ii/</v>
      </c>
    </row>
    <row r="138" spans="1:15" ht="31.5" customHeight="1" x14ac:dyDescent="0.2">
      <c r="A138" s="7">
        <v>133</v>
      </c>
      <c r="B138" s="7">
        <v>269</v>
      </c>
      <c r="C138" s="13" t="s">
        <v>1063</v>
      </c>
      <c r="D138" s="7" t="s">
        <v>4750</v>
      </c>
      <c r="E138" s="20" t="s">
        <v>42</v>
      </c>
      <c r="F138" s="3" t="s">
        <v>1167</v>
      </c>
      <c r="G138" s="3" t="s">
        <v>4282</v>
      </c>
      <c r="H138" s="7"/>
      <c r="I138" s="7"/>
      <c r="J138" s="7"/>
      <c r="K138" s="3"/>
      <c r="L138" s="228" t="s">
        <v>619</v>
      </c>
      <c r="M138" s="7" t="s">
        <v>1065</v>
      </c>
      <c r="N138" s="176" t="s">
        <v>47</v>
      </c>
      <c r="O138" s="191" t="str">
        <f>HYPERLINK("https://leetcode.com/problems/alien-dictionary/","https://leetcode.com/problems/alien-dictionary/")</f>
        <v>https://leetcode.com/problems/alien-dictionary/</v>
      </c>
    </row>
    <row r="139" spans="1:15" ht="31.5" customHeight="1" x14ac:dyDescent="0.2">
      <c r="A139" s="125">
        <v>134</v>
      </c>
      <c r="B139" s="125">
        <v>270</v>
      </c>
      <c r="C139" s="126" t="s">
        <v>1067</v>
      </c>
      <c r="D139" s="125" t="s">
        <v>4775</v>
      </c>
      <c r="E139" s="130" t="s">
        <v>20</v>
      </c>
      <c r="F139" s="128" t="s">
        <v>518</v>
      </c>
      <c r="G139" s="128" t="s">
        <v>4520</v>
      </c>
      <c r="H139" s="125"/>
      <c r="I139" s="125"/>
      <c r="J139" s="125"/>
      <c r="K139" s="128"/>
      <c r="L139" s="271" t="s">
        <v>513</v>
      </c>
      <c r="M139" s="125" t="s">
        <v>65</v>
      </c>
      <c r="N139" s="181" t="s">
        <v>47</v>
      </c>
      <c r="O139" s="194" t="str">
        <f>HYPERLINK("https://leetcode.com/problems/closest-binary-search-tree-value/","https://leetcode.com/problems/closest-binary-search-tree-value/")</f>
        <v>https://leetcode.com/problems/closest-binary-search-tree-value/</v>
      </c>
    </row>
    <row r="140" spans="1:15" ht="31.5" customHeight="1" x14ac:dyDescent="0.2">
      <c r="A140" s="7">
        <v>135</v>
      </c>
      <c r="B140" s="7">
        <v>278</v>
      </c>
      <c r="C140" s="13" t="s">
        <v>1082</v>
      </c>
      <c r="D140" s="7" t="s">
        <v>4544</v>
      </c>
      <c r="E140" s="21" t="s">
        <v>20</v>
      </c>
      <c r="F140" s="3" t="s">
        <v>512</v>
      </c>
      <c r="G140" s="3" t="s">
        <v>512</v>
      </c>
      <c r="H140" s="7"/>
      <c r="I140" s="7"/>
      <c r="J140" s="7"/>
      <c r="K140" s="3"/>
      <c r="L140" s="228" t="s">
        <v>513</v>
      </c>
      <c r="M140" s="7" t="s">
        <v>65</v>
      </c>
      <c r="N140" s="176" t="s">
        <v>47</v>
      </c>
      <c r="O140" s="191" t="str">
        <f>HYPERLINK("https://leetcode.com/problems/first-bad-version/","https://leetcode.com/problems/first-bad-version/")</f>
        <v>https://leetcode.com/problems/first-bad-version/</v>
      </c>
    </row>
    <row r="141" spans="1:15" ht="31.5" customHeight="1" x14ac:dyDescent="0.2">
      <c r="A141" s="125">
        <v>136</v>
      </c>
      <c r="B141" s="125">
        <v>282</v>
      </c>
      <c r="C141" s="126" t="s">
        <v>1089</v>
      </c>
      <c r="D141" s="125" t="s">
        <v>4615</v>
      </c>
      <c r="E141" s="129" t="s">
        <v>42</v>
      </c>
      <c r="F141" s="128" t="s">
        <v>1090</v>
      </c>
      <c r="G141" s="128" t="s">
        <v>300</v>
      </c>
      <c r="H141" s="125"/>
      <c r="I141" s="125"/>
      <c r="J141" s="125"/>
      <c r="K141" s="128"/>
      <c r="L141" s="271" t="s">
        <v>302</v>
      </c>
      <c r="M141" s="125" t="s">
        <v>303</v>
      </c>
      <c r="N141" s="181" t="s">
        <v>304</v>
      </c>
      <c r="O141" s="194" t="str">
        <f>HYPERLINK("https://leetcode.com/problems/expression-add-operators/","https://leetcode.com/problems/expression-add-operators/")</f>
        <v>https://leetcode.com/problems/expression-add-operators/</v>
      </c>
    </row>
    <row r="142" spans="1:15" ht="31.5" customHeight="1" x14ac:dyDescent="0.2">
      <c r="A142" s="7">
        <v>137</v>
      </c>
      <c r="B142" s="7">
        <v>283</v>
      </c>
      <c r="C142" s="13" t="s">
        <v>1093</v>
      </c>
      <c r="D142" s="7" t="s">
        <v>4616</v>
      </c>
      <c r="E142" s="21" t="s">
        <v>20</v>
      </c>
      <c r="F142" s="3" t="s">
        <v>84</v>
      </c>
      <c r="G142" s="3" t="s">
        <v>689</v>
      </c>
      <c r="H142" s="7"/>
      <c r="I142" s="7"/>
      <c r="J142" s="7"/>
      <c r="K142" s="3"/>
      <c r="L142" s="228" t="s">
        <v>1095</v>
      </c>
      <c r="M142" s="7" t="s">
        <v>24</v>
      </c>
      <c r="N142" s="176" t="s">
        <v>1096</v>
      </c>
      <c r="O142" s="191" t="str">
        <f>HYPERLINK("https://leetcode.com/problems/move-zeroes/","https://leetcode.com/problems/move-zeroes/")</f>
        <v>https://leetcode.com/problems/move-zeroes/</v>
      </c>
    </row>
    <row r="143" spans="1:15" ht="31.5" customHeight="1" x14ac:dyDescent="0.2">
      <c r="A143" s="125">
        <v>138</v>
      </c>
      <c r="B143" s="125">
        <v>286</v>
      </c>
      <c r="C143" s="126" t="s">
        <v>1105</v>
      </c>
      <c r="D143" s="125" t="s">
        <v>4617</v>
      </c>
      <c r="E143" s="127" t="s">
        <v>28</v>
      </c>
      <c r="F143" s="128" t="s">
        <v>1106</v>
      </c>
      <c r="G143" s="128" t="s">
        <v>4618</v>
      </c>
      <c r="H143" s="125"/>
      <c r="I143" s="125"/>
      <c r="J143" s="125"/>
      <c r="K143" s="128"/>
      <c r="L143" s="271" t="s">
        <v>619</v>
      </c>
      <c r="M143" s="125" t="s">
        <v>81</v>
      </c>
      <c r="N143" s="181" t="s">
        <v>81</v>
      </c>
      <c r="O143" s="194" t="str">
        <f>HYPERLINK("https://leetcode.com/problems/walls-and-gates/","https://leetcode.com/problems/walls-and-gates/")</f>
        <v>https://leetcode.com/problems/walls-and-gates/</v>
      </c>
    </row>
    <row r="144" spans="1:15" ht="31.5" customHeight="1" x14ac:dyDescent="0.2">
      <c r="A144" s="7">
        <v>139</v>
      </c>
      <c r="B144" s="7">
        <v>287</v>
      </c>
      <c r="C144" s="13" t="s">
        <v>1109</v>
      </c>
      <c r="D144" s="7" t="s">
        <v>4592</v>
      </c>
      <c r="E144" s="18" t="s">
        <v>28</v>
      </c>
      <c r="F144" s="3" t="s">
        <v>1110</v>
      </c>
      <c r="G144" s="3" t="s">
        <v>4034</v>
      </c>
      <c r="H144" s="7"/>
      <c r="I144" s="7"/>
      <c r="J144" s="7"/>
      <c r="K144" s="3"/>
      <c r="L144" s="228" t="s">
        <v>1112</v>
      </c>
      <c r="M144" s="7" t="s">
        <v>24</v>
      </c>
      <c r="N144" s="176" t="s">
        <v>47</v>
      </c>
      <c r="O144" s="191" t="str">
        <f>HYPERLINK("https://leetcode.com/problems/find-the-duplicate-number/","https://leetcode.com/problems/find-the-duplicate-number/")</f>
        <v>https://leetcode.com/problems/find-the-duplicate-number/</v>
      </c>
    </row>
    <row r="145" spans="1:15" ht="31.5" customHeight="1" x14ac:dyDescent="0.2">
      <c r="A145" s="125">
        <v>140</v>
      </c>
      <c r="B145" s="125">
        <v>300</v>
      </c>
      <c r="C145" s="126" t="s">
        <v>1135</v>
      </c>
      <c r="D145" s="125" t="s">
        <v>4474</v>
      </c>
      <c r="E145" s="127" t="s">
        <v>28</v>
      </c>
      <c r="F145" s="128" t="s">
        <v>1136</v>
      </c>
      <c r="G145" s="128" t="s">
        <v>4300</v>
      </c>
      <c r="H145" s="125"/>
      <c r="I145" s="125"/>
      <c r="J145" s="125"/>
      <c r="K145" s="128"/>
      <c r="L145" s="271" t="s">
        <v>1139</v>
      </c>
      <c r="M145" s="125" t="s">
        <v>326</v>
      </c>
      <c r="N145" s="181" t="s">
        <v>24</v>
      </c>
      <c r="O145" s="194" t="str">
        <f>HYPERLINK("https://leetcode.com/problems/longest-increasing-subsequence/","https://leetcode.com/problems/longest-increasing-subsequence/")</f>
        <v>https://leetcode.com/problems/longest-increasing-subsequence/</v>
      </c>
    </row>
    <row r="146" spans="1:15" ht="31.5" customHeight="1" x14ac:dyDescent="0.2">
      <c r="A146" s="7">
        <v>141</v>
      </c>
      <c r="B146" s="7">
        <v>301</v>
      </c>
      <c r="C146" s="13" t="s">
        <v>1141</v>
      </c>
      <c r="D146" s="7" t="s">
        <v>4497</v>
      </c>
      <c r="E146" s="20" t="s">
        <v>42</v>
      </c>
      <c r="F146" s="3" t="s">
        <v>1142</v>
      </c>
      <c r="G146" s="3"/>
      <c r="H146" s="7"/>
      <c r="I146" s="7"/>
      <c r="J146" s="7"/>
      <c r="K146" s="3"/>
      <c r="L146" s="228" t="s">
        <v>4239</v>
      </c>
      <c r="M146" s="7" t="s">
        <v>303</v>
      </c>
      <c r="N146" s="176" t="s">
        <v>304</v>
      </c>
      <c r="O146" s="191" t="str">
        <f>HYPERLINK("https://leetcode.com/problems/remove-invalid-parentheses/","https://leetcode.com/problems/remove-invalid-parentheses/")</f>
        <v>https://leetcode.com/problems/remove-invalid-parentheses/</v>
      </c>
    </row>
    <row r="147" spans="1:15" ht="31.5" customHeight="1" x14ac:dyDescent="0.2">
      <c r="A147" s="125">
        <v>142</v>
      </c>
      <c r="B147" s="125">
        <v>303</v>
      </c>
      <c r="C147" s="126" t="s">
        <v>1146</v>
      </c>
      <c r="D147" s="125" t="s">
        <v>4837</v>
      </c>
      <c r="E147" s="130" t="s">
        <v>20</v>
      </c>
      <c r="F147" s="128" t="s">
        <v>1009</v>
      </c>
      <c r="G147" s="128" t="s">
        <v>4316</v>
      </c>
      <c r="H147" s="125"/>
      <c r="I147" s="125"/>
      <c r="J147" s="125"/>
      <c r="K147" s="128"/>
      <c r="L147" s="271" t="s">
        <v>654</v>
      </c>
      <c r="M147" s="125" t="s">
        <v>1147</v>
      </c>
      <c r="N147" s="181" t="s">
        <v>24</v>
      </c>
      <c r="O147" s="194" t="str">
        <f>HYPERLINK("https://leetcode.com/problems/range-sum-query-immutable/","https://leetcode.com/problems/range-sum-query-immutable/")</f>
        <v>https://leetcode.com/problems/range-sum-query-immutable/</v>
      </c>
    </row>
    <row r="148" spans="1:15" ht="31.5" customHeight="1" x14ac:dyDescent="0.2">
      <c r="A148" s="7">
        <v>143</v>
      </c>
      <c r="B148" s="7">
        <v>314</v>
      </c>
      <c r="C148" s="13" t="s">
        <v>1184</v>
      </c>
      <c r="D148" s="7" t="s">
        <v>4757</v>
      </c>
      <c r="E148" s="18" t="s">
        <v>28</v>
      </c>
      <c r="F148" s="3" t="s">
        <v>1185</v>
      </c>
      <c r="G148" s="3" t="s">
        <v>4758</v>
      </c>
      <c r="H148" s="7"/>
      <c r="I148" s="7"/>
      <c r="J148" s="7"/>
      <c r="K148" s="3"/>
      <c r="L148" s="228" t="s">
        <v>571</v>
      </c>
      <c r="M148" s="7" t="s">
        <v>326</v>
      </c>
      <c r="N148" s="176" t="s">
        <v>24</v>
      </c>
      <c r="O148" s="191" t="str">
        <f>HYPERLINK("https://leetcode.com/problems/binary-tree-vertical-order-traversal/","https://leetcode.com/problems/binary-tree-vertical-order-traversal/")</f>
        <v>https://leetcode.com/problems/binary-tree-vertical-order-traversal/</v>
      </c>
    </row>
    <row r="149" spans="1:15" ht="31.5" customHeight="1" x14ac:dyDescent="0.2">
      <c r="A149" s="125">
        <v>144</v>
      </c>
      <c r="B149" s="125">
        <v>322</v>
      </c>
      <c r="C149" s="126" t="s">
        <v>1205</v>
      </c>
      <c r="D149" s="125" t="s">
        <v>4433</v>
      </c>
      <c r="E149" s="127" t="s">
        <v>28</v>
      </c>
      <c r="F149" s="128" t="s">
        <v>1206</v>
      </c>
      <c r="G149" s="128" t="s">
        <v>4302</v>
      </c>
      <c r="H149" s="125"/>
      <c r="I149" s="125"/>
      <c r="J149" s="125"/>
      <c r="K149" s="128"/>
      <c r="L149" s="271" t="s">
        <v>1208</v>
      </c>
      <c r="M149" s="125" t="s">
        <v>1209</v>
      </c>
      <c r="N149" s="181" t="s">
        <v>1210</v>
      </c>
      <c r="O149" s="194" t="str">
        <f>HYPERLINK("https://leetcode.com/problems/coin-change/","https://leetcode.com/problems/coin-change/")</f>
        <v>https://leetcode.com/problems/coin-change/</v>
      </c>
    </row>
    <row r="150" spans="1:15" ht="31.5" customHeight="1" x14ac:dyDescent="0.2">
      <c r="A150" s="7">
        <v>145</v>
      </c>
      <c r="B150" s="7">
        <v>329</v>
      </c>
      <c r="C150" s="13" t="s">
        <v>1226</v>
      </c>
      <c r="D150" s="7" t="s">
        <v>4625</v>
      </c>
      <c r="E150" s="20" t="s">
        <v>42</v>
      </c>
      <c r="F150" s="3" t="s">
        <v>1227</v>
      </c>
      <c r="G150" s="3" t="s">
        <v>4304</v>
      </c>
      <c r="H150" s="7"/>
      <c r="I150" s="7"/>
      <c r="J150" s="7"/>
      <c r="K150" s="3"/>
      <c r="L150" s="228" t="s">
        <v>508</v>
      </c>
      <c r="M150" s="7" t="s">
        <v>81</v>
      </c>
      <c r="N150" s="176" t="s">
        <v>81</v>
      </c>
      <c r="O150" s="191" t="str">
        <f>HYPERLINK("https://leetcode.com/problems/longest-increasing-path-in-a-matrix/","https://leetcode.com/problems/longest-increasing-path-in-a-matrix/")</f>
        <v>https://leetcode.com/problems/longest-increasing-path-in-a-matrix/</v>
      </c>
    </row>
    <row r="151" spans="1:15" ht="31.5" customHeight="1" x14ac:dyDescent="0.2">
      <c r="A151" s="125">
        <v>146</v>
      </c>
      <c r="B151" s="125">
        <v>334</v>
      </c>
      <c r="C151" s="126" t="s">
        <v>1235</v>
      </c>
      <c r="D151" s="125" t="s">
        <v>4866</v>
      </c>
      <c r="E151" s="127" t="s">
        <v>28</v>
      </c>
      <c r="F151" s="128" t="s">
        <v>318</v>
      </c>
      <c r="G151" s="128" t="s">
        <v>3091</v>
      </c>
      <c r="H151" s="125"/>
      <c r="I151" s="125"/>
      <c r="J151" s="125"/>
      <c r="K151" s="128"/>
      <c r="L151" s="271" t="s">
        <v>654</v>
      </c>
      <c r="M151" s="125" t="s">
        <v>24</v>
      </c>
      <c r="N151" s="181" t="s">
        <v>1100</v>
      </c>
      <c r="O151" s="194" t="str">
        <f>HYPERLINK("https://leetcode.com/problems/increasing-triplet-subsequence/","https://leetcode.com/problems/increasing-triplet-subsequence/")</f>
        <v>https://leetcode.com/problems/increasing-triplet-subsequence/</v>
      </c>
    </row>
    <row r="152" spans="1:15" ht="31.5" customHeight="1" x14ac:dyDescent="0.2">
      <c r="A152" s="7">
        <v>147</v>
      </c>
      <c r="B152" s="7">
        <v>339</v>
      </c>
      <c r="C152" s="13" t="s">
        <v>1250</v>
      </c>
      <c r="D152" s="7" t="s">
        <v>4760</v>
      </c>
      <c r="E152" s="18" t="s">
        <v>28</v>
      </c>
      <c r="F152" s="3" t="s">
        <v>500</v>
      </c>
      <c r="G152" s="3" t="s">
        <v>4256</v>
      </c>
      <c r="H152" s="7"/>
      <c r="I152" s="7"/>
      <c r="J152" s="7"/>
      <c r="K152" s="3"/>
      <c r="L152" s="228" t="s">
        <v>571</v>
      </c>
      <c r="M152" s="7" t="s">
        <v>24</v>
      </c>
      <c r="N152" s="176" t="s">
        <v>24</v>
      </c>
      <c r="O152" s="191" t="str">
        <f>HYPERLINK("https://leetcode.com/problems/nested-list-weight-sum/","https://leetcode.com/problems/nested-list-weight-sum/")</f>
        <v>https://leetcode.com/problems/nested-list-weight-sum/</v>
      </c>
    </row>
    <row r="153" spans="1:15" ht="31.5" customHeight="1" x14ac:dyDescent="0.2">
      <c r="A153" s="125">
        <v>148</v>
      </c>
      <c r="B153" s="125">
        <v>344</v>
      </c>
      <c r="C153" s="126" t="s">
        <v>1262</v>
      </c>
      <c r="D153" s="125" t="s">
        <v>4628</v>
      </c>
      <c r="E153" s="130" t="s">
        <v>20</v>
      </c>
      <c r="F153" s="128" t="s">
        <v>611</v>
      </c>
      <c r="G153" s="128" t="s">
        <v>689</v>
      </c>
      <c r="H153" s="125"/>
      <c r="I153" s="125"/>
      <c r="J153" s="125"/>
      <c r="K153" s="128"/>
      <c r="L153" s="271" t="s">
        <v>690</v>
      </c>
      <c r="M153" s="125" t="s">
        <v>24</v>
      </c>
      <c r="N153" s="181" t="s">
        <v>1096</v>
      </c>
      <c r="O153" s="194" t="str">
        <f>HYPERLINK("https://leetcode.com/problems/reverse-string/","https://leetcode.com/problems/reverse-string/")</f>
        <v>https://leetcode.com/problems/reverse-string/</v>
      </c>
    </row>
    <row r="154" spans="1:15" ht="31.5" customHeight="1" x14ac:dyDescent="0.2">
      <c r="A154" s="7">
        <v>149</v>
      </c>
      <c r="B154" s="7">
        <v>345</v>
      </c>
      <c r="C154" s="13" t="s">
        <v>1264</v>
      </c>
      <c r="D154" s="7" t="s">
        <v>4523</v>
      </c>
      <c r="E154" s="21" t="s">
        <v>20</v>
      </c>
      <c r="F154" s="3" t="s">
        <v>611</v>
      </c>
      <c r="G154" s="3" t="s">
        <v>689</v>
      </c>
      <c r="H154" s="7"/>
      <c r="I154" s="7"/>
      <c r="J154" s="7"/>
      <c r="K154" s="3"/>
      <c r="L154" s="228" t="s">
        <v>690</v>
      </c>
      <c r="M154" s="7" t="s">
        <v>24</v>
      </c>
      <c r="N154" s="176" t="s">
        <v>1096</v>
      </c>
      <c r="O154" s="191" t="str">
        <f>HYPERLINK("https://leetcode.com/problems/reverse-vowels-of-a-string/","https://leetcode.com/problems/reverse-vowels-of-a-string/")</f>
        <v>https://leetcode.com/problems/reverse-vowels-of-a-string/</v>
      </c>
    </row>
    <row r="155" spans="1:15" ht="31.5" customHeight="1" x14ac:dyDescent="0.2">
      <c r="A155" s="125">
        <v>150</v>
      </c>
      <c r="B155" s="125">
        <v>346</v>
      </c>
      <c r="C155" s="126" t="s">
        <v>1266</v>
      </c>
      <c r="D155" s="125" t="s">
        <v>4763</v>
      </c>
      <c r="E155" s="130" t="s">
        <v>20</v>
      </c>
      <c r="F155" s="128" t="s">
        <v>4764</v>
      </c>
      <c r="G155" s="128" t="s">
        <v>4634</v>
      </c>
      <c r="H155" s="125"/>
      <c r="I155" s="125"/>
      <c r="J155" s="125"/>
      <c r="K155" s="128"/>
      <c r="L155" s="271" t="s">
        <v>919</v>
      </c>
      <c r="M155" s="125" t="s">
        <v>47</v>
      </c>
      <c r="N155" s="181" t="s">
        <v>153</v>
      </c>
      <c r="O155" s="194" t="str">
        <f>HYPERLINK("https://leetcode.com/problems/moving-average-from-data-stream/","https://leetcode.com/problems/moving-average-from-data-stream/")</f>
        <v>https://leetcode.com/problems/moving-average-from-data-stream/</v>
      </c>
    </row>
    <row r="156" spans="1:15" ht="31.5" customHeight="1" x14ac:dyDescent="0.2">
      <c r="A156" s="7">
        <v>151</v>
      </c>
      <c r="B156" s="7">
        <v>347</v>
      </c>
      <c r="C156" s="13" t="s">
        <v>1269</v>
      </c>
      <c r="D156" s="7" t="s">
        <v>4629</v>
      </c>
      <c r="E156" s="18" t="s">
        <v>28</v>
      </c>
      <c r="F156" s="3" t="s">
        <v>1270</v>
      </c>
      <c r="G156" s="3" t="s">
        <v>4280</v>
      </c>
      <c r="H156" s="7"/>
      <c r="I156" s="7"/>
      <c r="J156" s="7"/>
      <c r="K156" s="3"/>
      <c r="L156" s="228" t="s">
        <v>1273</v>
      </c>
      <c r="M156" s="7" t="s">
        <v>24</v>
      </c>
      <c r="N156" s="176" t="s">
        <v>24</v>
      </c>
      <c r="O156" s="191" t="str">
        <f>HYPERLINK("https://leetcode.com/problems/top-k-frequent-elements/","https://leetcode.com/problems/top-k-frequent-elements/")</f>
        <v>https://leetcode.com/problems/top-k-frequent-elements/</v>
      </c>
    </row>
    <row r="157" spans="1:15" ht="31.5" customHeight="1" x14ac:dyDescent="0.2">
      <c r="A157" s="125">
        <v>152</v>
      </c>
      <c r="B157" s="125">
        <v>348</v>
      </c>
      <c r="C157" s="126" t="s">
        <v>1275</v>
      </c>
      <c r="D157" s="125" t="s">
        <v>4512</v>
      </c>
      <c r="E157" s="127" t="s">
        <v>28</v>
      </c>
      <c r="F157" s="128" t="s">
        <v>4765</v>
      </c>
      <c r="G157" s="128" t="s">
        <v>2570</v>
      </c>
      <c r="H157" s="125"/>
      <c r="I157" s="125"/>
      <c r="J157" s="125"/>
      <c r="K157" s="128"/>
      <c r="L157" s="271" t="s">
        <v>705</v>
      </c>
      <c r="M157" s="125" t="s">
        <v>1277</v>
      </c>
      <c r="N157" s="181" t="s">
        <v>24</v>
      </c>
      <c r="O157" s="194" t="str">
        <f>HYPERLINK("https://leetcode.com/problems/design-tic-tac-toe/","https://leetcode.com/problems/design-tic-tac-toe/")</f>
        <v>https://leetcode.com/problems/design-tic-tac-toe/</v>
      </c>
    </row>
    <row r="158" spans="1:15" ht="31.5" customHeight="1" x14ac:dyDescent="0.2">
      <c r="A158" s="7">
        <v>153</v>
      </c>
      <c r="B158" s="7">
        <v>349</v>
      </c>
      <c r="C158" s="13" t="s">
        <v>1279</v>
      </c>
      <c r="D158" s="7" t="s">
        <v>4630</v>
      </c>
      <c r="E158" s="21" t="s">
        <v>20</v>
      </c>
      <c r="F158" s="3" t="s">
        <v>4631</v>
      </c>
      <c r="G158" s="3" t="s">
        <v>4244</v>
      </c>
      <c r="H158" s="7"/>
      <c r="I158" s="7"/>
      <c r="J158" s="7"/>
      <c r="K158" s="3"/>
      <c r="L158" s="228" t="s">
        <v>690</v>
      </c>
      <c r="M158" s="7" t="s">
        <v>259</v>
      </c>
      <c r="N158" s="176" t="s">
        <v>1280</v>
      </c>
      <c r="O158" s="191" t="str">
        <f>HYPERLINK("https://leetcode.com/problems/intersection-of-two-arrays/","https://leetcode.com/problems/intersection-of-two-arrays/")</f>
        <v>https://leetcode.com/problems/intersection-of-two-arrays/</v>
      </c>
    </row>
    <row r="159" spans="1:15" ht="31.5" customHeight="1" x14ac:dyDescent="0.2">
      <c r="A159" s="125">
        <v>154</v>
      </c>
      <c r="B159" s="125">
        <v>378</v>
      </c>
      <c r="C159" s="126" t="s">
        <v>1329</v>
      </c>
      <c r="D159" s="125" t="s">
        <v>4770</v>
      </c>
      <c r="E159" s="127" t="s">
        <v>28</v>
      </c>
      <c r="F159" s="128" t="s">
        <v>1330</v>
      </c>
      <c r="G159" s="128" t="s">
        <v>4771</v>
      </c>
      <c r="H159" s="125"/>
      <c r="I159" s="125"/>
      <c r="J159" s="125"/>
      <c r="K159" s="128"/>
      <c r="L159" s="271" t="s">
        <v>513</v>
      </c>
      <c r="M159" s="125" t="s">
        <v>65</v>
      </c>
      <c r="N159" s="181" t="s">
        <v>47</v>
      </c>
      <c r="O159" s="194" t="str">
        <f>HYPERLINK("https://leetcode.com/problems/kth-smallest-element-in-a-sorted-matrix/","https://leetcode.com/problems/kth-smallest-element-in-a-sorted-matrix/")</f>
        <v>https://leetcode.com/problems/kth-smallest-element-in-a-sorted-matrix/</v>
      </c>
    </row>
    <row r="160" spans="1:15" ht="31.5" customHeight="1" x14ac:dyDescent="0.2">
      <c r="A160" s="7">
        <v>155</v>
      </c>
      <c r="B160" s="7">
        <v>408</v>
      </c>
      <c r="C160" s="13" t="s">
        <v>1392</v>
      </c>
      <c r="D160" s="7" t="s">
        <v>4867</v>
      </c>
      <c r="E160" s="21" t="s">
        <v>20</v>
      </c>
      <c r="F160" s="3" t="s">
        <v>98</v>
      </c>
      <c r="G160" s="3" t="s">
        <v>98</v>
      </c>
      <c r="H160" s="7"/>
      <c r="I160" s="7"/>
      <c r="J160" s="7"/>
      <c r="K160" s="3"/>
      <c r="L160" s="228" t="s">
        <v>750</v>
      </c>
      <c r="M160" s="7" t="s">
        <v>24</v>
      </c>
      <c r="N160" s="176" t="s">
        <v>24</v>
      </c>
      <c r="O160" s="191" t="str">
        <f>HYPERLINK("https://leetcode.com/problems/valid-word-abbreviation/","https://leetcode.com/problems/valid-word-abbreviation/")</f>
        <v>https://leetcode.com/problems/valid-word-abbreviation/</v>
      </c>
    </row>
    <row r="161" spans="1:15" ht="31.5" customHeight="1" x14ac:dyDescent="0.2">
      <c r="A161" s="125">
        <v>156</v>
      </c>
      <c r="B161" s="125">
        <v>410</v>
      </c>
      <c r="C161" s="126" t="s">
        <v>1397</v>
      </c>
      <c r="D161" s="125" t="s">
        <v>4652</v>
      </c>
      <c r="E161" s="129" t="s">
        <v>42</v>
      </c>
      <c r="F161" s="128" t="s">
        <v>1136</v>
      </c>
      <c r="G161" s="128" t="s">
        <v>4653</v>
      </c>
      <c r="H161" s="125"/>
      <c r="I161" s="125"/>
      <c r="J161" s="125"/>
      <c r="K161" s="128"/>
      <c r="L161" s="271" t="s">
        <v>513</v>
      </c>
      <c r="M161" s="125" t="s">
        <v>65</v>
      </c>
      <c r="N161" s="181" t="s">
        <v>47</v>
      </c>
      <c r="O161" s="194" t="str">
        <f>HYPERLINK("https://leetcode.com/problems/split-array-largest-sum/","https://leetcode.com/problems/split-array-largest-sum/")</f>
        <v>https://leetcode.com/problems/split-array-largest-sum/</v>
      </c>
    </row>
    <row r="162" spans="1:15" ht="31.5" customHeight="1" x14ac:dyDescent="0.2">
      <c r="A162" s="7">
        <v>157</v>
      </c>
      <c r="B162" s="7">
        <v>415</v>
      </c>
      <c r="C162" s="13" t="s">
        <v>1404</v>
      </c>
      <c r="D162" s="7" t="s">
        <v>4654</v>
      </c>
      <c r="E162" s="21" t="s">
        <v>20</v>
      </c>
      <c r="F162" s="3" t="s">
        <v>56</v>
      </c>
      <c r="G162" s="3" t="s">
        <v>4655</v>
      </c>
      <c r="H162" s="7"/>
      <c r="I162" s="7"/>
      <c r="J162" s="7"/>
      <c r="K162" s="3"/>
      <c r="L162" s="228" t="s">
        <v>230</v>
      </c>
      <c r="M162" s="7" t="s">
        <v>24</v>
      </c>
      <c r="N162" s="176" t="s">
        <v>24</v>
      </c>
      <c r="O162" s="191" t="str">
        <f>HYPERLINK("https://leetcode.com/problems/add-strings/","https://leetcode.com/problems/add-strings/")</f>
        <v>https://leetcode.com/problems/add-strings/</v>
      </c>
    </row>
    <row r="163" spans="1:15" ht="31.5" customHeight="1" x14ac:dyDescent="0.2">
      <c r="A163" s="125">
        <v>158</v>
      </c>
      <c r="B163" s="125">
        <v>416</v>
      </c>
      <c r="C163" s="126" t="s">
        <v>1406</v>
      </c>
      <c r="D163" s="125" t="s">
        <v>4656</v>
      </c>
      <c r="E163" s="127" t="s">
        <v>28</v>
      </c>
      <c r="F163" s="128" t="s">
        <v>309</v>
      </c>
      <c r="G163" s="128" t="s">
        <v>4657</v>
      </c>
      <c r="H163" s="125"/>
      <c r="I163" s="125"/>
      <c r="J163" s="125"/>
      <c r="K163" s="128"/>
      <c r="L163" s="271" t="s">
        <v>508</v>
      </c>
      <c r="M163" s="125" t="s">
        <v>1408</v>
      </c>
      <c r="N163" s="181" t="s">
        <v>1409</v>
      </c>
      <c r="O163" s="194" t="str">
        <f>HYPERLINK("https://leetcode.com/problems/partition-equal-subset-sum/","https://leetcode.com/problems/partition-equal-subset-sum/")</f>
        <v>https://leetcode.com/problems/partition-equal-subset-sum/</v>
      </c>
    </row>
    <row r="164" spans="1:15" ht="31.5" customHeight="1" x14ac:dyDescent="0.2">
      <c r="A164" s="7">
        <v>159</v>
      </c>
      <c r="B164" s="7">
        <v>419</v>
      </c>
      <c r="C164" s="13" t="s">
        <v>1414</v>
      </c>
      <c r="D164" s="7" t="s">
        <v>4868</v>
      </c>
      <c r="E164" s="18" t="s">
        <v>28</v>
      </c>
      <c r="F164" s="3" t="s">
        <v>283</v>
      </c>
      <c r="G164" s="3" t="s">
        <v>4779</v>
      </c>
      <c r="H164" s="7"/>
      <c r="I164" s="7"/>
      <c r="J164" s="7"/>
      <c r="K164" s="3"/>
      <c r="L164" s="228" t="s">
        <v>654</v>
      </c>
      <c r="M164" s="7" t="s">
        <v>81</v>
      </c>
      <c r="N164" s="176" t="s">
        <v>81</v>
      </c>
      <c r="O164" s="191" t="str">
        <f>HYPERLINK("https://leetcode.com/problems/battleships-in-a-board/","https://leetcode.com/problems/battleships-in-a-board/")</f>
        <v>https://leetcode.com/problems/battleships-in-a-board/</v>
      </c>
    </row>
    <row r="165" spans="1:15" ht="31.5" customHeight="1" x14ac:dyDescent="0.2">
      <c r="A165" s="125">
        <v>160</v>
      </c>
      <c r="B165" s="125">
        <v>424</v>
      </c>
      <c r="C165" s="126" t="s">
        <v>1416</v>
      </c>
      <c r="D165" s="125" t="s">
        <v>4521</v>
      </c>
      <c r="E165" s="127" t="s">
        <v>28</v>
      </c>
      <c r="F165" s="128" t="s">
        <v>427</v>
      </c>
      <c r="G165" s="128" t="s">
        <v>917</v>
      </c>
      <c r="H165" s="125"/>
      <c r="I165" s="125"/>
      <c r="J165" s="125"/>
      <c r="K165" s="128"/>
      <c r="L165" s="271" t="s">
        <v>1418</v>
      </c>
      <c r="M165" s="125" t="s">
        <v>24</v>
      </c>
      <c r="N165" s="181" t="s">
        <v>1096</v>
      </c>
      <c r="O165" s="194" t="str">
        <f>HYPERLINK("https://leetcode.com/problems/longest-repeating-character-replacement/","https://leetcode.com/problems/longest-repeating-character-replacement/")</f>
        <v>https://leetcode.com/problems/longest-repeating-character-replacement/</v>
      </c>
    </row>
    <row r="166" spans="1:15" ht="31.5" customHeight="1" x14ac:dyDescent="0.2">
      <c r="A166" s="7">
        <v>161</v>
      </c>
      <c r="B166" s="7">
        <v>426</v>
      </c>
      <c r="C166" s="13" t="s">
        <v>1420</v>
      </c>
      <c r="D166" s="7" t="s">
        <v>4825</v>
      </c>
      <c r="E166" s="18" t="s">
        <v>28</v>
      </c>
      <c r="F166" s="3" t="s">
        <v>4869</v>
      </c>
      <c r="G166" s="3" t="s">
        <v>4736</v>
      </c>
      <c r="H166" s="7"/>
      <c r="I166" s="7"/>
      <c r="J166" s="7"/>
      <c r="K166" s="3"/>
      <c r="L166" s="228" t="s">
        <v>513</v>
      </c>
      <c r="M166" s="7" t="s">
        <v>65</v>
      </c>
      <c r="N166" s="176" t="s">
        <v>47</v>
      </c>
      <c r="O166" s="191" t="str">
        <f>HYPERLINK("https://leetcode.com/problems/convert-binary-search-tree-to-sorted-doubly-linked-list/","https://leetcode.com/problems/convert-binary-search-tree-to-sorted-doubly-linked-list/")</f>
        <v>https://leetcode.com/problems/convert-binary-search-tree-to-sorted-doubly-linked-list/</v>
      </c>
    </row>
    <row r="167" spans="1:15" ht="31.5" customHeight="1" x14ac:dyDescent="0.2">
      <c r="A167" s="125">
        <v>162</v>
      </c>
      <c r="B167" s="125">
        <v>435</v>
      </c>
      <c r="C167" s="126" t="s">
        <v>1430</v>
      </c>
      <c r="D167" s="125" t="s">
        <v>4659</v>
      </c>
      <c r="E167" s="127" t="s">
        <v>28</v>
      </c>
      <c r="F167" s="128" t="s">
        <v>1431</v>
      </c>
      <c r="G167" s="128" t="s">
        <v>4315</v>
      </c>
      <c r="H167" s="125"/>
      <c r="I167" s="125"/>
      <c r="J167" s="125"/>
      <c r="K167" s="128"/>
      <c r="L167" s="271" t="s">
        <v>654</v>
      </c>
      <c r="M167" s="125" t="s">
        <v>326</v>
      </c>
      <c r="N167" s="181" t="s">
        <v>47</v>
      </c>
      <c r="O167" s="194" t="str">
        <f>HYPERLINK("https://leetcode.com/problems/non-overlapping-intervals/","https://leetcode.com/problems/non-overlapping-intervals/")</f>
        <v>https://leetcode.com/problems/non-overlapping-intervals/</v>
      </c>
    </row>
    <row r="168" spans="1:15" ht="31.5" customHeight="1" x14ac:dyDescent="0.2">
      <c r="A168" s="7">
        <v>163</v>
      </c>
      <c r="B168" s="7">
        <v>438</v>
      </c>
      <c r="C168" s="13" t="s">
        <v>1441</v>
      </c>
      <c r="D168" s="7" t="s">
        <v>4538</v>
      </c>
      <c r="E168" s="18" t="s">
        <v>28</v>
      </c>
      <c r="F168" s="3" t="s">
        <v>427</v>
      </c>
      <c r="G168" s="3" t="s">
        <v>917</v>
      </c>
      <c r="H168" s="7"/>
      <c r="I168" s="7"/>
      <c r="J168" s="7"/>
      <c r="K168" s="3"/>
      <c r="L168" s="228" t="s">
        <v>1443</v>
      </c>
      <c r="M168" s="7" t="s">
        <v>24</v>
      </c>
      <c r="N168" s="176" t="s">
        <v>47</v>
      </c>
      <c r="O168" s="191" t="str">
        <f>HYPERLINK("https://leetcode.com/problems/find-all-anagrams-in-a-string/","https://leetcode.com/problems/find-all-anagrams-in-a-string/")</f>
        <v>https://leetcode.com/problems/find-all-anagrams-in-a-string/</v>
      </c>
    </row>
    <row r="169" spans="1:15" ht="31.5" customHeight="1" x14ac:dyDescent="0.2">
      <c r="A169" s="125">
        <v>164</v>
      </c>
      <c r="B169" s="125">
        <v>443</v>
      </c>
      <c r="C169" s="126" t="s">
        <v>1451</v>
      </c>
      <c r="D169" s="125" t="s">
        <v>4535</v>
      </c>
      <c r="E169" s="127" t="s">
        <v>28</v>
      </c>
      <c r="F169" s="128" t="s">
        <v>611</v>
      </c>
      <c r="G169" s="128" t="s">
        <v>689</v>
      </c>
      <c r="H169" s="125"/>
      <c r="I169" s="125"/>
      <c r="J169" s="125"/>
      <c r="K169" s="128"/>
      <c r="L169" s="271" t="s">
        <v>690</v>
      </c>
      <c r="M169" s="125" t="s">
        <v>24</v>
      </c>
      <c r="N169" s="181" t="s">
        <v>1096</v>
      </c>
      <c r="O169" s="194" t="str">
        <f>HYPERLINK("https://leetcode.com/problems/string-compression/","https://leetcode.com/problems/string-compression/")</f>
        <v>https://leetcode.com/problems/string-compression/</v>
      </c>
    </row>
    <row r="170" spans="1:15" ht="31.5" customHeight="1" x14ac:dyDescent="0.2">
      <c r="A170" s="7">
        <v>165</v>
      </c>
      <c r="B170" s="7">
        <v>480</v>
      </c>
      <c r="C170" s="13" t="s">
        <v>1501</v>
      </c>
      <c r="D170" s="7" t="s">
        <v>4434</v>
      </c>
      <c r="E170" s="20" t="s">
        <v>42</v>
      </c>
      <c r="F170" s="3" t="s">
        <v>1502</v>
      </c>
      <c r="G170" s="3" t="s">
        <v>4664</v>
      </c>
      <c r="H170" s="7"/>
      <c r="I170" s="7"/>
      <c r="J170" s="7"/>
      <c r="K170" s="3"/>
      <c r="L170" s="228" t="s">
        <v>919</v>
      </c>
      <c r="M170" s="7" t="s">
        <v>960</v>
      </c>
      <c r="N170" s="176" t="s">
        <v>153</v>
      </c>
      <c r="O170" s="191" t="str">
        <f>HYPERLINK("https://leetcode.com/problems/sliding-window-median/","https://leetcode.com/problems/sliding-window-median/")</f>
        <v>https://leetcode.com/problems/sliding-window-median/</v>
      </c>
    </row>
    <row r="171" spans="1:15" ht="31.5" customHeight="1" x14ac:dyDescent="0.2">
      <c r="A171" s="125">
        <v>166</v>
      </c>
      <c r="B171" s="125">
        <v>485</v>
      </c>
      <c r="C171" s="126" t="s">
        <v>1505</v>
      </c>
      <c r="D171" s="125" t="s">
        <v>4665</v>
      </c>
      <c r="E171" s="130" t="s">
        <v>20</v>
      </c>
      <c r="F171" s="128" t="s">
        <v>166</v>
      </c>
      <c r="G171" s="128" t="s">
        <v>166</v>
      </c>
      <c r="H171" s="125"/>
      <c r="I171" s="125"/>
      <c r="J171" s="125"/>
      <c r="K171" s="128"/>
      <c r="L171" s="271" t="s">
        <v>654</v>
      </c>
      <c r="M171" s="125" t="s">
        <v>24</v>
      </c>
      <c r="N171" s="181" t="s">
        <v>1100</v>
      </c>
      <c r="O171" s="194" t="str">
        <f>HYPERLINK("https://leetcode.com/problems/max-consecutive-ones/","https://leetcode.com/problems/max-consecutive-ones/")</f>
        <v>https://leetcode.com/problems/max-consecutive-ones/</v>
      </c>
    </row>
    <row r="172" spans="1:15" ht="31.5" customHeight="1" x14ac:dyDescent="0.2">
      <c r="A172" s="7">
        <v>167</v>
      </c>
      <c r="B172" s="7">
        <v>489</v>
      </c>
      <c r="C172" s="13" t="s">
        <v>1509</v>
      </c>
      <c r="D172" s="7" t="s">
        <v>4808</v>
      </c>
      <c r="E172" s="20" t="s">
        <v>42</v>
      </c>
      <c r="F172" s="3" t="s">
        <v>4870</v>
      </c>
      <c r="G172" s="3" t="s">
        <v>4268</v>
      </c>
      <c r="H172" s="7"/>
      <c r="I172" s="7"/>
      <c r="J172" s="7"/>
      <c r="K172" s="3"/>
      <c r="L172" s="228" t="s">
        <v>302</v>
      </c>
      <c r="M172" s="7" t="s">
        <v>648</v>
      </c>
      <c r="N172" s="176" t="s">
        <v>648</v>
      </c>
      <c r="O172" s="191" t="str">
        <f>HYPERLINK("https://leetcode.com/problems/robot-room-cleaner/","https://leetcode.com/problems/robot-room-cleaner/")</f>
        <v>https://leetcode.com/problems/robot-room-cleaner/</v>
      </c>
    </row>
    <row r="173" spans="1:15" ht="31.5" customHeight="1" x14ac:dyDescent="0.2">
      <c r="A173" s="125">
        <v>168</v>
      </c>
      <c r="B173" s="125">
        <v>493</v>
      </c>
      <c r="C173" s="126" t="s">
        <v>1514</v>
      </c>
      <c r="D173" s="125" t="s">
        <v>4666</v>
      </c>
      <c r="E173" s="129" t="s">
        <v>42</v>
      </c>
      <c r="F173" s="128" t="s">
        <v>1515</v>
      </c>
      <c r="G173" s="128" t="s">
        <v>4559</v>
      </c>
      <c r="H173" s="125"/>
      <c r="I173" s="125"/>
      <c r="J173" s="125"/>
      <c r="K173" s="128"/>
      <c r="L173" s="271" t="s">
        <v>1077</v>
      </c>
      <c r="M173" s="125" t="s">
        <v>326</v>
      </c>
      <c r="N173" s="181" t="s">
        <v>24</v>
      </c>
      <c r="O173" s="194" t="str">
        <f>HYPERLINK("https://leetcode.com/problems/reverse-pairs/","https://leetcode.com/problems/reverse-pairs/")</f>
        <v>https://leetcode.com/problems/reverse-pairs/</v>
      </c>
    </row>
    <row r="174" spans="1:15" ht="31.5" customHeight="1" x14ac:dyDescent="0.2">
      <c r="A174" s="7">
        <v>169</v>
      </c>
      <c r="B174" s="7">
        <v>496</v>
      </c>
      <c r="C174" s="13" t="s">
        <v>1522</v>
      </c>
      <c r="D174" s="7" t="s">
        <v>4667</v>
      </c>
      <c r="E174" s="21" t="s">
        <v>20</v>
      </c>
      <c r="F174" s="3" t="s">
        <v>466</v>
      </c>
      <c r="G174" s="3" t="s">
        <v>1473</v>
      </c>
      <c r="H174" s="7"/>
      <c r="I174" s="7"/>
      <c r="J174" s="7"/>
      <c r="K174" s="3"/>
      <c r="L174" s="228" t="s">
        <v>542</v>
      </c>
      <c r="M174" s="7" t="s">
        <v>24</v>
      </c>
      <c r="N174" s="176" t="s">
        <v>24</v>
      </c>
      <c r="O174" s="191" t="str">
        <f>HYPERLINK("https://leetcode.com/problems/next-greater-element-i/","https://leetcode.com/problems/next-greater-element-i/")</f>
        <v>https://leetcode.com/problems/next-greater-element-i/</v>
      </c>
    </row>
    <row r="175" spans="1:15" ht="31.5" customHeight="1" x14ac:dyDescent="0.2">
      <c r="A175" s="125">
        <v>170</v>
      </c>
      <c r="B175" s="125">
        <v>498</v>
      </c>
      <c r="C175" s="126" t="s">
        <v>1524</v>
      </c>
      <c r="D175" s="125" t="s">
        <v>4532</v>
      </c>
      <c r="E175" s="127" t="s">
        <v>28</v>
      </c>
      <c r="F175" s="128" t="s">
        <v>283</v>
      </c>
      <c r="G175" s="128"/>
      <c r="H175" s="125"/>
      <c r="I175" s="125"/>
      <c r="J175" s="125"/>
      <c r="K175" s="128"/>
      <c r="L175" s="271" t="s">
        <v>4239</v>
      </c>
      <c r="M175" s="125" t="s">
        <v>363</v>
      </c>
      <c r="N175" s="181" t="s">
        <v>47</v>
      </c>
      <c r="O175" s="194" t="str">
        <f>HYPERLINK("https://leetcode.com/problems/diagonal-traverse/","https://leetcode.com/problems/diagonal-traverse/")</f>
        <v>https://leetcode.com/problems/diagonal-traverse/</v>
      </c>
    </row>
    <row r="176" spans="1:15" ht="31.5" customHeight="1" x14ac:dyDescent="0.2">
      <c r="A176" s="7">
        <v>171</v>
      </c>
      <c r="B176" s="7">
        <v>518</v>
      </c>
      <c r="C176" s="13" t="s">
        <v>1555</v>
      </c>
      <c r="D176" s="7" t="s">
        <v>4669</v>
      </c>
      <c r="E176" s="18" t="s">
        <v>28</v>
      </c>
      <c r="F176" s="3" t="s">
        <v>309</v>
      </c>
      <c r="G176" s="3" t="s">
        <v>4670</v>
      </c>
      <c r="H176" s="7"/>
      <c r="I176" s="7"/>
      <c r="J176" s="7"/>
      <c r="K176" s="3"/>
      <c r="L176" s="228" t="s">
        <v>508</v>
      </c>
      <c r="M176" s="7" t="s">
        <v>1520</v>
      </c>
      <c r="N176" s="176" t="s">
        <v>1327</v>
      </c>
      <c r="O176" s="191" t="str">
        <f>HYPERLINK("https://leetcode.com/problems/coin-change-ii/","https://leetcode.com/problems/coin-change-ii/")</f>
        <v>https://leetcode.com/problems/coin-change-ii/</v>
      </c>
    </row>
    <row r="177" spans="1:15" ht="31.5" customHeight="1" x14ac:dyDescent="0.2">
      <c r="A177" s="125">
        <v>172</v>
      </c>
      <c r="B177" s="125">
        <v>523</v>
      </c>
      <c r="C177" s="126" t="s">
        <v>1558</v>
      </c>
      <c r="D177" s="125" t="s">
        <v>4781</v>
      </c>
      <c r="E177" s="127" t="s">
        <v>28</v>
      </c>
      <c r="F177" s="128" t="s">
        <v>1559</v>
      </c>
      <c r="G177" s="128" t="s">
        <v>4250</v>
      </c>
      <c r="H177" s="125"/>
      <c r="I177" s="125"/>
      <c r="J177" s="125"/>
      <c r="K177" s="128"/>
      <c r="L177" s="271" t="s">
        <v>705</v>
      </c>
      <c r="M177" s="125" t="s">
        <v>24</v>
      </c>
      <c r="N177" s="181" t="s">
        <v>24</v>
      </c>
      <c r="O177" s="194" t="str">
        <f>HYPERLINK("https://leetcode.com/problems/continuous-subarray-sum/","https://leetcode.com/problems/continuous-subarray-sum/")</f>
        <v>https://leetcode.com/problems/continuous-subarray-sum/</v>
      </c>
    </row>
    <row r="178" spans="1:15" ht="31.5" customHeight="1" x14ac:dyDescent="0.2">
      <c r="A178" s="7">
        <v>173</v>
      </c>
      <c r="B178" s="7">
        <v>525</v>
      </c>
      <c r="C178" s="13" t="s">
        <v>1561</v>
      </c>
      <c r="D178" s="7" t="s">
        <v>4577</v>
      </c>
      <c r="E178" s="18" t="s">
        <v>28</v>
      </c>
      <c r="F178" s="3" t="s">
        <v>1559</v>
      </c>
      <c r="G178" s="3" t="s">
        <v>4250</v>
      </c>
      <c r="H178" s="7"/>
      <c r="I178" s="7"/>
      <c r="J178" s="7"/>
      <c r="K178" s="3"/>
      <c r="L178" s="228" t="s">
        <v>705</v>
      </c>
      <c r="M178" s="7" t="s">
        <v>24</v>
      </c>
      <c r="N178" s="176" t="s">
        <v>24</v>
      </c>
      <c r="O178" s="191" t="str">
        <f>HYPERLINK("https://leetcode.com/problems/contiguous-array/","https://leetcode.com/problems/contiguous-array/")</f>
        <v>https://leetcode.com/problems/contiguous-array/</v>
      </c>
    </row>
    <row r="179" spans="1:15" ht="31.5" customHeight="1" x14ac:dyDescent="0.2">
      <c r="A179" s="125">
        <v>174</v>
      </c>
      <c r="B179" s="125">
        <v>528</v>
      </c>
      <c r="C179" s="126" t="s">
        <v>1563</v>
      </c>
      <c r="D179" s="125" t="s">
        <v>4671</v>
      </c>
      <c r="E179" s="127" t="s">
        <v>28</v>
      </c>
      <c r="F179" s="128" t="s">
        <v>1564</v>
      </c>
      <c r="G179" s="128" t="s">
        <v>4672</v>
      </c>
      <c r="H179" s="125"/>
      <c r="I179" s="125"/>
      <c r="J179" s="125"/>
      <c r="K179" s="128"/>
      <c r="L179" s="271" t="s">
        <v>513</v>
      </c>
      <c r="M179" s="125" t="s">
        <v>65</v>
      </c>
      <c r="N179" s="181" t="s">
        <v>47</v>
      </c>
      <c r="O179" s="194" t="str">
        <f>HYPERLINK("https://leetcode.com/problems/random-pick-with-weight/","https://leetcode.com/problems/random-pick-with-weight/")</f>
        <v>https://leetcode.com/problems/random-pick-with-weight/</v>
      </c>
    </row>
    <row r="180" spans="1:15" ht="31.5" customHeight="1" x14ac:dyDescent="0.2">
      <c r="A180" s="7">
        <v>175</v>
      </c>
      <c r="B180" s="7">
        <v>529</v>
      </c>
      <c r="C180" s="13" t="s">
        <v>1566</v>
      </c>
      <c r="D180" s="7" t="s">
        <v>4693</v>
      </c>
      <c r="E180" s="18" t="s">
        <v>28</v>
      </c>
      <c r="F180" s="3" t="s">
        <v>1106</v>
      </c>
      <c r="G180" s="3"/>
      <c r="H180" s="7"/>
      <c r="I180" s="7"/>
      <c r="J180" s="7"/>
      <c r="K180" s="3"/>
      <c r="L180" s="228" t="s">
        <v>4239</v>
      </c>
      <c r="M180" s="7" t="s">
        <v>363</v>
      </c>
      <c r="N180" s="176" t="s">
        <v>363</v>
      </c>
      <c r="O180" s="191" t="str">
        <f>HYPERLINK("https://leetcode.com/problems/minesweeper/","https://leetcode.com/problems/minesweeper/")</f>
        <v>https://leetcode.com/problems/minesweeper/</v>
      </c>
    </row>
    <row r="181" spans="1:15" ht="31.5" customHeight="1" x14ac:dyDescent="0.2">
      <c r="A181" s="125">
        <v>176</v>
      </c>
      <c r="B181" s="125">
        <v>540</v>
      </c>
      <c r="C181" s="126" t="s">
        <v>1577</v>
      </c>
      <c r="D181" s="125" t="s">
        <v>4673</v>
      </c>
      <c r="E181" s="127" t="s">
        <v>28</v>
      </c>
      <c r="F181" s="128" t="s">
        <v>41</v>
      </c>
      <c r="G181" s="128" t="s">
        <v>512</v>
      </c>
      <c r="H181" s="125"/>
      <c r="I181" s="125"/>
      <c r="J181" s="125"/>
      <c r="K181" s="128"/>
      <c r="L181" s="271" t="s">
        <v>513</v>
      </c>
      <c r="M181" s="125" t="s">
        <v>65</v>
      </c>
      <c r="N181" s="181" t="s">
        <v>47</v>
      </c>
      <c r="O181" s="194" t="str">
        <f>HYPERLINK("https://leetcode.com/problems/single-element-in-a-sorted-array/","https://leetcode.com/problems/single-element-in-a-sorted-array/")</f>
        <v>https://leetcode.com/problems/single-element-in-a-sorted-array/</v>
      </c>
    </row>
    <row r="182" spans="1:15" ht="31.5" customHeight="1" x14ac:dyDescent="0.2">
      <c r="A182" s="7">
        <v>177</v>
      </c>
      <c r="B182" s="7">
        <v>543</v>
      </c>
      <c r="C182" s="13" t="s">
        <v>1584</v>
      </c>
      <c r="D182" s="7" t="s">
        <v>4471</v>
      </c>
      <c r="E182" s="21" t="s">
        <v>20</v>
      </c>
      <c r="F182" s="3" t="s">
        <v>500</v>
      </c>
      <c r="G182" s="3" t="s">
        <v>4256</v>
      </c>
      <c r="H182" s="7"/>
      <c r="I182" s="7"/>
      <c r="J182" s="7"/>
      <c r="K182" s="3"/>
      <c r="L182" s="228" t="s">
        <v>571</v>
      </c>
      <c r="M182" s="7" t="s">
        <v>24</v>
      </c>
      <c r="N182" s="176" t="s">
        <v>503</v>
      </c>
      <c r="O182" s="191" t="str">
        <f>HYPERLINK("https://leetcode.com/problems/diameter-of-binary-tree/","https://leetcode.com/problems/diameter-of-binary-tree/")</f>
        <v>https://leetcode.com/problems/diameter-of-binary-tree/</v>
      </c>
    </row>
    <row r="183" spans="1:15" ht="31.5" customHeight="1" x14ac:dyDescent="0.2">
      <c r="A183" s="125">
        <v>178</v>
      </c>
      <c r="B183" s="125">
        <v>545</v>
      </c>
      <c r="C183" s="126" t="s">
        <v>1587</v>
      </c>
      <c r="D183" s="125" t="s">
        <v>4810</v>
      </c>
      <c r="E183" s="127" t="s">
        <v>28</v>
      </c>
      <c r="F183" s="128" t="s">
        <v>529</v>
      </c>
      <c r="G183" s="128" t="s">
        <v>4871</v>
      </c>
      <c r="H183" s="125"/>
      <c r="I183" s="125"/>
      <c r="J183" s="125"/>
      <c r="K183" s="128"/>
      <c r="L183" s="271" t="s">
        <v>571</v>
      </c>
      <c r="M183" s="125" t="s">
        <v>24</v>
      </c>
      <c r="N183" s="181" t="s">
        <v>503</v>
      </c>
      <c r="O183" s="194" t="str">
        <f>HYPERLINK("https://leetcode.com/problems/boundary-of-binary-tree/","https://leetcode.com/problems/boundary-of-binary-tree/")</f>
        <v>https://leetcode.com/problems/boundary-of-binary-tree/</v>
      </c>
    </row>
    <row r="184" spans="1:15" ht="31.5" customHeight="1" x14ac:dyDescent="0.2">
      <c r="A184" s="7">
        <v>179</v>
      </c>
      <c r="B184" s="7">
        <v>560</v>
      </c>
      <c r="C184" s="13" t="s">
        <v>1610</v>
      </c>
      <c r="D184" s="7" t="s">
        <v>4510</v>
      </c>
      <c r="E184" s="18" t="s">
        <v>28</v>
      </c>
      <c r="F184" s="3" t="s">
        <v>1559</v>
      </c>
      <c r="G184" s="3" t="s">
        <v>4250</v>
      </c>
      <c r="H184" s="7"/>
      <c r="I184" s="7"/>
      <c r="J184" s="7"/>
      <c r="K184" s="3"/>
      <c r="L184" s="228" t="s">
        <v>1612</v>
      </c>
      <c r="M184" s="7" t="s">
        <v>24</v>
      </c>
      <c r="N184" s="176" t="s">
        <v>24</v>
      </c>
      <c r="O184" s="191" t="str">
        <f>HYPERLINK("https://leetcode.com/problems/subarray-sum-equals-k/","https://leetcode.com/problems/subarray-sum-equals-k/")</f>
        <v>https://leetcode.com/problems/subarray-sum-equals-k/</v>
      </c>
    </row>
    <row r="185" spans="1:15" ht="31.5" customHeight="1" x14ac:dyDescent="0.2">
      <c r="A185" s="125">
        <v>180</v>
      </c>
      <c r="B185" s="125">
        <v>605</v>
      </c>
      <c r="C185" s="126" t="s">
        <v>1655</v>
      </c>
      <c r="D185" s="125" t="s">
        <v>4679</v>
      </c>
      <c r="E185" s="130" t="s">
        <v>20</v>
      </c>
      <c r="F185" s="128" t="s">
        <v>318</v>
      </c>
      <c r="G185" s="128" t="s">
        <v>3091</v>
      </c>
      <c r="H185" s="125"/>
      <c r="I185" s="125"/>
      <c r="J185" s="125"/>
      <c r="K185" s="128"/>
      <c r="L185" s="271" t="s">
        <v>654</v>
      </c>
      <c r="M185" s="125" t="s">
        <v>24</v>
      </c>
      <c r="N185" s="181" t="s">
        <v>1100</v>
      </c>
      <c r="O185" s="194" t="str">
        <f>HYPERLINK("https://leetcode.com/problems/can-place-flowers/","https://leetcode.com/problems/can-place-flowers/")</f>
        <v>https://leetcode.com/problems/can-place-flowers/</v>
      </c>
    </row>
    <row r="186" spans="1:15" ht="31.5" customHeight="1" x14ac:dyDescent="0.2">
      <c r="A186" s="7">
        <v>181</v>
      </c>
      <c r="B186" s="7">
        <v>636</v>
      </c>
      <c r="C186" s="13" t="s">
        <v>1690</v>
      </c>
      <c r="D186" s="7" t="s">
        <v>4681</v>
      </c>
      <c r="E186" s="18" t="s">
        <v>28</v>
      </c>
      <c r="F186" s="3" t="s">
        <v>1472</v>
      </c>
      <c r="G186" s="3" t="s">
        <v>540</v>
      </c>
      <c r="H186" s="7"/>
      <c r="I186" s="7"/>
      <c r="J186" s="7"/>
      <c r="K186" s="3"/>
      <c r="L186" s="228" t="s">
        <v>542</v>
      </c>
      <c r="M186" s="7" t="s">
        <v>24</v>
      </c>
      <c r="N186" s="176" t="s">
        <v>24</v>
      </c>
      <c r="O186" s="191" t="str">
        <f>HYPERLINK("https://leetcode.com/problems/exclusive-time-of-functions/","https://leetcode.com/problems/exclusive-time-of-functions/")</f>
        <v>https://leetcode.com/problems/exclusive-time-of-functions/</v>
      </c>
    </row>
    <row r="187" spans="1:15" ht="31.5" customHeight="1" x14ac:dyDescent="0.2">
      <c r="A187" s="125">
        <v>182</v>
      </c>
      <c r="B187" s="125">
        <v>647</v>
      </c>
      <c r="C187" s="126" t="s">
        <v>1702</v>
      </c>
      <c r="D187" s="125" t="s">
        <v>4677</v>
      </c>
      <c r="E187" s="127" t="s">
        <v>28</v>
      </c>
      <c r="F187" s="128" t="s">
        <v>4204</v>
      </c>
      <c r="G187" s="128" t="s">
        <v>4731</v>
      </c>
      <c r="H187" s="125"/>
      <c r="I187" s="125"/>
      <c r="J187" s="125"/>
      <c r="K187" s="128"/>
      <c r="L187" s="271" t="s">
        <v>690</v>
      </c>
      <c r="M187" s="125" t="s">
        <v>53</v>
      </c>
      <c r="N187" s="181" t="s">
        <v>47</v>
      </c>
      <c r="O187" s="194" t="str">
        <f>HYPERLINK("https://leetcode.com/problems/palindromic-substrings/","https://leetcode.com/problems/palindromic-substrings/")</f>
        <v>https://leetcode.com/problems/palindromic-substrings/</v>
      </c>
    </row>
    <row r="188" spans="1:15" ht="31.5" customHeight="1" x14ac:dyDescent="0.2">
      <c r="A188" s="7">
        <v>183</v>
      </c>
      <c r="B188" s="7">
        <v>670</v>
      </c>
      <c r="C188" s="13" t="s">
        <v>1724</v>
      </c>
      <c r="D188" s="7" t="s">
        <v>4872</v>
      </c>
      <c r="E188" s="18" t="s">
        <v>28</v>
      </c>
      <c r="F188" s="3" t="s">
        <v>376</v>
      </c>
      <c r="G188" s="3" t="s">
        <v>4873</v>
      </c>
      <c r="H188" s="7"/>
      <c r="I188" s="7"/>
      <c r="J188" s="7"/>
      <c r="K188" s="3"/>
      <c r="L188" s="228" t="s">
        <v>230</v>
      </c>
      <c r="M188" s="7" t="s">
        <v>24</v>
      </c>
      <c r="N188" s="176" t="s">
        <v>1100</v>
      </c>
      <c r="O188" s="191" t="str">
        <f>HYPERLINK("https://leetcode.com/problems/maximum-swap/","https://leetcode.com/problems/maximum-swap/")</f>
        <v>https://leetcode.com/problems/maximum-swap/</v>
      </c>
    </row>
    <row r="189" spans="1:15" ht="31.5" customHeight="1" x14ac:dyDescent="0.2">
      <c r="A189" s="125">
        <v>184</v>
      </c>
      <c r="B189" s="125">
        <v>678</v>
      </c>
      <c r="C189" s="126" t="s">
        <v>1726</v>
      </c>
      <c r="D189" s="125" t="s">
        <v>4686</v>
      </c>
      <c r="E189" s="127" t="s">
        <v>28</v>
      </c>
      <c r="F189" s="128" t="s">
        <v>1381</v>
      </c>
      <c r="G189" s="128"/>
      <c r="H189" s="125"/>
      <c r="I189" s="125"/>
      <c r="J189" s="125"/>
      <c r="K189" s="128"/>
      <c r="L189" s="271" t="s">
        <v>750</v>
      </c>
      <c r="M189" s="125" t="s">
        <v>24</v>
      </c>
      <c r="N189" s="181" t="s">
        <v>24</v>
      </c>
      <c r="O189" s="194" t="str">
        <f>HYPERLINK("https://leetcode.com/problems/valid-parenthesis-string/","https://leetcode.com/problems/valid-parenthesis-string/")</f>
        <v>https://leetcode.com/problems/valid-parenthesis-string/</v>
      </c>
    </row>
    <row r="190" spans="1:15" ht="31.5" customHeight="1" x14ac:dyDescent="0.2">
      <c r="A190" s="7">
        <v>185</v>
      </c>
      <c r="B190" s="7">
        <v>680</v>
      </c>
      <c r="C190" s="13" t="s">
        <v>1728</v>
      </c>
      <c r="D190" s="7" t="s">
        <v>4451</v>
      </c>
      <c r="E190" s="21" t="s">
        <v>20</v>
      </c>
      <c r="F190" s="3" t="s">
        <v>611</v>
      </c>
      <c r="G190" s="3" t="s">
        <v>689</v>
      </c>
      <c r="H190" s="7"/>
      <c r="I190" s="7"/>
      <c r="J190" s="7"/>
      <c r="K190" s="3"/>
      <c r="L190" s="228" t="s">
        <v>690</v>
      </c>
      <c r="M190" s="7" t="s">
        <v>24</v>
      </c>
      <c r="N190" s="176" t="s">
        <v>47</v>
      </c>
      <c r="O190" s="191" t="str">
        <f>HYPERLINK("https://leetcode.com/problems/valid-palindrome-ii/","https://leetcode.com/problems/valid-palindrome-ii/")</f>
        <v>https://leetcode.com/problems/valid-palindrome-ii/</v>
      </c>
    </row>
    <row r="191" spans="1:15" ht="31.5" customHeight="1" x14ac:dyDescent="0.2">
      <c r="A191" s="125">
        <v>186</v>
      </c>
      <c r="B191" s="125">
        <v>695</v>
      </c>
      <c r="C191" s="126" t="s">
        <v>1751</v>
      </c>
      <c r="D191" s="125" t="s">
        <v>4549</v>
      </c>
      <c r="E191" s="127" t="s">
        <v>28</v>
      </c>
      <c r="F191" s="128" t="s">
        <v>637</v>
      </c>
      <c r="G191" s="128" t="s">
        <v>4548</v>
      </c>
      <c r="H191" s="125"/>
      <c r="I191" s="125"/>
      <c r="J191" s="125"/>
      <c r="K191" s="128"/>
      <c r="L191" s="271" t="s">
        <v>619</v>
      </c>
      <c r="M191" s="125" t="s">
        <v>81</v>
      </c>
      <c r="N191" s="181" t="s">
        <v>81</v>
      </c>
      <c r="O191" s="194" t="str">
        <f>HYPERLINK("https://leetcode.com/problems/max-area-of-island/","https://leetcode.com/problems/max-area-of-island/")</f>
        <v>https://leetcode.com/problems/max-area-of-island/</v>
      </c>
    </row>
    <row r="192" spans="1:15" ht="31.5" customHeight="1" x14ac:dyDescent="0.2">
      <c r="A192" s="7">
        <v>187</v>
      </c>
      <c r="B192" s="7">
        <v>704</v>
      </c>
      <c r="C192" s="13" t="s">
        <v>512</v>
      </c>
      <c r="D192" s="7" t="s">
        <v>4688</v>
      </c>
      <c r="E192" s="21" t="s">
        <v>20</v>
      </c>
      <c r="F192" s="3" t="s">
        <v>41</v>
      </c>
      <c r="G192" s="3"/>
      <c r="H192" s="7"/>
      <c r="I192" s="7"/>
      <c r="J192" s="7"/>
      <c r="K192" s="3"/>
      <c r="L192" s="228" t="s">
        <v>1776</v>
      </c>
      <c r="M192" s="7" t="s">
        <v>65</v>
      </c>
      <c r="N192" s="176" t="s">
        <v>47</v>
      </c>
      <c r="O192" s="191" t="str">
        <f>HYPERLINK("https://leetcode.com/problems/binary-search/","https://leetcode.com/problems/binary-search/")</f>
        <v>https://leetcode.com/problems/binary-search/</v>
      </c>
    </row>
    <row r="193" spans="1:15" ht="31.5" customHeight="1" x14ac:dyDescent="0.2">
      <c r="A193" s="125">
        <v>188</v>
      </c>
      <c r="B193" s="125">
        <v>706</v>
      </c>
      <c r="C193" s="126" t="s">
        <v>1778</v>
      </c>
      <c r="D193" s="125" t="s">
        <v>4444</v>
      </c>
      <c r="E193" s="130" t="s">
        <v>20</v>
      </c>
      <c r="F193" s="128" t="s">
        <v>1295</v>
      </c>
      <c r="G193" s="128" t="s">
        <v>4557</v>
      </c>
      <c r="H193" s="125"/>
      <c r="I193" s="125"/>
      <c r="J193" s="125"/>
      <c r="K193" s="128"/>
      <c r="L193" s="271" t="s">
        <v>705</v>
      </c>
      <c r="M193" s="125" t="s">
        <v>24</v>
      </c>
      <c r="N193" s="181" t="s">
        <v>24</v>
      </c>
      <c r="O193" s="194" t="str">
        <f>HYPERLINK("https://leetcode.com/problems/design-hashmap/","https://leetcode.com/problems/design-hashmap/")</f>
        <v>https://leetcode.com/problems/design-hashmap/</v>
      </c>
    </row>
    <row r="194" spans="1:15" ht="31.5" customHeight="1" x14ac:dyDescent="0.2">
      <c r="A194" s="7">
        <v>189</v>
      </c>
      <c r="B194" s="7">
        <v>708</v>
      </c>
      <c r="C194" s="13" t="s">
        <v>1783</v>
      </c>
      <c r="D194" s="7" t="s">
        <v>4483</v>
      </c>
      <c r="E194" s="18" t="s">
        <v>28</v>
      </c>
      <c r="F194" s="3" t="s">
        <v>127</v>
      </c>
      <c r="G194" s="3" t="s">
        <v>127</v>
      </c>
      <c r="H194" s="7"/>
      <c r="I194" s="7"/>
      <c r="J194" s="7"/>
      <c r="K194" s="3"/>
      <c r="L194" s="228" t="s">
        <v>461</v>
      </c>
      <c r="M194" s="7" t="s">
        <v>326</v>
      </c>
      <c r="N194" s="176" t="s">
        <v>65</v>
      </c>
      <c r="O194" s="191" t="str">
        <f>HYPERLINK("https://leetcode.com/problems/insert-into-a-sorted-circular-linked-list/","https://leetcode.com/problems/insert-into-a-sorted-circular-linked-list/")</f>
        <v>https://leetcode.com/problems/insert-into-a-sorted-circular-linked-list/</v>
      </c>
    </row>
    <row r="195" spans="1:15" ht="31.5" customHeight="1" x14ac:dyDescent="0.2">
      <c r="A195" s="125">
        <v>190</v>
      </c>
      <c r="B195" s="125">
        <v>721</v>
      </c>
      <c r="C195" s="126" t="s">
        <v>1805</v>
      </c>
      <c r="D195" s="125" t="s">
        <v>4515</v>
      </c>
      <c r="E195" s="127" t="s">
        <v>28</v>
      </c>
      <c r="F195" s="128" t="s">
        <v>1806</v>
      </c>
      <c r="G195" s="128" t="s">
        <v>1736</v>
      </c>
      <c r="H195" s="125"/>
      <c r="I195" s="125"/>
      <c r="J195" s="125"/>
      <c r="K195" s="128"/>
      <c r="L195" s="271" t="s">
        <v>619</v>
      </c>
      <c r="M195" s="125" t="s">
        <v>1807</v>
      </c>
      <c r="N195" s="181" t="s">
        <v>1808</v>
      </c>
      <c r="O195" s="194" t="str">
        <f>HYPERLINK("https://leetcode.com/problems/accounts-merge/","https://leetcode.com/problems/accounts-merge/")</f>
        <v>https://leetcode.com/problems/accounts-merge/</v>
      </c>
    </row>
    <row r="196" spans="1:15" ht="31.5" customHeight="1" x14ac:dyDescent="0.2">
      <c r="A196" s="7">
        <v>191</v>
      </c>
      <c r="B196" s="7">
        <v>724</v>
      </c>
      <c r="C196" s="13" t="s">
        <v>1812</v>
      </c>
      <c r="D196" s="7" t="s">
        <v>4645</v>
      </c>
      <c r="E196" s="21" t="s">
        <v>20</v>
      </c>
      <c r="F196" s="3" t="s">
        <v>1009</v>
      </c>
      <c r="G196" s="3"/>
      <c r="H196" s="7"/>
      <c r="I196" s="7"/>
      <c r="J196" s="7"/>
      <c r="K196" s="3"/>
      <c r="L196" s="228" t="s">
        <v>4239</v>
      </c>
      <c r="M196" s="7" t="s">
        <v>24</v>
      </c>
      <c r="N196" s="176" t="s">
        <v>47</v>
      </c>
      <c r="O196" s="191" t="str">
        <f>HYPERLINK("https://leetcode.com/problems/find-pivot-index/","https://leetcode.com/problems/find-pivot-index/")</f>
        <v>https://leetcode.com/problems/find-pivot-index/</v>
      </c>
    </row>
    <row r="197" spans="1:15" ht="31.5" customHeight="1" x14ac:dyDescent="0.2">
      <c r="A197" s="125">
        <v>192</v>
      </c>
      <c r="B197" s="125">
        <v>735</v>
      </c>
      <c r="C197" s="126" t="s">
        <v>1832</v>
      </c>
      <c r="D197" s="125" t="s">
        <v>4692</v>
      </c>
      <c r="E197" s="127" t="s">
        <v>28</v>
      </c>
      <c r="F197" s="128" t="s">
        <v>1472</v>
      </c>
      <c r="G197" s="128" t="s">
        <v>540</v>
      </c>
      <c r="H197" s="125"/>
      <c r="I197" s="125"/>
      <c r="J197" s="125"/>
      <c r="K197" s="128"/>
      <c r="L197" s="271" t="s">
        <v>542</v>
      </c>
      <c r="M197" s="125" t="s">
        <v>24</v>
      </c>
      <c r="N197" s="181" t="s">
        <v>24</v>
      </c>
      <c r="O197" s="194" t="str">
        <f>HYPERLINK("https://leetcode.com/problems/asteroid-collision/","https://leetcode.com/problems/asteroid-collision/")</f>
        <v>https://leetcode.com/problems/asteroid-collision/</v>
      </c>
    </row>
    <row r="198" spans="1:15" ht="31.5" customHeight="1" x14ac:dyDescent="0.2">
      <c r="A198" s="7">
        <v>193</v>
      </c>
      <c r="B198" s="7">
        <v>739</v>
      </c>
      <c r="C198" s="13" t="s">
        <v>1836</v>
      </c>
      <c r="D198" s="7" t="s">
        <v>4693</v>
      </c>
      <c r="E198" s="18" t="s">
        <v>28</v>
      </c>
      <c r="F198" s="3" t="s">
        <v>1837</v>
      </c>
      <c r="G198" s="3" t="s">
        <v>1473</v>
      </c>
      <c r="H198" s="7"/>
      <c r="I198" s="7"/>
      <c r="J198" s="7"/>
      <c r="K198" s="3"/>
      <c r="L198" s="228" t="s">
        <v>1839</v>
      </c>
      <c r="M198" s="7" t="s">
        <v>24</v>
      </c>
      <c r="N198" s="176" t="s">
        <v>24</v>
      </c>
      <c r="O198" s="191" t="str">
        <f>HYPERLINK("https://leetcode.com/problems/daily-temperatures/","https://leetcode.com/problems/daily-temperatures/")</f>
        <v>https://leetcode.com/problems/daily-temperatures/</v>
      </c>
    </row>
    <row r="199" spans="1:15" ht="31.5" customHeight="1" x14ac:dyDescent="0.2">
      <c r="A199" s="125">
        <v>194</v>
      </c>
      <c r="B199" s="125">
        <v>766</v>
      </c>
      <c r="C199" s="126" t="s">
        <v>1875</v>
      </c>
      <c r="D199" s="125" t="s">
        <v>4633</v>
      </c>
      <c r="E199" s="130" t="s">
        <v>20</v>
      </c>
      <c r="F199" s="128" t="s">
        <v>283</v>
      </c>
      <c r="G199" s="128"/>
      <c r="H199" s="125"/>
      <c r="I199" s="125"/>
      <c r="J199" s="125"/>
      <c r="K199" s="128"/>
      <c r="L199" s="271" t="s">
        <v>4239</v>
      </c>
      <c r="M199" s="125" t="s">
        <v>363</v>
      </c>
      <c r="N199" s="181" t="s">
        <v>47</v>
      </c>
      <c r="O199" s="194" t="str">
        <f>HYPERLINK("https://leetcode.com/problems/toeplitz-matrix/","https://leetcode.com/problems/toeplitz-matrix/")</f>
        <v>https://leetcode.com/problems/toeplitz-matrix/</v>
      </c>
    </row>
    <row r="200" spans="1:15" ht="31.5" customHeight="1" x14ac:dyDescent="0.2">
      <c r="A200" s="7">
        <v>195</v>
      </c>
      <c r="B200" s="7">
        <v>778</v>
      </c>
      <c r="C200" s="13" t="s">
        <v>1892</v>
      </c>
      <c r="D200" s="7" t="s">
        <v>4608</v>
      </c>
      <c r="E200" s="20" t="s">
        <v>42</v>
      </c>
      <c r="F200" s="3" t="s">
        <v>4338</v>
      </c>
      <c r="G200" s="3" t="s">
        <v>4874</v>
      </c>
      <c r="H200" s="7"/>
      <c r="I200" s="7"/>
      <c r="J200" s="7"/>
      <c r="K200" s="3"/>
      <c r="L200" s="228" t="s">
        <v>513</v>
      </c>
      <c r="M200" s="7" t="s">
        <v>1894</v>
      </c>
      <c r="N200" s="176" t="s">
        <v>341</v>
      </c>
      <c r="O200" s="191" t="str">
        <f>HYPERLINK("https://leetcode.com/problems/swim-in-rising-water/","https://leetcode.com/problems/swim-in-rising-water/")</f>
        <v>https://leetcode.com/problems/swim-in-rising-water/</v>
      </c>
    </row>
    <row r="201" spans="1:15" ht="31.5" customHeight="1" x14ac:dyDescent="0.2">
      <c r="A201" s="125">
        <v>196</v>
      </c>
      <c r="B201" s="125">
        <v>791</v>
      </c>
      <c r="C201" s="126" t="s">
        <v>1910</v>
      </c>
      <c r="D201" s="125" t="s">
        <v>4875</v>
      </c>
      <c r="E201" s="127" t="s">
        <v>28</v>
      </c>
      <c r="F201" s="128" t="s">
        <v>1911</v>
      </c>
      <c r="G201" s="128" t="s">
        <v>4876</v>
      </c>
      <c r="H201" s="125"/>
      <c r="I201" s="125"/>
      <c r="J201" s="125"/>
      <c r="K201" s="128"/>
      <c r="L201" s="271" t="s">
        <v>1077</v>
      </c>
      <c r="M201" s="125" t="s">
        <v>326</v>
      </c>
      <c r="N201" s="181" t="s">
        <v>24</v>
      </c>
      <c r="O201" s="194" t="str">
        <f>HYPERLINK("https://leetcode.com/problems/custom-sort-string/","https://leetcode.com/problems/custom-sort-string/")</f>
        <v>https://leetcode.com/problems/custom-sort-string/</v>
      </c>
    </row>
    <row r="202" spans="1:15" ht="31.5" customHeight="1" x14ac:dyDescent="0.2">
      <c r="A202" s="7">
        <v>197</v>
      </c>
      <c r="B202" s="7">
        <v>824</v>
      </c>
      <c r="C202" s="13" t="s">
        <v>1947</v>
      </c>
      <c r="D202" s="7" t="s">
        <v>4798</v>
      </c>
      <c r="E202" s="21" t="s">
        <v>20</v>
      </c>
      <c r="F202" s="3" t="s">
        <v>98</v>
      </c>
      <c r="G202" s="3" t="s">
        <v>98</v>
      </c>
      <c r="H202" s="7"/>
      <c r="I202" s="7"/>
      <c r="J202" s="7"/>
      <c r="K202" s="3"/>
      <c r="L202" s="228" t="s">
        <v>750</v>
      </c>
      <c r="M202" s="7" t="s">
        <v>24</v>
      </c>
      <c r="N202" s="176" t="s">
        <v>24</v>
      </c>
      <c r="O202" s="191" t="str">
        <f>HYPERLINK("https://leetcode.com/problems/goat-latin/","https://leetcode.com/problems/goat-latin/")</f>
        <v>https://leetcode.com/problems/goat-latin/</v>
      </c>
    </row>
    <row r="203" spans="1:15" ht="31.5" customHeight="1" x14ac:dyDescent="0.2">
      <c r="A203" s="125">
        <v>198</v>
      </c>
      <c r="B203" s="125">
        <v>825</v>
      </c>
      <c r="C203" s="126" t="s">
        <v>1949</v>
      </c>
      <c r="D203" s="125" t="s">
        <v>4497</v>
      </c>
      <c r="E203" s="127" t="s">
        <v>28</v>
      </c>
      <c r="F203" s="128" t="s">
        <v>376</v>
      </c>
      <c r="G203" s="128" t="s">
        <v>4791</v>
      </c>
      <c r="H203" s="125"/>
      <c r="I203" s="125"/>
      <c r="J203" s="125"/>
      <c r="K203" s="128"/>
      <c r="L203" s="271" t="s">
        <v>690</v>
      </c>
      <c r="M203" s="125" t="s">
        <v>24</v>
      </c>
      <c r="N203" s="181" t="s">
        <v>47</v>
      </c>
      <c r="O203" s="194" t="str">
        <f>HYPERLINK("https://leetcode.com/problems/friends-of-appropriate-ages/","https://leetcode.com/problems/friends-of-appropriate-ages/")</f>
        <v>https://leetcode.com/problems/friends-of-appropriate-ages/</v>
      </c>
    </row>
    <row r="204" spans="1:15" ht="31.5" customHeight="1" x14ac:dyDescent="0.2">
      <c r="A204" s="7">
        <v>199</v>
      </c>
      <c r="B204" s="7">
        <v>827</v>
      </c>
      <c r="C204" s="13" t="s">
        <v>1951</v>
      </c>
      <c r="D204" s="7" t="s">
        <v>4625</v>
      </c>
      <c r="E204" s="20" t="s">
        <v>42</v>
      </c>
      <c r="F204" s="3" t="s">
        <v>1952</v>
      </c>
      <c r="G204" s="3" t="s">
        <v>4877</v>
      </c>
      <c r="H204" s="7"/>
      <c r="I204" s="7"/>
      <c r="J204" s="7"/>
      <c r="K204" s="3"/>
      <c r="L204" s="228" t="s">
        <v>619</v>
      </c>
      <c r="M204" s="7" t="s">
        <v>81</v>
      </c>
      <c r="N204" s="176" t="s">
        <v>81</v>
      </c>
      <c r="O204" s="191" t="str">
        <f>HYPERLINK("https://leetcode.com/problems/making-a-large-island/","https://leetcode.com/problems/making-a-large-island/")</f>
        <v>https://leetcode.com/problems/making-a-large-island/</v>
      </c>
    </row>
    <row r="205" spans="1:15" ht="31.5" customHeight="1" x14ac:dyDescent="0.2">
      <c r="A205" s="125">
        <v>200</v>
      </c>
      <c r="B205" s="125">
        <v>863</v>
      </c>
      <c r="C205" s="126" t="s">
        <v>1994</v>
      </c>
      <c r="D205" s="125" t="s">
        <v>4802</v>
      </c>
      <c r="E205" s="127" t="s">
        <v>28</v>
      </c>
      <c r="F205" s="128" t="s">
        <v>1995</v>
      </c>
      <c r="G205" s="128" t="s">
        <v>4803</v>
      </c>
      <c r="H205" s="125"/>
      <c r="I205" s="125"/>
      <c r="J205" s="125"/>
      <c r="K205" s="128"/>
      <c r="L205" s="271" t="s">
        <v>571</v>
      </c>
      <c r="M205" s="125" t="s">
        <v>24</v>
      </c>
      <c r="N205" s="181" t="s">
        <v>24</v>
      </c>
      <c r="O205" s="194" t="str">
        <f>HYPERLINK("https://leetcode.com/problems/all-nodes-distance-k-in-binary-tree/","https://leetcode.com/problems/all-nodes-distance-k-in-binary-tree/")</f>
        <v>https://leetcode.com/problems/all-nodes-distance-k-in-binary-tree/</v>
      </c>
    </row>
    <row r="206" spans="1:15" ht="31.5" customHeight="1" x14ac:dyDescent="0.2">
      <c r="A206" s="7">
        <v>201</v>
      </c>
      <c r="B206" s="7">
        <v>865</v>
      </c>
      <c r="C206" s="13" t="s">
        <v>1998</v>
      </c>
      <c r="D206" s="7" t="s">
        <v>4878</v>
      </c>
      <c r="E206" s="18" t="s">
        <v>28</v>
      </c>
      <c r="F206" s="3" t="s">
        <v>500</v>
      </c>
      <c r="G206" s="3" t="s">
        <v>4256</v>
      </c>
      <c r="H206" s="7"/>
      <c r="I206" s="7"/>
      <c r="J206" s="7"/>
      <c r="K206" s="3"/>
      <c r="L206" s="228" t="s">
        <v>571</v>
      </c>
      <c r="M206" s="7" t="s">
        <v>24</v>
      </c>
      <c r="N206" s="176" t="s">
        <v>503</v>
      </c>
      <c r="O206" s="191" t="str">
        <f>HYPERLINK("https://leetcode.com/problems/smallest-subtree-with-all-the-deepest-nodes/","https://leetcode.com/problems/smallest-subtree-with-all-the-deepest-nodes/")</f>
        <v>https://leetcode.com/problems/smallest-subtree-with-all-the-deepest-nodes/</v>
      </c>
    </row>
    <row r="207" spans="1:15" ht="31.5" customHeight="1" x14ac:dyDescent="0.2">
      <c r="A207" s="125">
        <v>202</v>
      </c>
      <c r="B207" s="125">
        <v>875</v>
      </c>
      <c r="C207" s="126" t="s">
        <v>2014</v>
      </c>
      <c r="D207" s="125" t="s">
        <v>4682</v>
      </c>
      <c r="E207" s="127" t="s">
        <v>28</v>
      </c>
      <c r="F207" s="128" t="s">
        <v>41</v>
      </c>
      <c r="G207" s="128" t="s">
        <v>1801</v>
      </c>
      <c r="H207" s="125"/>
      <c r="I207" s="125"/>
      <c r="J207" s="125"/>
      <c r="K207" s="128"/>
      <c r="L207" s="271" t="s">
        <v>513</v>
      </c>
      <c r="M207" s="125" t="s">
        <v>65</v>
      </c>
      <c r="N207" s="181" t="s">
        <v>47</v>
      </c>
      <c r="O207" s="194" t="str">
        <f>HYPERLINK("https://leetcode.com/problems/koko-eating-bananas/","https://leetcode.com/problems/koko-eating-bananas/")</f>
        <v>https://leetcode.com/problems/koko-eating-bananas/</v>
      </c>
    </row>
    <row r="208" spans="1:15" ht="31.5" customHeight="1" x14ac:dyDescent="0.2">
      <c r="A208" s="7">
        <v>203</v>
      </c>
      <c r="B208" s="7">
        <v>876</v>
      </c>
      <c r="C208" s="13" t="s">
        <v>2017</v>
      </c>
      <c r="D208" s="7" t="s">
        <v>4702</v>
      </c>
      <c r="E208" s="21" t="s">
        <v>20</v>
      </c>
      <c r="F208" s="3" t="s">
        <v>679</v>
      </c>
      <c r="G208" s="3" t="s">
        <v>4034</v>
      </c>
      <c r="H208" s="7"/>
      <c r="I208" s="7"/>
      <c r="J208" s="7"/>
      <c r="K208" s="3"/>
      <c r="L208" s="228" t="s">
        <v>690</v>
      </c>
      <c r="M208" s="7" t="s">
        <v>24</v>
      </c>
      <c r="N208" s="176" t="s">
        <v>47</v>
      </c>
      <c r="O208" s="191" t="str">
        <f>HYPERLINK("https://leetcode.com/problems/middle-of-the-linked-list/","https://leetcode.com/problems/middle-of-the-linked-list/")</f>
        <v>https://leetcode.com/problems/middle-of-the-linked-list/</v>
      </c>
    </row>
    <row r="209" spans="1:15" ht="31.5" customHeight="1" x14ac:dyDescent="0.2">
      <c r="A209" s="125">
        <v>204</v>
      </c>
      <c r="B209" s="125">
        <v>921</v>
      </c>
      <c r="C209" s="126" t="s">
        <v>2062</v>
      </c>
      <c r="D209" s="125" t="s">
        <v>4778</v>
      </c>
      <c r="E209" s="127" t="s">
        <v>28</v>
      </c>
      <c r="F209" s="128" t="s">
        <v>1381</v>
      </c>
      <c r="G209" s="128" t="s">
        <v>4879</v>
      </c>
      <c r="H209" s="125"/>
      <c r="I209" s="125"/>
      <c r="J209" s="125"/>
      <c r="K209" s="128"/>
      <c r="L209" s="271" t="s">
        <v>542</v>
      </c>
      <c r="M209" s="125" t="s">
        <v>24</v>
      </c>
      <c r="N209" s="181" t="s">
        <v>47</v>
      </c>
      <c r="O209" s="194" t="str">
        <f>HYPERLINK("https://leetcode.com/problems/minimum-add-to-make-parentheses-valid/","https://leetcode.com/problems/minimum-add-to-make-parentheses-valid/")</f>
        <v>https://leetcode.com/problems/minimum-add-to-make-parentheses-valid/</v>
      </c>
    </row>
    <row r="210" spans="1:15" ht="31.5" customHeight="1" x14ac:dyDescent="0.2">
      <c r="A210" s="7">
        <v>205</v>
      </c>
      <c r="B210" s="7">
        <v>934</v>
      </c>
      <c r="C210" s="13" t="s">
        <v>2074</v>
      </c>
      <c r="D210" s="7" t="s">
        <v>4454</v>
      </c>
      <c r="E210" s="18" t="s">
        <v>28</v>
      </c>
      <c r="F210" s="3" t="s">
        <v>2075</v>
      </c>
      <c r="G210" s="3" t="s">
        <v>4704</v>
      </c>
      <c r="H210" s="7"/>
      <c r="I210" s="7"/>
      <c r="J210" s="7"/>
      <c r="K210" s="3"/>
      <c r="L210" s="228" t="s">
        <v>619</v>
      </c>
      <c r="M210" s="7" t="s">
        <v>81</v>
      </c>
      <c r="N210" s="176" t="s">
        <v>81</v>
      </c>
      <c r="O210" s="191" t="str">
        <f>HYPERLINK("https://leetcode.com/problems/shortest-bridge/","https://leetcode.com/problems/shortest-bridge/")</f>
        <v>https://leetcode.com/problems/shortest-bridge/</v>
      </c>
    </row>
    <row r="211" spans="1:15" ht="31.5" customHeight="1" x14ac:dyDescent="0.2">
      <c r="A211" s="125">
        <v>206</v>
      </c>
      <c r="B211" s="125">
        <v>938</v>
      </c>
      <c r="C211" s="126" t="s">
        <v>2077</v>
      </c>
      <c r="D211" s="125" t="s">
        <v>4880</v>
      </c>
      <c r="E211" s="130" t="s">
        <v>20</v>
      </c>
      <c r="F211" s="128" t="s">
        <v>518</v>
      </c>
      <c r="G211" s="128" t="s">
        <v>4520</v>
      </c>
      <c r="H211" s="125"/>
      <c r="I211" s="125"/>
      <c r="J211" s="125"/>
      <c r="K211" s="128"/>
      <c r="L211" s="271" t="s">
        <v>571</v>
      </c>
      <c r="M211" s="125" t="s">
        <v>24</v>
      </c>
      <c r="N211" s="181" t="s">
        <v>503</v>
      </c>
      <c r="O211" s="194" t="str">
        <f>HYPERLINK("https://leetcode.com/problems/range-sum-of-bst/","https://leetcode.com/problems/range-sum-of-bst/")</f>
        <v>https://leetcode.com/problems/range-sum-of-bst/</v>
      </c>
    </row>
    <row r="212" spans="1:15" ht="31.5" customHeight="1" x14ac:dyDescent="0.2">
      <c r="A212" s="7">
        <v>207</v>
      </c>
      <c r="B212" s="7">
        <v>973</v>
      </c>
      <c r="C212" s="13" t="s">
        <v>2112</v>
      </c>
      <c r="D212" s="7" t="s">
        <v>4703</v>
      </c>
      <c r="E212" s="18" t="s">
        <v>28</v>
      </c>
      <c r="F212" s="3" t="s">
        <v>2113</v>
      </c>
      <c r="G212" s="3" t="s">
        <v>4814</v>
      </c>
      <c r="H212" s="7"/>
      <c r="I212" s="7"/>
      <c r="J212" s="7"/>
      <c r="K212" s="3"/>
      <c r="L212" s="228" t="s">
        <v>2116</v>
      </c>
      <c r="M212" s="7" t="s">
        <v>960</v>
      </c>
      <c r="N212" s="176" t="s">
        <v>153</v>
      </c>
      <c r="O212" s="191" t="str">
        <f>HYPERLINK("https://leetcode.com/problems/k-closest-points-to-origin/","https://leetcode.com/problems/k-closest-points-to-origin/")</f>
        <v>https://leetcode.com/problems/k-closest-points-to-origin/</v>
      </c>
    </row>
    <row r="213" spans="1:15" ht="31.5" customHeight="1" x14ac:dyDescent="0.2">
      <c r="A213" s="125">
        <v>208</v>
      </c>
      <c r="B213" s="125">
        <v>977</v>
      </c>
      <c r="C213" s="126" t="s">
        <v>2122</v>
      </c>
      <c r="D213" s="125" t="s">
        <v>4705</v>
      </c>
      <c r="E213" s="130" t="s">
        <v>20</v>
      </c>
      <c r="F213" s="128" t="s">
        <v>2050</v>
      </c>
      <c r="G213" s="128" t="s">
        <v>689</v>
      </c>
      <c r="H213" s="125"/>
      <c r="I213" s="125"/>
      <c r="J213" s="125"/>
      <c r="K213" s="128"/>
      <c r="L213" s="271" t="s">
        <v>690</v>
      </c>
      <c r="M213" s="125" t="s">
        <v>326</v>
      </c>
      <c r="N213" s="181" t="s">
        <v>24</v>
      </c>
      <c r="O213" s="194" t="str">
        <f>HYPERLINK("https://leetcode.com/problems/squares-of-a-sorted-array/","https://leetcode.com/problems/squares-of-a-sorted-array/")</f>
        <v>https://leetcode.com/problems/squares-of-a-sorted-array/</v>
      </c>
    </row>
    <row r="214" spans="1:15" ht="31.5" customHeight="1" x14ac:dyDescent="0.2">
      <c r="A214" s="7">
        <v>209</v>
      </c>
      <c r="B214" s="7">
        <v>986</v>
      </c>
      <c r="C214" s="13" t="s">
        <v>2138</v>
      </c>
      <c r="D214" s="7" t="s">
        <v>4815</v>
      </c>
      <c r="E214" s="18" t="s">
        <v>28</v>
      </c>
      <c r="F214" s="3" t="s">
        <v>4816</v>
      </c>
      <c r="G214" s="3" t="s">
        <v>4817</v>
      </c>
      <c r="H214" s="7"/>
      <c r="I214" s="7"/>
      <c r="J214" s="7"/>
      <c r="K214" s="3"/>
      <c r="L214" s="228" t="s">
        <v>690</v>
      </c>
      <c r="M214" s="7" t="s">
        <v>24</v>
      </c>
      <c r="N214" s="176" t="s">
        <v>47</v>
      </c>
      <c r="O214" s="191" t="str">
        <f>HYPERLINK("https://leetcode.com/problems/interval-list-intersections/","https://leetcode.com/problems/interval-list-intersections/")</f>
        <v>https://leetcode.com/problems/interval-list-intersections/</v>
      </c>
    </row>
    <row r="215" spans="1:15" ht="31.5" customHeight="1" x14ac:dyDescent="0.2">
      <c r="A215" s="125">
        <v>210</v>
      </c>
      <c r="B215" s="125">
        <v>987</v>
      </c>
      <c r="C215" s="126" t="s">
        <v>2141</v>
      </c>
      <c r="D215" s="125" t="s">
        <v>4538</v>
      </c>
      <c r="E215" s="129" t="s">
        <v>42</v>
      </c>
      <c r="F215" s="128" t="s">
        <v>4881</v>
      </c>
      <c r="G215" s="128" t="s">
        <v>4882</v>
      </c>
      <c r="H215" s="125"/>
      <c r="I215" s="125"/>
      <c r="J215" s="125"/>
      <c r="K215" s="128"/>
      <c r="L215" s="271" t="s">
        <v>571</v>
      </c>
      <c r="M215" s="125" t="s">
        <v>326</v>
      </c>
      <c r="N215" s="181" t="s">
        <v>24</v>
      </c>
      <c r="O215" s="194" t="str">
        <f>HYPERLINK("https://leetcode.com/problems/vertical-order-traversal-of-a-binary-tree/","https://leetcode.com/problems/vertical-order-traversal-of-a-binary-tree/")</f>
        <v>https://leetcode.com/problems/vertical-order-traversal-of-a-binary-tree/</v>
      </c>
    </row>
    <row r="216" spans="1:15" ht="31.5" customHeight="1" x14ac:dyDescent="0.2">
      <c r="A216" s="7">
        <v>211</v>
      </c>
      <c r="B216" s="7">
        <v>994</v>
      </c>
      <c r="C216" s="13" t="s">
        <v>2153</v>
      </c>
      <c r="D216" s="7" t="s">
        <v>4707</v>
      </c>
      <c r="E216" s="18" t="s">
        <v>28</v>
      </c>
      <c r="F216" s="3" t="s">
        <v>1106</v>
      </c>
      <c r="G216" s="3" t="s">
        <v>4618</v>
      </c>
      <c r="H216" s="7"/>
      <c r="I216" s="7"/>
      <c r="J216" s="7"/>
      <c r="K216" s="3"/>
      <c r="L216" s="228" t="s">
        <v>2155</v>
      </c>
      <c r="M216" s="7" t="s">
        <v>81</v>
      </c>
      <c r="N216" s="176" t="s">
        <v>81</v>
      </c>
      <c r="O216" s="191" t="str">
        <f>HYPERLINK("https://leetcode.com/problems/rotting-oranges/","https://leetcode.com/problems/rotting-oranges/")</f>
        <v>https://leetcode.com/problems/rotting-oranges/</v>
      </c>
    </row>
    <row r="217" spans="1:15" ht="31.5" customHeight="1" x14ac:dyDescent="0.2">
      <c r="A217" s="125">
        <v>212</v>
      </c>
      <c r="B217" s="125">
        <v>1004</v>
      </c>
      <c r="C217" s="126" t="s">
        <v>2159</v>
      </c>
      <c r="D217" s="125" t="s">
        <v>4708</v>
      </c>
      <c r="E217" s="127" t="s">
        <v>28</v>
      </c>
      <c r="F217" s="128" t="s">
        <v>916</v>
      </c>
      <c r="G217" s="128" t="s">
        <v>917</v>
      </c>
      <c r="H217" s="125"/>
      <c r="I217" s="125"/>
      <c r="J217" s="125"/>
      <c r="K217" s="128"/>
      <c r="L217" s="271" t="s">
        <v>919</v>
      </c>
      <c r="M217" s="125" t="s">
        <v>24</v>
      </c>
      <c r="N217" s="181" t="s">
        <v>1096</v>
      </c>
      <c r="O217" s="194" t="str">
        <f>HYPERLINK("https://leetcode.com/problems/max-consecutive-ones-iii/","https://leetcode.com/problems/max-consecutive-ones-iii/")</f>
        <v>https://leetcode.com/problems/max-consecutive-ones-iii/</v>
      </c>
    </row>
    <row r="218" spans="1:15" ht="31.5" customHeight="1" x14ac:dyDescent="0.2">
      <c r="A218" s="7">
        <v>213</v>
      </c>
      <c r="B218" s="7">
        <v>1011</v>
      </c>
      <c r="C218" s="13" t="s">
        <v>2165</v>
      </c>
      <c r="D218" s="7" t="s">
        <v>4709</v>
      </c>
      <c r="E218" s="18" t="s">
        <v>28</v>
      </c>
      <c r="F218" s="3" t="s">
        <v>41</v>
      </c>
      <c r="G218" s="3" t="s">
        <v>1801</v>
      </c>
      <c r="H218" s="7"/>
      <c r="I218" s="7"/>
      <c r="J218" s="7"/>
      <c r="K218" s="3"/>
      <c r="L218" s="228" t="s">
        <v>513</v>
      </c>
      <c r="M218" s="7" t="s">
        <v>65</v>
      </c>
      <c r="N218" s="176" t="s">
        <v>47</v>
      </c>
      <c r="O218" s="191" t="str">
        <f>HYPERLINK("https://leetcode.com/problems/capacity-to-ship-packages-within-d-days/","https://leetcode.com/problems/capacity-to-ship-packages-within-d-days/")</f>
        <v>https://leetcode.com/problems/capacity-to-ship-packages-within-d-days/</v>
      </c>
    </row>
    <row r="219" spans="1:15" ht="31.5" customHeight="1" x14ac:dyDescent="0.2">
      <c r="A219" s="125">
        <v>214</v>
      </c>
      <c r="B219" s="125">
        <v>1047</v>
      </c>
      <c r="C219" s="126" t="s">
        <v>2209</v>
      </c>
      <c r="D219" s="125" t="s">
        <v>4573</v>
      </c>
      <c r="E219" s="130" t="s">
        <v>20</v>
      </c>
      <c r="F219" s="128" t="s">
        <v>133</v>
      </c>
      <c r="G219" s="128" t="s">
        <v>540</v>
      </c>
      <c r="H219" s="125"/>
      <c r="I219" s="125"/>
      <c r="J219" s="125"/>
      <c r="K219" s="128"/>
      <c r="L219" s="271" t="s">
        <v>542</v>
      </c>
      <c r="M219" s="125" t="s">
        <v>24</v>
      </c>
      <c r="N219" s="181" t="s">
        <v>24</v>
      </c>
      <c r="O219" s="194" t="str">
        <f>HYPERLINK("https://leetcode.com/problems/remove-all-adjacent-duplicates-in-string/","https://leetcode.com/problems/remove-all-adjacent-duplicates-in-string/")</f>
        <v>https://leetcode.com/problems/remove-all-adjacent-duplicates-in-string/</v>
      </c>
    </row>
    <row r="220" spans="1:15" ht="31.5" customHeight="1" x14ac:dyDescent="0.2">
      <c r="A220" s="7">
        <v>215</v>
      </c>
      <c r="B220" s="7">
        <v>1091</v>
      </c>
      <c r="C220" s="13" t="s">
        <v>2223</v>
      </c>
      <c r="D220" s="7" t="s">
        <v>4517</v>
      </c>
      <c r="E220" s="18" t="s">
        <v>28</v>
      </c>
      <c r="F220" s="3" t="s">
        <v>1106</v>
      </c>
      <c r="G220" s="3" t="s">
        <v>4258</v>
      </c>
      <c r="H220" s="7"/>
      <c r="I220" s="7"/>
      <c r="J220" s="7"/>
      <c r="K220" s="3"/>
      <c r="L220" s="228" t="s">
        <v>619</v>
      </c>
      <c r="M220" s="7" t="s">
        <v>81</v>
      </c>
      <c r="N220" s="176" t="s">
        <v>2130</v>
      </c>
      <c r="O220" s="191" t="str">
        <f>HYPERLINK("https://leetcode.com/problems/shortest-path-in-binary-matrix/","https://leetcode.com/problems/shortest-path-in-binary-matrix/")</f>
        <v>https://leetcode.com/problems/shortest-path-in-binary-matrix/</v>
      </c>
    </row>
    <row r="221" spans="1:15" ht="31.5" customHeight="1" x14ac:dyDescent="0.2">
      <c r="A221" s="125">
        <v>216</v>
      </c>
      <c r="B221" s="125">
        <v>1143</v>
      </c>
      <c r="C221" s="126" t="s">
        <v>2237</v>
      </c>
      <c r="D221" s="125" t="s">
        <v>4712</v>
      </c>
      <c r="E221" s="127" t="s">
        <v>28</v>
      </c>
      <c r="F221" s="128" t="s">
        <v>50</v>
      </c>
      <c r="G221" s="128" t="s">
        <v>4713</v>
      </c>
      <c r="H221" s="125"/>
      <c r="I221" s="125"/>
      <c r="J221" s="125"/>
      <c r="K221" s="128"/>
      <c r="L221" s="271" t="s">
        <v>2240</v>
      </c>
      <c r="M221" s="125" t="s">
        <v>24</v>
      </c>
      <c r="N221" s="181" t="s">
        <v>24</v>
      </c>
      <c r="O221" s="194" t="str">
        <f>HYPERLINK("https://leetcode.com/problems/longest-common-subsequence/","https://leetcode.com/problems/longest-common-subsequence/")</f>
        <v>https://leetcode.com/problems/longest-common-subsequence/</v>
      </c>
    </row>
    <row r="222" spans="1:15" ht="31.5" customHeight="1" x14ac:dyDescent="0.2">
      <c r="A222" s="7">
        <v>217</v>
      </c>
      <c r="B222" s="7">
        <v>1216</v>
      </c>
      <c r="C222" s="13" t="s">
        <v>2297</v>
      </c>
      <c r="D222" s="7" t="s">
        <v>4775</v>
      </c>
      <c r="E222" s="20" t="s">
        <v>42</v>
      </c>
      <c r="F222" s="3" t="s">
        <v>50</v>
      </c>
      <c r="G222" s="3"/>
      <c r="H222" s="7"/>
      <c r="I222" s="7"/>
      <c r="J222" s="7"/>
      <c r="K222" s="3"/>
      <c r="L222" s="228" t="s">
        <v>4239</v>
      </c>
      <c r="M222" s="7" t="s">
        <v>24</v>
      </c>
      <c r="N222" s="176" t="s">
        <v>24</v>
      </c>
      <c r="O222" s="191" t="str">
        <f>HYPERLINK("https://leetcode.com/problems/valid-palindrome-iii/","https://leetcode.com/problems/valid-palindrome-iii/")</f>
        <v>https://leetcode.com/problems/valid-palindrome-iii/</v>
      </c>
    </row>
    <row r="223" spans="1:15" ht="31.5" customHeight="1" x14ac:dyDescent="0.2">
      <c r="A223" s="125">
        <v>218</v>
      </c>
      <c r="B223" s="125">
        <v>1249</v>
      </c>
      <c r="C223" s="126" t="s">
        <v>2333</v>
      </c>
      <c r="D223" s="125" t="s">
        <v>4831</v>
      </c>
      <c r="E223" s="127" t="s">
        <v>28</v>
      </c>
      <c r="F223" s="128" t="s">
        <v>133</v>
      </c>
      <c r="G223" s="128" t="s">
        <v>540</v>
      </c>
      <c r="H223" s="125"/>
      <c r="I223" s="125"/>
      <c r="J223" s="125"/>
      <c r="K223" s="128"/>
      <c r="L223" s="271" t="s">
        <v>542</v>
      </c>
      <c r="M223" s="125" t="s">
        <v>303</v>
      </c>
      <c r="N223" s="181" t="s">
        <v>304</v>
      </c>
      <c r="O223" s="194" t="str">
        <f>HYPERLINK("https://leetcode.com/problems/minimum-remove-to-make-valid-parentheses/","https://leetcode.com/problems/minimum-remove-to-make-valid-parentheses/")</f>
        <v>https://leetcode.com/problems/minimum-remove-to-make-valid-parentheses/</v>
      </c>
    </row>
    <row r="224" spans="1:15" ht="31.5" customHeight="1" x14ac:dyDescent="0.2">
      <c r="A224" s="7">
        <v>219</v>
      </c>
      <c r="B224" s="7">
        <v>1424</v>
      </c>
      <c r="C224" s="13" t="s">
        <v>2468</v>
      </c>
      <c r="D224" s="7" t="s">
        <v>4529</v>
      </c>
      <c r="E224" s="18" t="s">
        <v>28</v>
      </c>
      <c r="F224" s="3" t="s">
        <v>283</v>
      </c>
      <c r="G224" s="3" t="s">
        <v>4883</v>
      </c>
      <c r="H224" s="7"/>
      <c r="I224" s="7"/>
      <c r="J224" s="7"/>
      <c r="K224" s="3"/>
      <c r="L224" s="228" t="s">
        <v>1077</v>
      </c>
      <c r="M224" s="7" t="s">
        <v>81</v>
      </c>
      <c r="N224" s="176" t="s">
        <v>81</v>
      </c>
      <c r="O224" s="191" t="str">
        <f>HYPERLINK("https://leetcode.com/problems/diagonal-traverse-ii/","https://leetcode.com/problems/diagonal-traverse-ii/")</f>
        <v>https://leetcode.com/problems/diagonal-traverse-ii/</v>
      </c>
    </row>
    <row r="225" spans="1:15" ht="31.5" customHeight="1" x14ac:dyDescent="0.2">
      <c r="A225" s="125">
        <v>220</v>
      </c>
      <c r="B225" s="125">
        <v>1539</v>
      </c>
      <c r="C225" s="126" t="s">
        <v>2523</v>
      </c>
      <c r="D225" s="125" t="s">
        <v>4884</v>
      </c>
      <c r="E225" s="130" t="s">
        <v>20</v>
      </c>
      <c r="F225" s="128" t="s">
        <v>41</v>
      </c>
      <c r="G225" s="128" t="s">
        <v>512</v>
      </c>
      <c r="H225" s="125"/>
      <c r="I225" s="125"/>
      <c r="J225" s="125"/>
      <c r="K225" s="128"/>
      <c r="L225" s="271" t="s">
        <v>513</v>
      </c>
      <c r="M225" s="125" t="s">
        <v>65</v>
      </c>
      <c r="N225" s="181" t="s">
        <v>47</v>
      </c>
      <c r="O225" s="194" t="str">
        <f>HYPERLINK("https://leetcode.com/problems/kth-missing-positive-number/","https://leetcode.com/problems/kth-missing-positive-number/")</f>
        <v>https://leetcode.com/problems/kth-missing-positive-number/</v>
      </c>
    </row>
    <row r="226" spans="1:15" ht="31.5" customHeight="1" x14ac:dyDescent="0.2">
      <c r="A226" s="7">
        <v>221</v>
      </c>
      <c r="B226" s="7">
        <v>1570</v>
      </c>
      <c r="C226" s="13" t="s">
        <v>2546</v>
      </c>
      <c r="D226" s="7" t="s">
        <v>4838</v>
      </c>
      <c r="E226" s="18" t="s">
        <v>28</v>
      </c>
      <c r="F226" s="3" t="s">
        <v>1334</v>
      </c>
      <c r="G226" s="3" t="s">
        <v>4839</v>
      </c>
      <c r="H226" s="7"/>
      <c r="I226" s="7"/>
      <c r="J226" s="7"/>
      <c r="K226" s="3"/>
      <c r="L226" s="228" t="s">
        <v>705</v>
      </c>
      <c r="M226" s="7" t="s">
        <v>24</v>
      </c>
      <c r="N226" s="176" t="s">
        <v>24</v>
      </c>
      <c r="O226" s="191" t="str">
        <f>HYPERLINK("https://leetcode.com/problems/dot-product-of-two-sparse-vectors/","https://leetcode.com/problems/dot-product-of-two-sparse-vectors/")</f>
        <v>https://leetcode.com/problems/dot-product-of-two-sparse-vectors/</v>
      </c>
    </row>
    <row r="227" spans="1:15" ht="31.5" customHeight="1" x14ac:dyDescent="0.2">
      <c r="A227" s="125">
        <v>222</v>
      </c>
      <c r="B227" s="125">
        <v>1650</v>
      </c>
      <c r="C227" s="126" t="s">
        <v>2604</v>
      </c>
      <c r="D227" s="125" t="s">
        <v>4842</v>
      </c>
      <c r="E227" s="127" t="s">
        <v>28</v>
      </c>
      <c r="F227" s="128" t="s">
        <v>4843</v>
      </c>
      <c r="G227" s="128" t="s">
        <v>4844</v>
      </c>
      <c r="H227" s="125"/>
      <c r="I227" s="125"/>
      <c r="J227" s="125"/>
      <c r="K227" s="128"/>
      <c r="L227" s="271" t="s">
        <v>571</v>
      </c>
      <c r="M227" s="125" t="s">
        <v>503</v>
      </c>
      <c r="N227" s="181" t="s">
        <v>47</v>
      </c>
      <c r="O227" s="194" t="str">
        <f>HYPERLINK("https://leetcode.com/problems/lowest-common-ancestor-of-a-binary-tree-iii/","https://leetcode.com/problems/lowest-common-ancestor-of-a-binary-tree-iii/")</f>
        <v>https://leetcode.com/problems/lowest-common-ancestor-of-a-binary-tree-iii/</v>
      </c>
    </row>
    <row r="228" spans="1:15" ht="31.5" customHeight="1" x14ac:dyDescent="0.2">
      <c r="A228" s="7">
        <v>223</v>
      </c>
      <c r="B228" s="7">
        <v>1757</v>
      </c>
      <c r="C228" s="13" t="s">
        <v>2691</v>
      </c>
      <c r="D228" s="7" t="s">
        <v>4720</v>
      </c>
      <c r="E228" s="21" t="s">
        <v>20</v>
      </c>
      <c r="F228" s="3" t="s">
        <v>166</v>
      </c>
      <c r="G228" s="3"/>
      <c r="H228" s="7"/>
      <c r="I228" s="7"/>
      <c r="J228" s="7"/>
      <c r="K228" s="3"/>
      <c r="L228" s="228" t="s">
        <v>4239</v>
      </c>
      <c r="M228" s="7" t="s">
        <v>24</v>
      </c>
      <c r="N228" s="176" t="s">
        <v>24</v>
      </c>
      <c r="O228" s="191" t="str">
        <f>HYPERLINK("https://leetcode.com/problems/recyclable-and-low-fat-products/","https://leetcode.com/problems/recyclable-and-low-fat-products/")</f>
        <v>https://leetcode.com/problems/recyclable-and-low-fat-products/</v>
      </c>
    </row>
    <row r="229" spans="1:15" ht="31.5" customHeight="1" x14ac:dyDescent="0.2">
      <c r="A229" s="125">
        <v>224</v>
      </c>
      <c r="B229" s="125">
        <v>1762</v>
      </c>
      <c r="C229" s="126" t="s">
        <v>2699</v>
      </c>
      <c r="D229" s="125" t="s">
        <v>4885</v>
      </c>
      <c r="E229" s="127" t="s">
        <v>28</v>
      </c>
      <c r="F229" s="128" t="s">
        <v>466</v>
      </c>
      <c r="G229" s="128" t="s">
        <v>1473</v>
      </c>
      <c r="H229" s="125"/>
      <c r="I229" s="125"/>
      <c r="J229" s="125"/>
      <c r="K229" s="128"/>
      <c r="L229" s="271" t="s">
        <v>542</v>
      </c>
      <c r="M229" s="125" t="s">
        <v>24</v>
      </c>
      <c r="N229" s="181" t="s">
        <v>24</v>
      </c>
      <c r="O229" s="194" t="str">
        <f>HYPERLINK("https://leetcode.com/problems/buildings-with-an-ocean-view/","https://leetcode.com/problems/buildings-with-an-ocean-view/")</f>
        <v>https://leetcode.com/problems/buildings-with-an-ocean-view/</v>
      </c>
    </row>
    <row r="230" spans="1:15" ht="31.5" customHeight="1" x14ac:dyDescent="0.2">
      <c r="A230" s="7">
        <v>225</v>
      </c>
      <c r="B230" s="7">
        <v>1868</v>
      </c>
      <c r="C230" s="13" t="s">
        <v>2751</v>
      </c>
      <c r="D230" s="7" t="s">
        <v>4521</v>
      </c>
      <c r="E230" s="18" t="s">
        <v>28</v>
      </c>
      <c r="F230" s="3" t="s">
        <v>84</v>
      </c>
      <c r="G230" s="3" t="s">
        <v>689</v>
      </c>
      <c r="H230" s="7"/>
      <c r="I230" s="7"/>
      <c r="J230" s="7"/>
      <c r="K230" s="3"/>
      <c r="L230" s="228" t="s">
        <v>690</v>
      </c>
      <c r="M230" s="7" t="s">
        <v>24</v>
      </c>
      <c r="N230" s="176" t="s">
        <v>1096</v>
      </c>
      <c r="O230" s="191" t="str">
        <f>HYPERLINK("https://leetcode.com/problems/product-of-two-run-length-encoded-arrays/","https://leetcode.com/problems/product-of-two-run-length-encoded-arrays/")</f>
        <v>https://leetcode.com/problems/product-of-two-run-length-encoded-arrays/</v>
      </c>
    </row>
  </sheetData>
  <autoFilter ref="A5:O5" xr:uid="{00000000-0001-0000-1000-000000000000}"/>
  <mergeCells count="3">
    <mergeCell ref="A1:K2"/>
    <mergeCell ref="A4:K4"/>
    <mergeCell ref="A3:K3"/>
  </mergeCells>
  <hyperlinks>
    <hyperlink ref="O6" r:id="rId1" display="https://leetcode.com/problems/two-sum/" xr:uid="{00000000-0004-0000-1000-000000000000}"/>
    <hyperlink ref="O7" r:id="rId2" display="https://leetcode.com/problems/add-two-numbers/" xr:uid="{00000000-0004-0000-1000-000001000000}"/>
    <hyperlink ref="O8" r:id="rId3" display="https://leetcode.com/problems/longest-substring-without-repeating-characters/" xr:uid="{00000000-0004-0000-1000-000002000000}"/>
    <hyperlink ref="O9" r:id="rId4" display="https://leetcode.com/problems/median-of-two-sorted-arrays/" xr:uid="{00000000-0004-0000-1000-000003000000}"/>
    <hyperlink ref="O10" r:id="rId5" display="https://leetcode.com/problems/longest-palindromic-substring/" xr:uid="{00000000-0004-0000-1000-000004000000}"/>
    <hyperlink ref="O11" r:id="rId6" display="https://leetcode.com/problems/zigzag-conversion/" xr:uid="{00000000-0004-0000-1000-000005000000}"/>
    <hyperlink ref="O12" r:id="rId7" display="https://leetcode.com/problems/reverse-integer/" xr:uid="{00000000-0004-0000-1000-000006000000}"/>
    <hyperlink ref="O13" r:id="rId8" display="https://leetcode.com/problems/string-to-integer-atoi/" xr:uid="{00000000-0004-0000-1000-000007000000}"/>
    <hyperlink ref="O14" r:id="rId9" display="https://leetcode.com/problems/palindrome-number/" xr:uid="{00000000-0004-0000-1000-000008000000}"/>
    <hyperlink ref="O15" r:id="rId10" display="https://leetcode.com/problems/regular-expression-matching/" xr:uid="{00000000-0004-0000-1000-000009000000}"/>
    <hyperlink ref="O16" r:id="rId11" display="https://leetcode.com/problems/container-with-most-water/" xr:uid="{00000000-0004-0000-1000-00000A000000}"/>
    <hyperlink ref="O17" r:id="rId12" display="https://leetcode.com/problems/integer-to-roman/" xr:uid="{00000000-0004-0000-1000-00000B000000}"/>
    <hyperlink ref="O18" r:id="rId13" display="https://leetcode.com/problems/roman-to-integer/" xr:uid="{00000000-0004-0000-1000-00000C000000}"/>
    <hyperlink ref="O19" r:id="rId14" display="https://leetcode.com/problems/longest-common-prefix/" xr:uid="{00000000-0004-0000-1000-00000D000000}"/>
    <hyperlink ref="O20" r:id="rId15" display="https://leetcode.com/problems/3sum/" xr:uid="{00000000-0004-0000-1000-00000E000000}"/>
    <hyperlink ref="O21" r:id="rId16" display="https://leetcode.com/problems/3sum-closest/" xr:uid="{00000000-0004-0000-1000-00000F000000}"/>
    <hyperlink ref="O22" r:id="rId17" display="https://leetcode.com/problems/letter-combinations-of-a-phone-number/" xr:uid="{00000000-0004-0000-1000-000010000000}"/>
    <hyperlink ref="O23" r:id="rId18" display="https://leetcode.com/problems/4sum/" xr:uid="{00000000-0004-0000-1000-000011000000}"/>
    <hyperlink ref="O24" r:id="rId19" display="https://leetcode.com/problems/remove-nth-node-from-end-of-list/" xr:uid="{00000000-0004-0000-1000-000012000000}"/>
    <hyperlink ref="O25" r:id="rId20" display="https://leetcode.com/problems/valid-parentheses/" xr:uid="{00000000-0004-0000-1000-000013000000}"/>
    <hyperlink ref="O26" r:id="rId21" display="https://leetcode.com/problems/merge-two-sorted-lists/" xr:uid="{00000000-0004-0000-1000-000014000000}"/>
    <hyperlink ref="O27" r:id="rId22" display="https://leetcode.com/problems/generate-parentheses/" xr:uid="{00000000-0004-0000-1000-000015000000}"/>
    <hyperlink ref="O28" r:id="rId23" display="https://leetcode.com/problems/merge-k-sorted-lists/" xr:uid="{00000000-0004-0000-1000-000016000000}"/>
    <hyperlink ref="O29" r:id="rId24" display="https://leetcode.com/problems/remove-duplicates-from-sorted-array/" xr:uid="{00000000-0004-0000-1000-000017000000}"/>
    <hyperlink ref="O30" r:id="rId25" display="https://leetcode.com/problems/remove-element/" xr:uid="{00000000-0004-0000-1000-000018000000}"/>
    <hyperlink ref="O31" r:id="rId26" display="https://leetcode.com/problems/find-the-index-of-the-first-occurrence-in-a-string/" xr:uid="{00000000-0004-0000-1000-000019000000}"/>
    <hyperlink ref="O32" r:id="rId27" display="https://leetcode.com/problems/next-permutation/" xr:uid="{00000000-0004-0000-1000-00001A000000}"/>
    <hyperlink ref="O33" r:id="rId28" display="https://leetcode.com/problems/longest-valid-parentheses/" xr:uid="{00000000-0004-0000-1000-00001B000000}"/>
    <hyperlink ref="O34" r:id="rId29" display="https://leetcode.com/problems/search-in-rotated-sorted-array/" xr:uid="{00000000-0004-0000-1000-00001C000000}"/>
    <hyperlink ref="O35" r:id="rId30" display="https://leetcode.com/problems/find-first-and-last-position-of-element-in-sorted-array/" xr:uid="{00000000-0004-0000-1000-00001D000000}"/>
    <hyperlink ref="O36" r:id="rId31" display="https://leetcode.com/problems/search-insert-position/" xr:uid="{00000000-0004-0000-1000-00001E000000}"/>
    <hyperlink ref="O37" r:id="rId32" display="https://leetcode.com/problems/combination-sum/" xr:uid="{00000000-0004-0000-1000-00001F000000}"/>
    <hyperlink ref="O38" r:id="rId33" display="https://leetcode.com/problems/first-missing-positive/" xr:uid="{00000000-0004-0000-1000-000020000000}"/>
    <hyperlink ref="O39" r:id="rId34" display="https://leetcode.com/problems/trapping-rain-water/" xr:uid="{00000000-0004-0000-1000-000021000000}"/>
    <hyperlink ref="O40" r:id="rId35" display="https://leetcode.com/problems/permutations/" xr:uid="{00000000-0004-0000-1000-000022000000}"/>
    <hyperlink ref="O41" r:id="rId36" display="https://leetcode.com/problems/rotate-image/" xr:uid="{00000000-0004-0000-1000-000023000000}"/>
    <hyperlink ref="O42" r:id="rId37" display="https://leetcode.com/problems/group-anagrams/" xr:uid="{00000000-0004-0000-1000-000024000000}"/>
    <hyperlink ref="O43" r:id="rId38" display="https://leetcode.com/problems/powx-n/" xr:uid="{00000000-0004-0000-1000-000025000000}"/>
    <hyperlink ref="O44" r:id="rId39" display="https://leetcode.com/problems/n-queens/" xr:uid="{00000000-0004-0000-1000-000026000000}"/>
    <hyperlink ref="O45" r:id="rId40" display="https://leetcode.com/problems/maximum-subarray/" xr:uid="{00000000-0004-0000-1000-000027000000}"/>
    <hyperlink ref="O46" r:id="rId41" display="https://leetcode.com/problems/spiral-matrix/" xr:uid="{00000000-0004-0000-1000-000028000000}"/>
    <hyperlink ref="O47" r:id="rId42" display="https://leetcode.com/problems/jump-game/" xr:uid="{00000000-0004-0000-1000-000029000000}"/>
    <hyperlink ref="O48" r:id="rId43" display="https://leetcode.com/problems/merge-intervals/" xr:uid="{00000000-0004-0000-1000-00002A000000}"/>
    <hyperlink ref="O49" r:id="rId44" display="https://leetcode.com/problems/length-of-last-word/" xr:uid="{00000000-0004-0000-1000-00002B000000}"/>
    <hyperlink ref="O50" r:id="rId45" display="https://leetcode.com/problems/unique-paths/" xr:uid="{00000000-0004-0000-1000-00002C000000}"/>
    <hyperlink ref="O51" r:id="rId46" display="https://leetcode.com/problems/valid-number/" xr:uid="{00000000-0004-0000-1000-00002D000000}"/>
    <hyperlink ref="O52" r:id="rId47" display="https://leetcode.com/problems/plus-one/" xr:uid="{00000000-0004-0000-1000-00002E000000}"/>
    <hyperlink ref="O53" r:id="rId48" display="https://leetcode.com/problems/add-binary/" xr:uid="{00000000-0004-0000-1000-00002F000000}"/>
    <hyperlink ref="O54" r:id="rId49" display="https://leetcode.com/problems/sqrtx/" xr:uid="{00000000-0004-0000-1000-000030000000}"/>
    <hyperlink ref="O55" r:id="rId50" display="https://leetcode.com/problems/climbing-stairs/" xr:uid="{00000000-0004-0000-1000-000031000000}"/>
    <hyperlink ref="O56" r:id="rId51" display="https://leetcode.com/problems/simplify-path/" xr:uid="{00000000-0004-0000-1000-000032000000}"/>
    <hyperlink ref="O57" r:id="rId52" display="https://leetcode.com/problems/set-matrix-zeroes/" xr:uid="{00000000-0004-0000-1000-000033000000}"/>
    <hyperlink ref="O58" r:id="rId53" display="https://leetcode.com/problems/search-a-2d-matrix/" xr:uid="{00000000-0004-0000-1000-000034000000}"/>
    <hyperlink ref="O59" r:id="rId54" display="https://leetcode.com/problems/sort-colors/" xr:uid="{00000000-0004-0000-1000-000035000000}"/>
    <hyperlink ref="O60" r:id="rId55" display="https://leetcode.com/problems/minimum-window-substring/" xr:uid="{00000000-0004-0000-1000-000036000000}"/>
    <hyperlink ref="O61" r:id="rId56" display="https://leetcode.com/problems/subsets/" xr:uid="{00000000-0004-0000-1000-000037000000}"/>
    <hyperlink ref="O62" r:id="rId57" display="https://leetcode.com/problems/word-search/" xr:uid="{00000000-0004-0000-1000-000038000000}"/>
    <hyperlink ref="O63" r:id="rId58" display="https://leetcode.com/problems/largest-rectangle-in-histogram/" xr:uid="{00000000-0004-0000-1000-000039000000}"/>
    <hyperlink ref="O64" r:id="rId59" display="https://leetcode.com/problems/maximal-rectangle/" xr:uid="{00000000-0004-0000-1000-00003A000000}"/>
    <hyperlink ref="O65" r:id="rId60" display="https://leetcode.com/problems/merge-sorted-array/" xr:uid="{00000000-0004-0000-1000-00003B000000}"/>
    <hyperlink ref="O66" r:id="rId61" display="https://leetcode.com/problems/decode-ways/" xr:uid="{00000000-0004-0000-1000-00003C000000}"/>
    <hyperlink ref="O67" r:id="rId62" display="https://leetcode.com/problems/reverse-linked-list-ii/" xr:uid="{00000000-0004-0000-1000-00003D000000}"/>
    <hyperlink ref="O68" r:id="rId63" display="https://leetcode.com/problems/unique-binary-search-trees/" xr:uid="{00000000-0004-0000-1000-00003E000000}"/>
    <hyperlink ref="O69" r:id="rId64" display="https://leetcode.com/problems/validate-binary-search-tree/" xr:uid="{00000000-0004-0000-1000-00003F000000}"/>
    <hyperlink ref="O70" r:id="rId65" display="https://leetcode.com/problems/same-tree/" xr:uid="{00000000-0004-0000-1000-000040000000}"/>
    <hyperlink ref="O71" r:id="rId66" display="https://leetcode.com/problems/symmetric-tree/" xr:uid="{00000000-0004-0000-1000-000041000000}"/>
    <hyperlink ref="O72" r:id="rId67" display="https://leetcode.com/problems/binary-tree-level-order-traversal/" xr:uid="{00000000-0004-0000-1000-000042000000}"/>
    <hyperlink ref="O73" r:id="rId68" display="https://leetcode.com/problems/maximum-depth-of-binary-tree/" xr:uid="{00000000-0004-0000-1000-000043000000}"/>
    <hyperlink ref="O74" r:id="rId69" display="https://leetcode.com/problems/construct-binary-tree-from-preorder-and-inorder-traversal/" xr:uid="{00000000-0004-0000-1000-000044000000}"/>
    <hyperlink ref="O75" r:id="rId70" display="https://leetcode.com/problems/balanced-binary-tree/" xr:uid="{00000000-0004-0000-1000-000045000000}"/>
    <hyperlink ref="O76" r:id="rId71" display="https://leetcode.com/problems/populating-next-right-pointers-in-each-node/" xr:uid="{00000000-0004-0000-1000-000046000000}"/>
    <hyperlink ref="O77" r:id="rId72" display="https://leetcode.com/problems/populating-next-right-pointers-in-each-node-ii/" xr:uid="{00000000-0004-0000-1000-000047000000}"/>
    <hyperlink ref="O78" r:id="rId73" display="https://leetcode.com/problems/pascals-triangle/" xr:uid="{00000000-0004-0000-1000-000048000000}"/>
    <hyperlink ref="O79" r:id="rId74" display="https://leetcode.com/problems/best-time-to-buy-and-sell-stock/" xr:uid="{00000000-0004-0000-1000-000049000000}"/>
    <hyperlink ref="O80" r:id="rId75" display="https://leetcode.com/problems/best-time-to-buy-and-sell-stock-ii/" xr:uid="{00000000-0004-0000-1000-00004A000000}"/>
    <hyperlink ref="O81" r:id="rId76" display="https://leetcode.com/problems/best-time-to-buy-and-sell-stock-iii/" xr:uid="{00000000-0004-0000-1000-00004B000000}"/>
    <hyperlink ref="O82" r:id="rId77" display="https://leetcode.com/problems/binary-tree-maximum-path-sum/" xr:uid="{00000000-0004-0000-1000-00004C000000}"/>
    <hyperlink ref="O83" r:id="rId78" display="https://leetcode.com/problems/valid-palindrome/" xr:uid="{00000000-0004-0000-1000-00004D000000}"/>
    <hyperlink ref="O84" r:id="rId79" display="https://leetcode.com/problems/word-ladder/" xr:uid="{00000000-0004-0000-1000-00004E000000}"/>
    <hyperlink ref="O85" r:id="rId80" display="https://leetcode.com/problems/longest-consecutive-sequence/" xr:uid="{00000000-0004-0000-1000-00004F000000}"/>
    <hyperlink ref="O86" r:id="rId81" display="https://leetcode.com/problems/sum-root-to-leaf-numbers/" xr:uid="{00000000-0004-0000-1000-000050000000}"/>
    <hyperlink ref="O87" r:id="rId82" display="https://leetcode.com/problems/palindrome-partitioning/" xr:uid="{00000000-0004-0000-1000-000051000000}"/>
    <hyperlink ref="O88" r:id="rId83" display="https://leetcode.com/problems/clone-graph/" xr:uid="{00000000-0004-0000-1000-000052000000}"/>
    <hyperlink ref="O89" r:id="rId84" display="https://leetcode.com/problems/gas-station/" xr:uid="{00000000-0004-0000-1000-000053000000}"/>
    <hyperlink ref="O90" r:id="rId85" display="https://leetcode.com/problems/candy/" xr:uid="{00000000-0004-0000-1000-000054000000}"/>
    <hyperlink ref="O91" r:id="rId86" display="https://leetcode.com/problems/single-number/" xr:uid="{00000000-0004-0000-1000-000055000000}"/>
    <hyperlink ref="O92" r:id="rId87" display="https://leetcode.com/problems/copy-list-with-random-pointer/" xr:uid="{00000000-0004-0000-1000-000056000000}"/>
    <hyperlink ref="O93" r:id="rId88" display="https://leetcode.com/problems/word-break/" xr:uid="{00000000-0004-0000-1000-000057000000}"/>
    <hyperlink ref="O94" r:id="rId89" display="https://leetcode.com/problems/reorder-list/" xr:uid="{00000000-0004-0000-1000-000058000000}"/>
    <hyperlink ref="O95" r:id="rId90" display="https://leetcode.com/problems/lru-cache/" xr:uid="{00000000-0004-0000-1000-000059000000}"/>
    <hyperlink ref="O96" r:id="rId91" display="https://leetcode.com/problems/sort-list/" xr:uid="{00000000-0004-0000-1000-00005A000000}"/>
    <hyperlink ref="O97" r:id="rId92" display="https://leetcode.com/problems/evaluate-reverse-polish-notation/" xr:uid="{00000000-0004-0000-1000-00005B000000}"/>
    <hyperlink ref="O98" r:id="rId93" display="https://leetcode.com/problems/reverse-words-in-a-string/" xr:uid="{00000000-0004-0000-1000-00005C000000}"/>
    <hyperlink ref="O99" r:id="rId94" display="https://leetcode.com/problems/maximum-product-subarray/" xr:uid="{00000000-0004-0000-1000-00005D000000}"/>
    <hyperlink ref="O100" r:id="rId95" display="https://leetcode.com/problems/find-minimum-in-rotated-sorted-array/" xr:uid="{00000000-0004-0000-1000-00005E000000}"/>
    <hyperlink ref="O101" r:id="rId96" display="https://leetcode.com/problems/min-stack/" xr:uid="{00000000-0004-0000-1000-00005F000000}"/>
    <hyperlink ref="O102" r:id="rId97" display="https://leetcode.com/problems/intersection-of-two-linked-lists/" xr:uid="{00000000-0004-0000-1000-000060000000}"/>
    <hyperlink ref="O103" r:id="rId98" display="https://leetcode.com/problems/find-peak-element/" xr:uid="{00000000-0004-0000-1000-000061000000}"/>
    <hyperlink ref="O104" r:id="rId99" display="https://leetcode.com/problems/two-sum-ii-input-array-is-sorted/" xr:uid="{00000000-0004-0000-1000-000062000000}"/>
    <hyperlink ref="O105" r:id="rId100" display="https://leetcode.com/problems/majority-element/" xr:uid="{00000000-0004-0000-1000-000063000000}"/>
    <hyperlink ref="O106" r:id="rId101" display="https://leetcode.com/problems/binary-search-tree-iterator/" xr:uid="{00000000-0004-0000-1000-000064000000}"/>
    <hyperlink ref="O107" r:id="rId102" display="https://leetcode.com/problems/second-highest-salary/" xr:uid="{00000000-0004-0000-1000-000065000000}"/>
    <hyperlink ref="O108" r:id="rId103" display="https://leetcode.com/problems/rotate-array/" xr:uid="{00000000-0004-0000-1000-000066000000}"/>
    <hyperlink ref="O109" r:id="rId104" display="https://leetcode.com/problems/number-of-1-bits/" xr:uid="{00000000-0004-0000-1000-000067000000}"/>
    <hyperlink ref="O110" r:id="rId105" display="https://leetcode.com/problems/house-robber/" xr:uid="{00000000-0004-0000-1000-000068000000}"/>
    <hyperlink ref="O111" r:id="rId106" display="https://leetcode.com/problems/binary-tree-right-side-view/" xr:uid="{00000000-0004-0000-1000-000069000000}"/>
    <hyperlink ref="O112" r:id="rId107" display="https://leetcode.com/problems/number-of-islands/" xr:uid="{00000000-0004-0000-1000-00006A000000}"/>
    <hyperlink ref="O113" r:id="rId108" display="https://leetcode.com/problems/happy-number/" xr:uid="{00000000-0004-0000-1000-00006B000000}"/>
    <hyperlink ref="O114" r:id="rId109" display="https://leetcode.com/problems/isomorphic-strings/" xr:uid="{00000000-0004-0000-1000-00006C000000}"/>
    <hyperlink ref="O115" r:id="rId110" display="https://leetcode.com/problems/reverse-linked-list/" xr:uid="{00000000-0004-0000-1000-00006D000000}"/>
    <hyperlink ref="O116" r:id="rId111" display="https://leetcode.com/problems/course-schedule/" xr:uid="{00000000-0004-0000-1000-00006E000000}"/>
    <hyperlink ref="O117" r:id="rId112" display="https://leetcode.com/problems/implement-trie-prefix-tree/" xr:uid="{00000000-0004-0000-1000-00006F000000}"/>
    <hyperlink ref="O118" r:id="rId113" display="https://leetcode.com/problems/course-schedule-ii/" xr:uid="{00000000-0004-0000-1000-000070000000}"/>
    <hyperlink ref="O119" r:id="rId114" display="https://leetcode.com/problems/kth-largest-element-in-an-array/" xr:uid="{00000000-0004-0000-1000-000071000000}"/>
    <hyperlink ref="O120" r:id="rId115" display="https://leetcode.com/problems/contains-duplicate/" xr:uid="{00000000-0004-0000-1000-000072000000}"/>
    <hyperlink ref="O121" r:id="rId116" display="https://leetcode.com/problems/contains-duplicate-ii/" xr:uid="{00000000-0004-0000-1000-000073000000}"/>
    <hyperlink ref="O122" r:id="rId117" display="https://leetcode.com/problems/basic-calculator/" xr:uid="{00000000-0004-0000-1000-000074000000}"/>
    <hyperlink ref="O123" r:id="rId118" display="https://leetcode.com/problems/implement-stack-using-queues/" xr:uid="{00000000-0004-0000-1000-000075000000}"/>
    <hyperlink ref="O124" r:id="rId119" display="https://leetcode.com/problems/basic-calculator-ii/" xr:uid="{00000000-0004-0000-1000-000076000000}"/>
    <hyperlink ref="O125" r:id="rId120" display="https://leetcode.com/problems/kth-smallest-element-in-a-bst/" xr:uid="{00000000-0004-0000-1000-000077000000}"/>
    <hyperlink ref="O126" r:id="rId121" display="https://leetcode.com/problems/power-of-two/" xr:uid="{00000000-0004-0000-1000-000078000000}"/>
    <hyperlink ref="O127" r:id="rId122" display="https://leetcode.com/problems/implement-queue-using-stacks/" xr:uid="{00000000-0004-0000-1000-000079000000}"/>
    <hyperlink ref="O128" r:id="rId123" display="https://leetcode.com/problems/palindrome-linked-list/" xr:uid="{00000000-0004-0000-1000-00007A000000}"/>
    <hyperlink ref="O129" r:id="rId124" display="https://leetcode.com/problems/lowest-common-ancestor-of-a-binary-search-tree/" xr:uid="{00000000-0004-0000-1000-00007B000000}"/>
    <hyperlink ref="O130" r:id="rId125" display="https://leetcode.com/problems/lowest-common-ancestor-of-a-binary-tree/" xr:uid="{00000000-0004-0000-1000-00007C000000}"/>
    <hyperlink ref="O131" r:id="rId126" display="https://leetcode.com/problems/delete-node-in-a-linked-list/" xr:uid="{00000000-0004-0000-1000-00007D000000}"/>
    <hyperlink ref="O132" r:id="rId127" display="https://leetcode.com/problems/product-of-array-except-self/" xr:uid="{00000000-0004-0000-1000-00007E000000}"/>
    <hyperlink ref="O133" r:id="rId128" display="https://leetcode.com/problems/sliding-window-maximum/" xr:uid="{00000000-0004-0000-1000-00007F000000}"/>
    <hyperlink ref="O134" r:id="rId129" display="https://leetcode.com/problems/valid-anagram/" xr:uid="{00000000-0004-0000-1000-000080000000}"/>
    <hyperlink ref="O135" r:id="rId130" display="https://leetcode.com/problems/strobogrammatic-number/" xr:uid="{00000000-0004-0000-1000-000081000000}"/>
    <hyperlink ref="O136" r:id="rId131" display="https://leetcode.com/problems/group-shifted-strings/" xr:uid="{00000000-0004-0000-1000-000082000000}"/>
    <hyperlink ref="O137" r:id="rId132" display="https://leetcode.com/problems/meeting-rooms-ii/" xr:uid="{00000000-0004-0000-1000-000083000000}"/>
    <hyperlink ref="O138" r:id="rId133" display="https://leetcode.com/problems/alien-dictionary/" xr:uid="{00000000-0004-0000-1000-000084000000}"/>
    <hyperlink ref="O139" r:id="rId134" display="https://leetcode.com/problems/closest-binary-search-tree-value/" xr:uid="{00000000-0004-0000-1000-000085000000}"/>
    <hyperlink ref="O140" r:id="rId135" display="https://leetcode.com/problems/first-bad-version/" xr:uid="{00000000-0004-0000-1000-000086000000}"/>
    <hyperlink ref="O141" r:id="rId136" display="https://leetcode.com/problems/expression-add-operators/" xr:uid="{00000000-0004-0000-1000-000087000000}"/>
    <hyperlink ref="O142" r:id="rId137" display="https://leetcode.com/problems/move-zeroes/" xr:uid="{00000000-0004-0000-1000-000088000000}"/>
    <hyperlink ref="O143" r:id="rId138" display="https://leetcode.com/problems/walls-and-gates/" xr:uid="{00000000-0004-0000-1000-000089000000}"/>
    <hyperlink ref="O144" r:id="rId139" display="https://leetcode.com/problems/find-the-duplicate-number/" xr:uid="{00000000-0004-0000-1000-00008A000000}"/>
    <hyperlink ref="O145" r:id="rId140" display="https://leetcode.com/problems/longest-increasing-subsequence/" xr:uid="{00000000-0004-0000-1000-00008B000000}"/>
    <hyperlink ref="O146" r:id="rId141" display="https://leetcode.com/problems/remove-invalid-parentheses/" xr:uid="{00000000-0004-0000-1000-00008C000000}"/>
    <hyperlink ref="O147" r:id="rId142" display="https://leetcode.com/problems/range-sum-query-immutable/" xr:uid="{00000000-0004-0000-1000-00008D000000}"/>
    <hyperlink ref="O148" r:id="rId143" display="https://leetcode.com/problems/binary-tree-vertical-order-traversal/" xr:uid="{00000000-0004-0000-1000-00008E000000}"/>
    <hyperlink ref="O149" r:id="rId144" display="https://leetcode.com/problems/coin-change/" xr:uid="{00000000-0004-0000-1000-00008F000000}"/>
    <hyperlink ref="O150" r:id="rId145" display="https://leetcode.com/problems/longest-increasing-path-in-a-matrix/" xr:uid="{00000000-0004-0000-1000-000090000000}"/>
    <hyperlink ref="O151" r:id="rId146" display="https://leetcode.com/problems/increasing-triplet-subsequence/" xr:uid="{00000000-0004-0000-1000-000091000000}"/>
    <hyperlink ref="O152" r:id="rId147" display="https://leetcode.com/problems/nested-list-weight-sum/" xr:uid="{00000000-0004-0000-1000-000092000000}"/>
    <hyperlink ref="O153" r:id="rId148" display="https://leetcode.com/problems/reverse-string/" xr:uid="{00000000-0004-0000-1000-000093000000}"/>
    <hyperlink ref="O154" r:id="rId149" display="https://leetcode.com/problems/reverse-vowels-of-a-string/" xr:uid="{00000000-0004-0000-1000-000094000000}"/>
    <hyperlink ref="O155" r:id="rId150" display="https://leetcode.com/problems/moving-average-from-data-stream/" xr:uid="{00000000-0004-0000-1000-000095000000}"/>
    <hyperlink ref="O156" r:id="rId151" display="https://leetcode.com/problems/top-k-frequent-elements/" xr:uid="{00000000-0004-0000-1000-000096000000}"/>
    <hyperlink ref="O157" r:id="rId152" display="https://leetcode.com/problems/design-tic-tac-toe/" xr:uid="{00000000-0004-0000-1000-000097000000}"/>
    <hyperlink ref="O158" r:id="rId153" display="https://leetcode.com/problems/intersection-of-two-arrays/" xr:uid="{00000000-0004-0000-1000-000098000000}"/>
    <hyperlink ref="O159" r:id="rId154" display="https://leetcode.com/problems/kth-smallest-element-in-a-sorted-matrix/" xr:uid="{00000000-0004-0000-1000-000099000000}"/>
    <hyperlink ref="O160" r:id="rId155" display="https://leetcode.com/problems/valid-word-abbreviation/" xr:uid="{00000000-0004-0000-1000-00009A000000}"/>
    <hyperlink ref="O161" r:id="rId156" display="https://leetcode.com/problems/split-array-largest-sum/" xr:uid="{00000000-0004-0000-1000-00009B000000}"/>
    <hyperlink ref="O162" r:id="rId157" display="https://leetcode.com/problems/add-strings/" xr:uid="{00000000-0004-0000-1000-00009C000000}"/>
    <hyperlink ref="O163" r:id="rId158" display="https://leetcode.com/problems/partition-equal-subset-sum/" xr:uid="{00000000-0004-0000-1000-00009D000000}"/>
    <hyperlink ref="O164" r:id="rId159" display="https://leetcode.com/problems/battleships-in-a-board/" xr:uid="{00000000-0004-0000-1000-00009E000000}"/>
    <hyperlink ref="O165" r:id="rId160" display="https://leetcode.com/problems/longest-repeating-character-replacement/" xr:uid="{00000000-0004-0000-1000-00009F000000}"/>
    <hyperlink ref="O166" r:id="rId161" display="https://leetcode.com/problems/convert-binary-search-tree-to-sorted-doubly-linked-list/" xr:uid="{00000000-0004-0000-1000-0000A0000000}"/>
    <hyperlink ref="O167" r:id="rId162" display="https://leetcode.com/problems/non-overlapping-intervals/" xr:uid="{00000000-0004-0000-1000-0000A1000000}"/>
    <hyperlink ref="O168" r:id="rId163" display="https://leetcode.com/problems/find-all-anagrams-in-a-string/" xr:uid="{00000000-0004-0000-1000-0000A2000000}"/>
    <hyperlink ref="O169" r:id="rId164" display="https://leetcode.com/problems/string-compression/" xr:uid="{00000000-0004-0000-1000-0000A3000000}"/>
    <hyperlink ref="O170" r:id="rId165" display="https://leetcode.com/problems/sliding-window-median/" xr:uid="{00000000-0004-0000-1000-0000A4000000}"/>
    <hyperlink ref="O171" r:id="rId166" display="https://leetcode.com/problems/max-consecutive-ones/" xr:uid="{00000000-0004-0000-1000-0000A5000000}"/>
    <hyperlink ref="O172" r:id="rId167" display="https://leetcode.com/problems/robot-room-cleaner/" xr:uid="{00000000-0004-0000-1000-0000A6000000}"/>
    <hyperlink ref="O173" r:id="rId168" display="https://leetcode.com/problems/reverse-pairs/" xr:uid="{00000000-0004-0000-1000-0000A7000000}"/>
    <hyperlink ref="O174" r:id="rId169" display="https://leetcode.com/problems/next-greater-element-i/" xr:uid="{00000000-0004-0000-1000-0000A8000000}"/>
    <hyperlink ref="O175" r:id="rId170" display="https://leetcode.com/problems/diagonal-traverse/" xr:uid="{00000000-0004-0000-1000-0000A9000000}"/>
    <hyperlink ref="O176" r:id="rId171" display="https://leetcode.com/problems/coin-change-ii/" xr:uid="{00000000-0004-0000-1000-0000AA000000}"/>
    <hyperlink ref="O177" r:id="rId172" display="https://leetcode.com/problems/continuous-subarray-sum/" xr:uid="{00000000-0004-0000-1000-0000AB000000}"/>
    <hyperlink ref="O178" r:id="rId173" display="https://leetcode.com/problems/contiguous-array/" xr:uid="{00000000-0004-0000-1000-0000AC000000}"/>
    <hyperlink ref="O179" r:id="rId174" display="https://leetcode.com/problems/random-pick-with-weight/" xr:uid="{00000000-0004-0000-1000-0000AD000000}"/>
    <hyperlink ref="O180" r:id="rId175" display="https://leetcode.com/problems/minesweeper/" xr:uid="{00000000-0004-0000-1000-0000AE000000}"/>
    <hyperlink ref="O181" r:id="rId176" display="https://leetcode.com/problems/single-element-in-a-sorted-array/" xr:uid="{00000000-0004-0000-1000-0000AF000000}"/>
    <hyperlink ref="O182" r:id="rId177" display="https://leetcode.com/problems/diameter-of-binary-tree/" xr:uid="{00000000-0004-0000-1000-0000B0000000}"/>
    <hyperlink ref="O183" r:id="rId178" display="https://leetcode.com/problems/boundary-of-binary-tree/" xr:uid="{00000000-0004-0000-1000-0000B1000000}"/>
    <hyperlink ref="O184" r:id="rId179" display="https://leetcode.com/problems/subarray-sum-equals-k/" xr:uid="{00000000-0004-0000-1000-0000B2000000}"/>
    <hyperlink ref="O185" r:id="rId180" display="https://leetcode.com/problems/can-place-flowers/" xr:uid="{00000000-0004-0000-1000-0000B3000000}"/>
    <hyperlink ref="O186" r:id="rId181" display="https://leetcode.com/problems/exclusive-time-of-functions/" xr:uid="{00000000-0004-0000-1000-0000B4000000}"/>
    <hyperlink ref="O187" r:id="rId182" display="https://leetcode.com/problems/palindromic-substrings/" xr:uid="{00000000-0004-0000-1000-0000B5000000}"/>
    <hyperlink ref="O188" r:id="rId183" display="https://leetcode.com/problems/maximum-swap/" xr:uid="{00000000-0004-0000-1000-0000B6000000}"/>
    <hyperlink ref="O189" r:id="rId184" display="https://leetcode.com/problems/valid-parenthesis-string/" xr:uid="{00000000-0004-0000-1000-0000B7000000}"/>
    <hyperlink ref="O190" r:id="rId185" display="https://leetcode.com/problems/valid-palindrome-ii/" xr:uid="{00000000-0004-0000-1000-0000B8000000}"/>
    <hyperlink ref="O191" r:id="rId186" display="https://leetcode.com/problems/max-area-of-island/" xr:uid="{00000000-0004-0000-1000-0000B9000000}"/>
    <hyperlink ref="O192" r:id="rId187" display="https://leetcode.com/problems/binary-search/" xr:uid="{00000000-0004-0000-1000-0000BA000000}"/>
    <hyperlink ref="O193" r:id="rId188" display="https://leetcode.com/problems/design-hashmap/" xr:uid="{00000000-0004-0000-1000-0000BB000000}"/>
    <hyperlink ref="O194" r:id="rId189" display="https://leetcode.com/problems/insert-into-a-sorted-circular-linked-list/" xr:uid="{00000000-0004-0000-1000-0000BC000000}"/>
    <hyperlink ref="O195" r:id="rId190" display="https://leetcode.com/problems/accounts-merge/" xr:uid="{00000000-0004-0000-1000-0000BD000000}"/>
    <hyperlink ref="O196" r:id="rId191" display="https://leetcode.com/problems/find-pivot-index/" xr:uid="{00000000-0004-0000-1000-0000BE000000}"/>
    <hyperlink ref="O197" r:id="rId192" display="https://leetcode.com/problems/asteroid-collision/" xr:uid="{00000000-0004-0000-1000-0000BF000000}"/>
    <hyperlink ref="O198" r:id="rId193" display="https://leetcode.com/problems/daily-temperatures/" xr:uid="{00000000-0004-0000-1000-0000C0000000}"/>
    <hyperlink ref="O199" r:id="rId194" display="https://leetcode.com/problems/toeplitz-matrix/" xr:uid="{00000000-0004-0000-1000-0000C1000000}"/>
    <hyperlink ref="O200" r:id="rId195" display="https://leetcode.com/problems/swim-in-rising-water/" xr:uid="{00000000-0004-0000-1000-0000C2000000}"/>
    <hyperlink ref="O201" r:id="rId196" display="https://leetcode.com/problems/custom-sort-string/" xr:uid="{00000000-0004-0000-1000-0000C3000000}"/>
    <hyperlink ref="O202" r:id="rId197" display="https://leetcode.com/problems/goat-latin/" xr:uid="{00000000-0004-0000-1000-0000C4000000}"/>
    <hyperlink ref="O203" r:id="rId198" display="https://leetcode.com/problems/friends-of-appropriate-ages/" xr:uid="{00000000-0004-0000-1000-0000C5000000}"/>
    <hyperlink ref="O204" r:id="rId199" display="https://leetcode.com/problems/making-a-large-island/" xr:uid="{00000000-0004-0000-1000-0000C6000000}"/>
    <hyperlink ref="O205" r:id="rId200" display="https://leetcode.com/problems/all-nodes-distance-k-in-binary-tree/" xr:uid="{00000000-0004-0000-1000-0000C7000000}"/>
    <hyperlink ref="O206" r:id="rId201" display="https://leetcode.com/problems/smallest-subtree-with-all-the-deepest-nodes/" xr:uid="{00000000-0004-0000-1000-0000C8000000}"/>
    <hyperlink ref="O207" r:id="rId202" display="https://leetcode.com/problems/koko-eating-bananas/" xr:uid="{00000000-0004-0000-1000-0000C9000000}"/>
    <hyperlink ref="O208" r:id="rId203" display="https://leetcode.com/problems/middle-of-the-linked-list/" xr:uid="{00000000-0004-0000-1000-0000CA000000}"/>
    <hyperlink ref="O209" r:id="rId204" display="https://leetcode.com/problems/minimum-add-to-make-parentheses-valid/" xr:uid="{00000000-0004-0000-1000-0000CB000000}"/>
    <hyperlink ref="O210" r:id="rId205" display="https://leetcode.com/problems/shortest-bridge/" xr:uid="{00000000-0004-0000-1000-0000CC000000}"/>
    <hyperlink ref="O211" r:id="rId206" display="https://leetcode.com/problems/range-sum-of-bst/" xr:uid="{00000000-0004-0000-1000-0000CD000000}"/>
    <hyperlink ref="O212" r:id="rId207" display="https://leetcode.com/problems/k-closest-points-to-origin/" xr:uid="{00000000-0004-0000-1000-0000CE000000}"/>
    <hyperlink ref="O213" r:id="rId208" display="https://leetcode.com/problems/squares-of-a-sorted-array/" xr:uid="{00000000-0004-0000-1000-0000CF000000}"/>
    <hyperlink ref="O214" r:id="rId209" display="https://leetcode.com/problems/interval-list-intersections/" xr:uid="{00000000-0004-0000-1000-0000D0000000}"/>
    <hyperlink ref="O215" r:id="rId210" display="https://leetcode.com/problems/vertical-order-traversal-of-a-binary-tree/" xr:uid="{00000000-0004-0000-1000-0000D1000000}"/>
    <hyperlink ref="O216" r:id="rId211" display="https://leetcode.com/problems/rotting-oranges/" xr:uid="{00000000-0004-0000-1000-0000D2000000}"/>
    <hyperlink ref="O217" r:id="rId212" display="https://leetcode.com/problems/max-consecutive-ones-iii/" xr:uid="{00000000-0004-0000-1000-0000D3000000}"/>
    <hyperlink ref="O218" r:id="rId213" display="https://leetcode.com/problems/capacity-to-ship-packages-within-d-days/" xr:uid="{00000000-0004-0000-1000-0000D4000000}"/>
    <hyperlink ref="O219" r:id="rId214" display="https://leetcode.com/problems/remove-all-adjacent-duplicates-in-string/" xr:uid="{00000000-0004-0000-1000-0000D5000000}"/>
    <hyperlink ref="O220" r:id="rId215" display="https://leetcode.com/problems/shortest-path-in-binary-matrix/" xr:uid="{00000000-0004-0000-1000-0000D6000000}"/>
    <hyperlink ref="O221" r:id="rId216" display="https://leetcode.com/problems/longest-common-subsequence/" xr:uid="{00000000-0004-0000-1000-0000D7000000}"/>
    <hyperlink ref="O222" r:id="rId217" display="https://leetcode.com/problems/valid-palindrome-iii/" xr:uid="{00000000-0004-0000-1000-0000D8000000}"/>
    <hyperlink ref="O223" r:id="rId218" display="https://leetcode.com/problems/minimum-remove-to-make-valid-parentheses/" xr:uid="{00000000-0004-0000-1000-0000D9000000}"/>
    <hyperlink ref="O224" r:id="rId219" display="https://leetcode.com/problems/diagonal-traverse-ii/" xr:uid="{00000000-0004-0000-1000-0000DA000000}"/>
    <hyperlink ref="O225" r:id="rId220" display="https://leetcode.com/problems/kth-missing-positive-number/" xr:uid="{00000000-0004-0000-1000-0000DB000000}"/>
    <hyperlink ref="O226" r:id="rId221" display="https://leetcode.com/problems/dot-product-of-two-sparse-vectors/" xr:uid="{00000000-0004-0000-1000-0000DC000000}"/>
    <hyperlink ref="O227" r:id="rId222" display="https://leetcode.com/problems/lowest-common-ancestor-of-a-binary-tree-iii/" xr:uid="{00000000-0004-0000-1000-0000DD000000}"/>
    <hyperlink ref="O228" r:id="rId223" display="https://leetcode.com/problems/recyclable-and-low-fat-products/" xr:uid="{00000000-0004-0000-1000-0000DE000000}"/>
    <hyperlink ref="O229" r:id="rId224" display="https://leetcode.com/problems/buildings-with-an-ocean-view/" xr:uid="{00000000-0004-0000-1000-0000DF000000}"/>
    <hyperlink ref="O230" r:id="rId225" display="https://leetcode.com/problems/product-of-two-run-length-encoded-arrays/" xr:uid="{00000000-0004-0000-1000-0000E0000000}"/>
  </hyperlink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223"/>
  <sheetViews>
    <sheetView showGridLines="0" topLeftCell="H1" zoomScaleNormal="100" workbookViewId="0">
      <pane ySplit="5" topLeftCell="A252" activePane="bottomLeft" state="frozen"/>
      <selection pane="bottomLeft" activeCell="A6" sqref="A6"/>
    </sheetView>
  </sheetViews>
  <sheetFormatPr baseColWidth="10" defaultColWidth="8.6640625" defaultRowHeight="15" x14ac:dyDescent="0.2"/>
  <cols>
    <col min="1" max="1" width="4" customWidth="1"/>
    <col min="2" max="2" width="6" customWidth="1"/>
    <col min="3" max="3" width="42" customWidth="1"/>
    <col min="4" max="5" width="10" customWidth="1"/>
    <col min="6" max="6" width="40" customWidth="1"/>
    <col min="7" max="7" width="28" customWidth="1"/>
    <col min="8" max="9" width="14" customWidth="1"/>
    <col min="10" max="10" width="12" customWidth="1"/>
    <col min="11" max="11" width="30" customWidth="1"/>
    <col min="12" max="12" width="52" style="52" customWidth="1"/>
    <col min="13" max="14" width="33.33203125" customWidth="1"/>
    <col min="15" max="15" width="80" customWidth="1"/>
  </cols>
  <sheetData>
    <row r="1" spans="1:15" ht="27.75" customHeight="1" x14ac:dyDescent="0.2">
      <c r="A1" s="353" t="s">
        <v>4886</v>
      </c>
      <c r="B1" s="292"/>
      <c r="C1" s="292"/>
      <c r="D1" s="292"/>
      <c r="E1" s="292"/>
      <c r="F1" s="292"/>
      <c r="G1" s="292"/>
      <c r="H1" s="292"/>
      <c r="I1" s="292"/>
      <c r="J1" s="292"/>
      <c r="K1" s="292"/>
    </row>
    <row r="2" spans="1:15" ht="4.5" customHeight="1" x14ac:dyDescent="0.2">
      <c r="A2" s="292"/>
      <c r="B2" s="292"/>
      <c r="C2" s="292"/>
      <c r="D2" s="292"/>
      <c r="E2" s="292"/>
      <c r="F2" s="292"/>
      <c r="G2" s="292"/>
      <c r="H2" s="292"/>
      <c r="I2" s="292"/>
      <c r="J2" s="292"/>
      <c r="K2" s="292"/>
    </row>
    <row r="3" spans="1:15" ht="15.75" customHeight="1" x14ac:dyDescent="0.2">
      <c r="A3" s="352" t="s">
        <v>4887</v>
      </c>
      <c r="B3" s="292"/>
      <c r="C3" s="292"/>
      <c r="D3" s="292"/>
      <c r="E3" s="292"/>
      <c r="F3" s="292"/>
      <c r="G3" s="292"/>
      <c r="H3" s="292"/>
      <c r="I3" s="292"/>
      <c r="J3" s="292"/>
      <c r="K3" s="292"/>
    </row>
    <row r="4" spans="1:15" ht="15.75" customHeight="1" x14ac:dyDescent="0.2">
      <c r="A4" s="291" t="s">
        <v>5125</v>
      </c>
      <c r="B4" s="292"/>
      <c r="C4" s="292"/>
      <c r="D4" s="292"/>
      <c r="E4" s="292"/>
      <c r="F4" s="292"/>
      <c r="G4" s="292"/>
      <c r="H4" s="292"/>
      <c r="I4" s="292"/>
      <c r="J4" s="292"/>
      <c r="K4" s="292"/>
    </row>
    <row r="5" spans="1:15" ht="31.5" customHeight="1" x14ac:dyDescent="0.2">
      <c r="A5" s="131" t="s">
        <v>1</v>
      </c>
      <c r="B5" s="131" t="s">
        <v>2</v>
      </c>
      <c r="C5" s="131" t="s">
        <v>3</v>
      </c>
      <c r="D5" s="131" t="s">
        <v>4430</v>
      </c>
      <c r="E5" s="131" t="s">
        <v>5</v>
      </c>
      <c r="F5" s="131" t="s">
        <v>4122</v>
      </c>
      <c r="G5" s="131" t="s">
        <v>4242</v>
      </c>
      <c r="H5" s="131" t="s">
        <v>4120</v>
      </c>
      <c r="I5" s="131" t="s">
        <v>7</v>
      </c>
      <c r="J5" s="131" t="s">
        <v>8</v>
      </c>
      <c r="K5" s="131" t="s">
        <v>13</v>
      </c>
      <c r="L5" s="272" t="s">
        <v>14</v>
      </c>
      <c r="M5" s="131" t="s">
        <v>15</v>
      </c>
      <c r="N5" s="131" t="s">
        <v>16</v>
      </c>
      <c r="O5" s="211" t="s">
        <v>17</v>
      </c>
    </row>
    <row r="6" spans="1:15" ht="31.5" customHeight="1" x14ac:dyDescent="0.2">
      <c r="A6" s="7">
        <v>1</v>
      </c>
      <c r="B6" s="7">
        <v>1</v>
      </c>
      <c r="C6" s="13" t="s">
        <v>18</v>
      </c>
      <c r="D6" s="7" t="s">
        <v>4432</v>
      </c>
      <c r="E6" s="21" t="s">
        <v>20</v>
      </c>
      <c r="F6" s="3" t="s">
        <v>19</v>
      </c>
      <c r="G6" s="3" t="s">
        <v>4244</v>
      </c>
      <c r="H6" s="7">
        <f>IFERROR(VLOOKUP(B6,'📊 Problem Tracker'!$B$4:$F$1200,5,FALSE()),"")</f>
        <v>0</v>
      </c>
      <c r="I6" s="7"/>
      <c r="J6" s="7"/>
      <c r="K6" s="3"/>
      <c r="L6" s="228" t="s">
        <v>23</v>
      </c>
      <c r="M6" s="7" t="s">
        <v>24</v>
      </c>
      <c r="N6" s="176" t="s">
        <v>24</v>
      </c>
      <c r="O6" s="191" t="str">
        <f>HYPERLINK("https://leetcode.com/problems/two-sum/","https://leetcode.com/problems/two-sum/")</f>
        <v>https://leetcode.com/problems/two-sum/</v>
      </c>
    </row>
    <row r="7" spans="1:15" ht="31.5" customHeight="1" x14ac:dyDescent="0.2">
      <c r="A7" s="132">
        <v>2</v>
      </c>
      <c r="B7" s="132">
        <v>2</v>
      </c>
      <c r="C7" s="133" t="s">
        <v>26</v>
      </c>
      <c r="D7" s="132" t="s">
        <v>4433</v>
      </c>
      <c r="E7" s="134" t="s">
        <v>28</v>
      </c>
      <c r="F7" s="135" t="s">
        <v>27</v>
      </c>
      <c r="G7" s="135" t="s">
        <v>127</v>
      </c>
      <c r="H7" s="132">
        <f>IFERROR(VLOOKUP(B7,'📊 Problem Tracker'!$B$4:$F$1200,5,FALSE()),"")</f>
        <v>0</v>
      </c>
      <c r="I7" s="132"/>
      <c r="J7" s="132"/>
      <c r="K7" s="135"/>
      <c r="L7" s="273" t="s">
        <v>31</v>
      </c>
      <c r="M7" s="132" t="s">
        <v>32</v>
      </c>
      <c r="N7" s="182" t="s">
        <v>32</v>
      </c>
      <c r="O7" s="195" t="str">
        <f>HYPERLINK("https://leetcode.com/problems/add-two-numbers/","https://leetcode.com/problems/add-two-numbers/")</f>
        <v>https://leetcode.com/problems/add-two-numbers/</v>
      </c>
    </row>
    <row r="8" spans="1:15" ht="31.5" customHeight="1" x14ac:dyDescent="0.2">
      <c r="A8" s="7">
        <v>3</v>
      </c>
      <c r="B8" s="7">
        <v>3</v>
      </c>
      <c r="C8" s="13" t="s">
        <v>34</v>
      </c>
      <c r="D8" s="7" t="s">
        <v>4434</v>
      </c>
      <c r="E8" s="18" t="s">
        <v>28</v>
      </c>
      <c r="F8" s="3" t="s">
        <v>427</v>
      </c>
      <c r="G8" s="3" t="s">
        <v>917</v>
      </c>
      <c r="H8" s="7">
        <f>IFERROR(VLOOKUP(B8,'📊 Problem Tracker'!$B$4:$F$1200,5,FALSE()),"")</f>
        <v>0</v>
      </c>
      <c r="I8" s="7"/>
      <c r="J8" s="7"/>
      <c r="K8" s="3"/>
      <c r="L8" s="228" t="s">
        <v>37</v>
      </c>
      <c r="M8" s="7" t="s">
        <v>24</v>
      </c>
      <c r="N8" s="176" t="s">
        <v>38</v>
      </c>
      <c r="O8" s="191" t="str">
        <f>HYPERLINK("https://leetcode.com/problems/longest-substring-without-repeating-characters/","https://leetcode.com/problems/longest-substring-without-repeating-characters/")</f>
        <v>https://leetcode.com/problems/longest-substring-without-repeating-characters/</v>
      </c>
    </row>
    <row r="9" spans="1:15" ht="31.5" customHeight="1" x14ac:dyDescent="0.2">
      <c r="A9" s="132">
        <v>4</v>
      </c>
      <c r="B9" s="132">
        <v>4</v>
      </c>
      <c r="C9" s="133" t="s">
        <v>40</v>
      </c>
      <c r="D9" s="132" t="s">
        <v>4435</v>
      </c>
      <c r="E9" s="136" t="s">
        <v>42</v>
      </c>
      <c r="F9" s="135" t="s">
        <v>41</v>
      </c>
      <c r="G9" s="135" t="s">
        <v>512</v>
      </c>
      <c r="H9" s="132">
        <f>IFERROR(VLOOKUP(B9,'📊 Problem Tracker'!$B$4:$F$1200,5,FALSE()),"")</f>
        <v>0</v>
      </c>
      <c r="I9" s="132"/>
      <c r="J9" s="132"/>
      <c r="K9" s="135"/>
      <c r="L9" s="273" t="s">
        <v>4238</v>
      </c>
      <c r="M9" s="132" t="s">
        <v>46</v>
      </c>
      <c r="N9" s="182" t="s">
        <v>47</v>
      </c>
      <c r="O9" s="195" t="str">
        <f>HYPERLINK("https://leetcode.com/problems/median-of-two-sorted-arrays/","https://leetcode.com/problems/median-of-two-sorted-arrays/")</f>
        <v>https://leetcode.com/problems/median-of-two-sorted-arrays/</v>
      </c>
    </row>
    <row r="10" spans="1:15" ht="31.5" customHeight="1" x14ac:dyDescent="0.2">
      <c r="A10" s="7">
        <v>5</v>
      </c>
      <c r="B10" s="7">
        <v>5</v>
      </c>
      <c r="C10" s="13" t="s">
        <v>49</v>
      </c>
      <c r="D10" s="7" t="s">
        <v>4436</v>
      </c>
      <c r="E10" s="18" t="s">
        <v>28</v>
      </c>
      <c r="F10" s="3" t="s">
        <v>50</v>
      </c>
      <c r="G10" s="3" t="s">
        <v>4731</v>
      </c>
      <c r="H10" s="7">
        <f>IFERROR(VLOOKUP(B10,'📊 Problem Tracker'!$B$4:$F$1200,5,FALSE()),"")</f>
        <v>0</v>
      </c>
      <c r="I10" s="7"/>
      <c r="J10" s="7"/>
      <c r="K10" s="3"/>
      <c r="L10" s="228" t="s">
        <v>52</v>
      </c>
      <c r="M10" s="7" t="s">
        <v>53</v>
      </c>
      <c r="N10" s="176" t="s">
        <v>47</v>
      </c>
      <c r="O10" s="191" t="str">
        <f>HYPERLINK("https://leetcode.com/problems/longest-palindromic-substring/","https://leetcode.com/problems/longest-palindromic-substring/")</f>
        <v>https://leetcode.com/problems/longest-palindromic-substring/</v>
      </c>
    </row>
    <row r="11" spans="1:15" ht="31.5" customHeight="1" x14ac:dyDescent="0.2">
      <c r="A11" s="132">
        <v>6</v>
      </c>
      <c r="B11" s="132">
        <v>7</v>
      </c>
      <c r="C11" s="133" t="s">
        <v>61</v>
      </c>
      <c r="D11" s="132" t="s">
        <v>4438</v>
      </c>
      <c r="E11" s="134" t="s">
        <v>28</v>
      </c>
      <c r="F11" s="135" t="s">
        <v>62</v>
      </c>
      <c r="G11" s="135" t="s">
        <v>62</v>
      </c>
      <c r="H11" s="132">
        <f>IFERROR(VLOOKUP(B11,'📊 Problem Tracker'!$B$4:$F$1200,5,FALSE()),"")</f>
        <v>0</v>
      </c>
      <c r="I11" s="132"/>
      <c r="J11" s="132"/>
      <c r="K11" s="135"/>
      <c r="L11" s="273" t="s">
        <v>64</v>
      </c>
      <c r="M11" s="132" t="s">
        <v>65</v>
      </c>
      <c r="N11" s="182" t="s">
        <v>47</v>
      </c>
      <c r="O11" s="195" t="str">
        <f>HYPERLINK("https://leetcode.com/problems/reverse-integer/","https://leetcode.com/problems/reverse-integer/")</f>
        <v>https://leetcode.com/problems/reverse-integer/</v>
      </c>
    </row>
    <row r="12" spans="1:15" ht="31.5" customHeight="1" x14ac:dyDescent="0.2">
      <c r="A12" s="7">
        <v>7</v>
      </c>
      <c r="B12" s="7">
        <v>8</v>
      </c>
      <c r="C12" s="13" t="s">
        <v>67</v>
      </c>
      <c r="D12" s="7" t="s">
        <v>4439</v>
      </c>
      <c r="E12" s="18" t="s">
        <v>28</v>
      </c>
      <c r="F12" s="3" t="s">
        <v>56</v>
      </c>
      <c r="G12" s="3" t="s">
        <v>4246</v>
      </c>
      <c r="H12" s="7">
        <f>IFERROR(VLOOKUP(B12,'📊 Problem Tracker'!$B$4:$F$1200,5,FALSE()),"")</f>
        <v>0</v>
      </c>
      <c r="I12" s="7"/>
      <c r="J12" s="7"/>
      <c r="K12" s="3"/>
      <c r="L12" s="228" t="s">
        <v>70</v>
      </c>
      <c r="M12" s="7" t="s">
        <v>24</v>
      </c>
      <c r="N12" s="176" t="s">
        <v>47</v>
      </c>
      <c r="O12" s="191" t="str">
        <f>HYPERLINK("https://leetcode.com/problems/string-to-integer-atoi/","https://leetcode.com/problems/string-to-integer-atoi/")</f>
        <v>https://leetcode.com/problems/string-to-integer-atoi/</v>
      </c>
    </row>
    <row r="13" spans="1:15" ht="31.5" customHeight="1" x14ac:dyDescent="0.2">
      <c r="A13" s="132">
        <v>8</v>
      </c>
      <c r="B13" s="132">
        <v>9</v>
      </c>
      <c r="C13" s="133" t="s">
        <v>72</v>
      </c>
      <c r="D13" s="132" t="s">
        <v>4440</v>
      </c>
      <c r="E13" s="137" t="s">
        <v>20</v>
      </c>
      <c r="F13" s="135" t="s">
        <v>62</v>
      </c>
      <c r="G13" s="135" t="s">
        <v>62</v>
      </c>
      <c r="H13" s="132">
        <f>IFERROR(VLOOKUP(B13,'📊 Problem Tracker'!$B$4:$F$1200,5,FALSE()),"")</f>
        <v>0</v>
      </c>
      <c r="I13" s="132"/>
      <c r="J13" s="132"/>
      <c r="K13" s="135"/>
      <c r="L13" s="273" t="s">
        <v>75</v>
      </c>
      <c r="M13" s="132" t="s">
        <v>65</v>
      </c>
      <c r="N13" s="182" t="s">
        <v>47</v>
      </c>
      <c r="O13" s="195" t="str">
        <f>HYPERLINK("https://leetcode.com/problems/palindrome-number/","https://leetcode.com/problems/palindrome-number/")</f>
        <v>https://leetcode.com/problems/palindrome-number/</v>
      </c>
    </row>
    <row r="14" spans="1:15" ht="31.5" customHeight="1" x14ac:dyDescent="0.2">
      <c r="A14" s="7">
        <v>9</v>
      </c>
      <c r="B14" s="7">
        <v>10</v>
      </c>
      <c r="C14" s="13" t="s">
        <v>77</v>
      </c>
      <c r="D14" s="7" t="s">
        <v>4441</v>
      </c>
      <c r="E14" s="20" t="s">
        <v>42</v>
      </c>
      <c r="F14" s="3" t="s">
        <v>675</v>
      </c>
      <c r="G14" s="3" t="s">
        <v>1042</v>
      </c>
      <c r="H14" s="7">
        <f>IFERROR(VLOOKUP(B14,'📊 Problem Tracker'!$B$4:$F$1200,5,FALSE()),"")</f>
        <v>0</v>
      </c>
      <c r="I14" s="7"/>
      <c r="J14" s="7"/>
      <c r="K14" s="3"/>
      <c r="L14" s="228" t="s">
        <v>80</v>
      </c>
      <c r="M14" s="7" t="s">
        <v>81</v>
      </c>
      <c r="N14" s="176" t="s">
        <v>81</v>
      </c>
      <c r="O14" s="191" t="str">
        <f>HYPERLINK("https://leetcode.com/problems/regular-expression-matching/","https://leetcode.com/problems/regular-expression-matching/")</f>
        <v>https://leetcode.com/problems/regular-expression-matching/</v>
      </c>
    </row>
    <row r="15" spans="1:15" ht="31.5" customHeight="1" x14ac:dyDescent="0.2">
      <c r="A15" s="132">
        <v>10</v>
      </c>
      <c r="B15" s="132">
        <v>11</v>
      </c>
      <c r="C15" s="133" t="s">
        <v>83</v>
      </c>
      <c r="D15" s="132" t="s">
        <v>4442</v>
      </c>
      <c r="E15" s="134" t="s">
        <v>28</v>
      </c>
      <c r="F15" s="135" t="s">
        <v>84</v>
      </c>
      <c r="G15" s="135" t="s">
        <v>689</v>
      </c>
      <c r="H15" s="132">
        <f>IFERROR(VLOOKUP(B15,'📊 Problem Tracker'!$B$4:$F$1200,5,FALSE()),"")</f>
        <v>0</v>
      </c>
      <c r="I15" s="132"/>
      <c r="J15" s="132"/>
      <c r="K15" s="135"/>
      <c r="L15" s="273" t="s">
        <v>86</v>
      </c>
      <c r="M15" s="132" t="s">
        <v>24</v>
      </c>
      <c r="N15" s="182" t="s">
        <v>47</v>
      </c>
      <c r="O15" s="195" t="str">
        <f>HYPERLINK("https://leetcode.com/problems/container-with-most-water/","https://leetcode.com/problems/container-with-most-water/")</f>
        <v>https://leetcode.com/problems/container-with-most-water/</v>
      </c>
    </row>
    <row r="16" spans="1:15" ht="31.5" customHeight="1" x14ac:dyDescent="0.2">
      <c r="A16" s="7">
        <v>11</v>
      </c>
      <c r="B16" s="7">
        <v>12</v>
      </c>
      <c r="C16" s="13" t="s">
        <v>88</v>
      </c>
      <c r="D16" s="7" t="s">
        <v>4443</v>
      </c>
      <c r="E16" s="18" t="s">
        <v>28</v>
      </c>
      <c r="F16" s="3" t="s">
        <v>56</v>
      </c>
      <c r="G16" s="3" t="s">
        <v>62</v>
      </c>
      <c r="H16" s="7">
        <f>IFERROR(VLOOKUP(B16,'📊 Problem Tracker'!$B$4:$F$1200,5,FALSE()),"")</f>
        <v>0</v>
      </c>
      <c r="I16" s="7"/>
      <c r="J16" s="7"/>
      <c r="K16" s="3"/>
      <c r="L16" s="228" t="s">
        <v>91</v>
      </c>
      <c r="M16" s="7" t="s">
        <v>47</v>
      </c>
      <c r="N16" s="176" t="s">
        <v>47</v>
      </c>
      <c r="O16" s="191" t="str">
        <f>HYPERLINK("https://leetcode.com/problems/integer-to-roman/","https://leetcode.com/problems/integer-to-roman/")</f>
        <v>https://leetcode.com/problems/integer-to-roman/</v>
      </c>
    </row>
    <row r="17" spans="1:15" ht="31.5" customHeight="1" x14ac:dyDescent="0.2">
      <c r="A17" s="132">
        <v>12</v>
      </c>
      <c r="B17" s="132">
        <v>13</v>
      </c>
      <c r="C17" s="133" t="s">
        <v>93</v>
      </c>
      <c r="D17" s="132" t="s">
        <v>4444</v>
      </c>
      <c r="E17" s="137" t="s">
        <v>20</v>
      </c>
      <c r="F17" s="135" t="s">
        <v>56</v>
      </c>
      <c r="G17" s="135" t="s">
        <v>62</v>
      </c>
      <c r="H17" s="132">
        <f>IFERROR(VLOOKUP(B17,'📊 Problem Tracker'!$B$4:$F$1200,5,FALSE()),"")</f>
        <v>0</v>
      </c>
      <c r="I17" s="132"/>
      <c r="J17" s="132"/>
      <c r="K17" s="135"/>
      <c r="L17" s="273" t="s">
        <v>95</v>
      </c>
      <c r="M17" s="132" t="s">
        <v>24</v>
      </c>
      <c r="N17" s="182" t="s">
        <v>47</v>
      </c>
      <c r="O17" s="195" t="str">
        <f>HYPERLINK("https://leetcode.com/problems/roman-to-integer/","https://leetcode.com/problems/roman-to-integer/")</f>
        <v>https://leetcode.com/problems/roman-to-integer/</v>
      </c>
    </row>
    <row r="18" spans="1:15" ht="31.5" customHeight="1" x14ac:dyDescent="0.2">
      <c r="A18" s="7">
        <v>13</v>
      </c>
      <c r="B18" s="7">
        <v>14</v>
      </c>
      <c r="C18" s="13" t="s">
        <v>97</v>
      </c>
      <c r="D18" s="7" t="s">
        <v>4445</v>
      </c>
      <c r="E18" s="21" t="s">
        <v>20</v>
      </c>
      <c r="F18" s="3" t="s">
        <v>98</v>
      </c>
      <c r="G18" s="3" t="s">
        <v>98</v>
      </c>
      <c r="H18" s="7">
        <f>IFERROR(VLOOKUP(B18,'📊 Problem Tracker'!$B$4:$F$1200,5,FALSE()),"")</f>
        <v>0</v>
      </c>
      <c r="I18" s="7"/>
      <c r="J18" s="7"/>
      <c r="K18" s="3"/>
      <c r="L18" s="228" t="s">
        <v>100</v>
      </c>
      <c r="M18" s="7" t="s">
        <v>101</v>
      </c>
      <c r="N18" s="176" t="s">
        <v>47</v>
      </c>
      <c r="O18" s="191" t="str">
        <f>HYPERLINK("https://leetcode.com/problems/longest-common-prefix/","https://leetcode.com/problems/longest-common-prefix/")</f>
        <v>https://leetcode.com/problems/longest-common-prefix/</v>
      </c>
    </row>
    <row r="19" spans="1:15" ht="31.5" customHeight="1" x14ac:dyDescent="0.2">
      <c r="A19" s="132">
        <v>14</v>
      </c>
      <c r="B19" s="132">
        <v>15</v>
      </c>
      <c r="C19" s="133" t="s">
        <v>103</v>
      </c>
      <c r="D19" s="132" t="s">
        <v>4446</v>
      </c>
      <c r="E19" s="134" t="s">
        <v>28</v>
      </c>
      <c r="F19" s="135" t="s">
        <v>84</v>
      </c>
      <c r="G19" s="135" t="s">
        <v>689</v>
      </c>
      <c r="H19" s="132">
        <f>IFERROR(VLOOKUP(B19,'📊 Problem Tracker'!$B$4:$F$1200,5,FALSE()),"")</f>
        <v>0</v>
      </c>
      <c r="I19" s="132"/>
      <c r="J19" s="132"/>
      <c r="K19" s="135"/>
      <c r="L19" s="273" t="s">
        <v>106</v>
      </c>
      <c r="M19" s="132" t="s">
        <v>53</v>
      </c>
      <c r="N19" s="182" t="s">
        <v>47</v>
      </c>
      <c r="O19" s="195" t="str">
        <f>HYPERLINK("https://leetcode.com/problems/3sum/","https://leetcode.com/problems/3sum/")</f>
        <v>https://leetcode.com/problems/3sum/</v>
      </c>
    </row>
    <row r="20" spans="1:15" ht="31.5" customHeight="1" x14ac:dyDescent="0.2">
      <c r="A20" s="7">
        <v>15</v>
      </c>
      <c r="B20" s="7">
        <v>17</v>
      </c>
      <c r="C20" s="13" t="s">
        <v>113</v>
      </c>
      <c r="D20" s="7" t="s">
        <v>4448</v>
      </c>
      <c r="E20" s="18" t="s">
        <v>28</v>
      </c>
      <c r="F20" s="3" t="s">
        <v>114</v>
      </c>
      <c r="G20" s="3" t="s">
        <v>300</v>
      </c>
      <c r="H20" s="7">
        <f>IFERROR(VLOOKUP(B20,'📊 Problem Tracker'!$B$4:$F$1200,5,FALSE()),"")</f>
        <v>0</v>
      </c>
      <c r="I20" s="7"/>
      <c r="J20" s="7"/>
      <c r="K20" s="3"/>
      <c r="L20" s="228" t="s">
        <v>117</v>
      </c>
      <c r="M20" s="7" t="s">
        <v>118</v>
      </c>
      <c r="N20" s="176" t="s">
        <v>24</v>
      </c>
      <c r="O20" s="191" t="str">
        <f>HYPERLINK("https://leetcode.com/problems/letter-combinations-of-a-phone-number/","https://leetcode.com/problems/letter-combinations-of-a-phone-number/")</f>
        <v>https://leetcode.com/problems/letter-combinations-of-a-phone-number/</v>
      </c>
    </row>
    <row r="21" spans="1:15" ht="31.5" customHeight="1" x14ac:dyDescent="0.2">
      <c r="A21" s="132">
        <v>16</v>
      </c>
      <c r="B21" s="132">
        <v>18</v>
      </c>
      <c r="C21" s="133" t="s">
        <v>120</v>
      </c>
      <c r="D21" s="132" t="s">
        <v>4449</v>
      </c>
      <c r="E21" s="134" t="s">
        <v>28</v>
      </c>
      <c r="F21" s="135" t="s">
        <v>84</v>
      </c>
      <c r="G21" s="135" t="s">
        <v>689</v>
      </c>
      <c r="H21" s="132">
        <f>IFERROR(VLOOKUP(B21,'📊 Problem Tracker'!$B$4:$F$1200,5,FALSE()),"")</f>
        <v>0</v>
      </c>
      <c r="I21" s="132"/>
      <c r="J21" s="132"/>
      <c r="K21" s="135"/>
      <c r="L21" s="273" t="s">
        <v>123</v>
      </c>
      <c r="M21" s="132" t="s">
        <v>124</v>
      </c>
      <c r="N21" s="182" t="s">
        <v>47</v>
      </c>
      <c r="O21" s="195" t="str">
        <f>HYPERLINK("https://leetcode.com/problems/4sum/","https://leetcode.com/problems/4sum/")</f>
        <v>https://leetcode.com/problems/4sum/</v>
      </c>
    </row>
    <row r="22" spans="1:15" ht="31.5" customHeight="1" x14ac:dyDescent="0.2">
      <c r="A22" s="7">
        <v>17</v>
      </c>
      <c r="B22" s="7">
        <v>19</v>
      </c>
      <c r="C22" s="13" t="s">
        <v>126</v>
      </c>
      <c r="D22" s="7" t="s">
        <v>4450</v>
      </c>
      <c r="E22" s="18" t="s">
        <v>28</v>
      </c>
      <c r="F22" s="3" t="s">
        <v>679</v>
      </c>
      <c r="G22" s="3" t="s">
        <v>127</v>
      </c>
      <c r="H22" s="7">
        <f>IFERROR(VLOOKUP(B22,'📊 Problem Tracker'!$B$4:$F$1200,5,FALSE()),"")</f>
        <v>0</v>
      </c>
      <c r="I22" s="7"/>
      <c r="J22" s="7"/>
      <c r="K22" s="3"/>
      <c r="L22" s="228" t="s">
        <v>130</v>
      </c>
      <c r="M22" s="7" t="s">
        <v>24</v>
      </c>
      <c r="N22" s="176" t="s">
        <v>47</v>
      </c>
      <c r="O22" s="191" t="str">
        <f>HYPERLINK("https://leetcode.com/problems/remove-nth-node-from-end-of-list/","https://leetcode.com/problems/remove-nth-node-from-end-of-list/")</f>
        <v>https://leetcode.com/problems/remove-nth-node-from-end-of-list/</v>
      </c>
    </row>
    <row r="23" spans="1:15" ht="31.5" customHeight="1" x14ac:dyDescent="0.2">
      <c r="A23" s="132">
        <v>18</v>
      </c>
      <c r="B23" s="132">
        <v>20</v>
      </c>
      <c r="C23" s="133" t="s">
        <v>132</v>
      </c>
      <c r="D23" s="132" t="s">
        <v>4451</v>
      </c>
      <c r="E23" s="137" t="s">
        <v>20</v>
      </c>
      <c r="F23" s="135" t="s">
        <v>133</v>
      </c>
      <c r="G23" s="135" t="s">
        <v>540</v>
      </c>
      <c r="H23" s="132">
        <f>IFERROR(VLOOKUP(B23,'📊 Problem Tracker'!$B$4:$F$1200,5,FALSE()),"")</f>
        <v>0</v>
      </c>
      <c r="I23" s="132"/>
      <c r="J23" s="132"/>
      <c r="K23" s="135"/>
      <c r="L23" s="273" t="s">
        <v>135</v>
      </c>
      <c r="M23" s="132" t="s">
        <v>24</v>
      </c>
      <c r="N23" s="182" t="s">
        <v>24</v>
      </c>
      <c r="O23" s="195" t="str">
        <f>HYPERLINK("https://leetcode.com/problems/valid-parentheses/","https://leetcode.com/problems/valid-parentheses/")</f>
        <v>https://leetcode.com/problems/valid-parentheses/</v>
      </c>
    </row>
    <row r="24" spans="1:15" ht="31.5" customHeight="1" x14ac:dyDescent="0.2">
      <c r="A24" s="7">
        <v>19</v>
      </c>
      <c r="B24" s="7">
        <v>21</v>
      </c>
      <c r="C24" s="13" t="s">
        <v>137</v>
      </c>
      <c r="D24" s="7" t="s">
        <v>4452</v>
      </c>
      <c r="E24" s="21" t="s">
        <v>20</v>
      </c>
      <c r="F24" s="3" t="s">
        <v>127</v>
      </c>
      <c r="G24" s="3" t="s">
        <v>127</v>
      </c>
      <c r="H24" s="7">
        <f>IFERROR(VLOOKUP(B24,'📊 Problem Tracker'!$B$4:$F$1200,5,FALSE()),"")</f>
        <v>0</v>
      </c>
      <c r="I24" s="7"/>
      <c r="J24" s="7"/>
      <c r="K24" s="3"/>
      <c r="L24" s="228" t="s">
        <v>139</v>
      </c>
      <c r="M24" s="7" t="s">
        <v>140</v>
      </c>
      <c r="N24" s="176" t="s">
        <v>141</v>
      </c>
      <c r="O24" s="191" t="str">
        <f>HYPERLINK("https://leetcode.com/problems/merge-two-sorted-lists/","https://leetcode.com/problems/merge-two-sorted-lists/")</f>
        <v>https://leetcode.com/problems/merge-two-sorted-lists/</v>
      </c>
    </row>
    <row r="25" spans="1:15" ht="31.5" customHeight="1" x14ac:dyDescent="0.2">
      <c r="A25" s="132">
        <v>20</v>
      </c>
      <c r="B25" s="132">
        <v>22</v>
      </c>
      <c r="C25" s="133" t="s">
        <v>143</v>
      </c>
      <c r="D25" s="132" t="s">
        <v>4453</v>
      </c>
      <c r="E25" s="134" t="s">
        <v>28</v>
      </c>
      <c r="F25" s="135" t="s">
        <v>4251</v>
      </c>
      <c r="G25" s="135" t="s">
        <v>300</v>
      </c>
      <c r="H25" s="132">
        <f>IFERROR(VLOOKUP(B25,'📊 Problem Tracker'!$B$4:$F$1200,5,FALSE()),"")</f>
        <v>0</v>
      </c>
      <c r="I25" s="132"/>
      <c r="J25" s="132"/>
      <c r="K25" s="135"/>
      <c r="L25" s="273" t="s">
        <v>145</v>
      </c>
      <c r="M25" s="132" t="s">
        <v>146</v>
      </c>
      <c r="N25" s="182" t="s">
        <v>24</v>
      </c>
      <c r="O25" s="195" t="str">
        <f>HYPERLINK("https://leetcode.com/problems/generate-parentheses/","https://leetcode.com/problems/generate-parentheses/")</f>
        <v>https://leetcode.com/problems/generate-parentheses/</v>
      </c>
    </row>
    <row r="26" spans="1:15" ht="31.5" customHeight="1" x14ac:dyDescent="0.2">
      <c r="A26" s="7">
        <v>21</v>
      </c>
      <c r="B26" s="7">
        <v>23</v>
      </c>
      <c r="C26" s="13" t="s">
        <v>148</v>
      </c>
      <c r="D26" s="7" t="s">
        <v>4454</v>
      </c>
      <c r="E26" s="20" t="s">
        <v>42</v>
      </c>
      <c r="F26" s="3" t="s">
        <v>149</v>
      </c>
      <c r="G26" s="3" t="s">
        <v>4455</v>
      </c>
      <c r="H26" s="7">
        <f>IFERROR(VLOOKUP(B26,'📊 Problem Tracker'!$B$4:$F$1200,5,FALSE()),"")</f>
        <v>0</v>
      </c>
      <c r="I26" s="7"/>
      <c r="J26" s="7"/>
      <c r="K26" s="3"/>
      <c r="L26" s="228" t="s">
        <v>151</v>
      </c>
      <c r="M26" s="7" t="s">
        <v>152</v>
      </c>
      <c r="N26" s="176" t="s">
        <v>153</v>
      </c>
      <c r="O26" s="191" t="str">
        <f>HYPERLINK("https://leetcode.com/problems/merge-k-sorted-lists/","https://leetcode.com/problems/merge-k-sorted-lists/")</f>
        <v>https://leetcode.com/problems/merge-k-sorted-lists/</v>
      </c>
    </row>
    <row r="27" spans="1:15" ht="31.5" customHeight="1" x14ac:dyDescent="0.2">
      <c r="A27" s="132">
        <v>22</v>
      </c>
      <c r="B27" s="132">
        <v>25</v>
      </c>
      <c r="C27" s="133" t="s">
        <v>160</v>
      </c>
      <c r="D27" s="132" t="s">
        <v>4457</v>
      </c>
      <c r="E27" s="136" t="s">
        <v>42</v>
      </c>
      <c r="F27" s="135" t="s">
        <v>127</v>
      </c>
      <c r="G27" s="135" t="s">
        <v>4458</v>
      </c>
      <c r="H27" s="132">
        <f>IFERROR(VLOOKUP(B27,'📊 Problem Tracker'!$B$4:$F$1200,5,FALSE()),"")</f>
        <v>0</v>
      </c>
      <c r="I27" s="132"/>
      <c r="J27" s="132"/>
      <c r="K27" s="135"/>
      <c r="L27" s="273" t="s">
        <v>163</v>
      </c>
      <c r="M27" s="132" t="s">
        <v>24</v>
      </c>
      <c r="N27" s="182" t="s">
        <v>47</v>
      </c>
      <c r="O27" s="195" t="str">
        <f>HYPERLINK("https://leetcode.com/problems/reverse-nodes-in-k-group/","https://leetcode.com/problems/reverse-nodes-in-k-group/")</f>
        <v>https://leetcode.com/problems/reverse-nodes-in-k-group/</v>
      </c>
    </row>
    <row r="28" spans="1:15" ht="31.5" customHeight="1" x14ac:dyDescent="0.2">
      <c r="A28" s="7">
        <v>23</v>
      </c>
      <c r="B28" s="7">
        <v>26</v>
      </c>
      <c r="C28" s="13" t="s">
        <v>165</v>
      </c>
      <c r="D28" s="7" t="s">
        <v>4459</v>
      </c>
      <c r="E28" s="21" t="s">
        <v>20</v>
      </c>
      <c r="F28" s="3" t="s">
        <v>84</v>
      </c>
      <c r="G28" s="3" t="s">
        <v>689</v>
      </c>
      <c r="H28" s="7">
        <f>IFERROR(VLOOKUP(B28,'📊 Problem Tracker'!$B$4:$F$1200,5,FALSE()),"")</f>
        <v>0</v>
      </c>
      <c r="I28" s="7"/>
      <c r="J28" s="7"/>
      <c r="K28" s="3"/>
      <c r="L28" s="228" t="s">
        <v>169</v>
      </c>
      <c r="M28" s="7" t="s">
        <v>24</v>
      </c>
      <c r="N28" s="176" t="s">
        <v>47</v>
      </c>
      <c r="O28" s="191" t="str">
        <f>HYPERLINK("https://leetcode.com/problems/remove-duplicates-from-sorted-array/","https://leetcode.com/problems/remove-duplicates-from-sorted-array/")</f>
        <v>https://leetcode.com/problems/remove-duplicates-from-sorted-array/</v>
      </c>
    </row>
    <row r="29" spans="1:15" ht="31.5" customHeight="1" x14ac:dyDescent="0.2">
      <c r="A29" s="132">
        <v>24</v>
      </c>
      <c r="B29" s="132">
        <v>27</v>
      </c>
      <c r="C29" s="133" t="s">
        <v>171</v>
      </c>
      <c r="D29" s="132" t="s">
        <v>4460</v>
      </c>
      <c r="E29" s="137" t="s">
        <v>20</v>
      </c>
      <c r="F29" s="135" t="s">
        <v>166</v>
      </c>
      <c r="G29" s="135" t="s">
        <v>166</v>
      </c>
      <c r="H29" s="132">
        <f>IFERROR(VLOOKUP(B29,'📊 Problem Tracker'!$B$4:$F$1200,5,FALSE()),"")</f>
        <v>0</v>
      </c>
      <c r="I29" s="132"/>
      <c r="J29" s="132"/>
      <c r="K29" s="135"/>
      <c r="L29" s="273" t="s">
        <v>173</v>
      </c>
      <c r="M29" s="132" t="s">
        <v>24</v>
      </c>
      <c r="N29" s="182" t="s">
        <v>47</v>
      </c>
      <c r="O29" s="195" t="str">
        <f>HYPERLINK("https://leetcode.com/problems/remove-element/","https://leetcode.com/problems/remove-element/")</f>
        <v>https://leetcode.com/problems/remove-element/</v>
      </c>
    </row>
    <row r="30" spans="1:15" ht="31.5" customHeight="1" x14ac:dyDescent="0.2">
      <c r="A30" s="7">
        <v>25</v>
      </c>
      <c r="B30" s="7">
        <v>28</v>
      </c>
      <c r="C30" s="13" t="s">
        <v>175</v>
      </c>
      <c r="D30" s="7" t="s">
        <v>4461</v>
      </c>
      <c r="E30" s="21" t="s">
        <v>20</v>
      </c>
      <c r="F30" s="3" t="s">
        <v>611</v>
      </c>
      <c r="G30" s="3" t="s">
        <v>4732</v>
      </c>
      <c r="H30" s="7">
        <f>IFERROR(VLOOKUP(B30,'📊 Problem Tracker'!$B$4:$F$1200,5,FALSE()),"")</f>
        <v>0</v>
      </c>
      <c r="I30" s="7"/>
      <c r="J30" s="7"/>
      <c r="K30" s="3"/>
      <c r="L30" s="228" t="s">
        <v>177</v>
      </c>
      <c r="M30" s="7" t="s">
        <v>178</v>
      </c>
      <c r="N30" s="176" t="s">
        <v>47</v>
      </c>
      <c r="O30" s="191" t="str">
        <f>HYPERLINK("https://leetcode.com/problems/find-the-index-of-the-first-occurrence-in-a-string/","https://leetcode.com/problems/find-the-index-of-the-first-occurrence-in-a-string/")</f>
        <v>https://leetcode.com/problems/find-the-index-of-the-first-occurrence-in-a-string/</v>
      </c>
    </row>
    <row r="31" spans="1:15" ht="31.5" customHeight="1" x14ac:dyDescent="0.2">
      <c r="A31" s="132">
        <v>26</v>
      </c>
      <c r="B31" s="132">
        <v>31</v>
      </c>
      <c r="C31" s="133" t="s">
        <v>192</v>
      </c>
      <c r="D31" s="132" t="s">
        <v>4463</v>
      </c>
      <c r="E31" s="134" t="s">
        <v>28</v>
      </c>
      <c r="F31" s="135" t="s">
        <v>84</v>
      </c>
      <c r="G31" s="135" t="s">
        <v>689</v>
      </c>
      <c r="H31" s="132">
        <f>IFERROR(VLOOKUP(B31,'📊 Problem Tracker'!$B$4:$F$1200,5,FALSE()),"")</f>
        <v>0</v>
      </c>
      <c r="I31" s="132"/>
      <c r="J31" s="132"/>
      <c r="K31" s="135"/>
      <c r="L31" s="273" t="s">
        <v>195</v>
      </c>
      <c r="M31" s="132" t="s">
        <v>24</v>
      </c>
      <c r="N31" s="182" t="s">
        <v>47</v>
      </c>
      <c r="O31" s="195" t="str">
        <f>HYPERLINK("https://leetcode.com/problems/next-permutation/","https://leetcode.com/problems/next-permutation/")</f>
        <v>https://leetcode.com/problems/next-permutation/</v>
      </c>
    </row>
    <row r="32" spans="1:15" ht="31.5" customHeight="1" x14ac:dyDescent="0.2">
      <c r="A32" s="7">
        <v>27</v>
      </c>
      <c r="B32" s="7">
        <v>32</v>
      </c>
      <c r="C32" s="13" t="s">
        <v>197</v>
      </c>
      <c r="D32" s="7" t="s">
        <v>4464</v>
      </c>
      <c r="E32" s="20" t="s">
        <v>42</v>
      </c>
      <c r="F32" s="3" t="s">
        <v>198</v>
      </c>
      <c r="G32" s="3" t="s">
        <v>4465</v>
      </c>
      <c r="H32" s="7">
        <f>IFERROR(VLOOKUP(B32,'📊 Problem Tracker'!$B$4:$F$1200,5,FALSE()),"")</f>
        <v>0</v>
      </c>
      <c r="I32" s="7"/>
      <c r="J32" s="7"/>
      <c r="K32" s="3"/>
      <c r="L32" s="228" t="s">
        <v>200</v>
      </c>
      <c r="M32" s="7" t="s">
        <v>24</v>
      </c>
      <c r="N32" s="176" t="s">
        <v>24</v>
      </c>
      <c r="O32" s="191" t="str">
        <f>HYPERLINK("https://leetcode.com/problems/longest-valid-parentheses/","https://leetcode.com/problems/longest-valid-parentheses/")</f>
        <v>https://leetcode.com/problems/longest-valid-parentheses/</v>
      </c>
    </row>
    <row r="33" spans="1:15" ht="31.5" customHeight="1" x14ac:dyDescent="0.2">
      <c r="A33" s="132">
        <v>28</v>
      </c>
      <c r="B33" s="132">
        <v>33</v>
      </c>
      <c r="C33" s="133" t="s">
        <v>202</v>
      </c>
      <c r="D33" s="132" t="s">
        <v>4466</v>
      </c>
      <c r="E33" s="134" t="s">
        <v>28</v>
      </c>
      <c r="F33" s="135" t="s">
        <v>41</v>
      </c>
      <c r="G33" s="135" t="s">
        <v>4255</v>
      </c>
      <c r="H33" s="132">
        <f>IFERROR(VLOOKUP(B33,'📊 Problem Tracker'!$B$4:$F$1200,5,FALSE()),"")</f>
        <v>0</v>
      </c>
      <c r="I33" s="132"/>
      <c r="J33" s="132"/>
      <c r="K33" s="135"/>
      <c r="L33" s="273" t="s">
        <v>204</v>
      </c>
      <c r="M33" s="132" t="s">
        <v>65</v>
      </c>
      <c r="N33" s="182" t="s">
        <v>47</v>
      </c>
      <c r="O33" s="195" t="str">
        <f>HYPERLINK("https://leetcode.com/problems/search-in-rotated-sorted-array/","https://leetcode.com/problems/search-in-rotated-sorted-array/")</f>
        <v>https://leetcode.com/problems/search-in-rotated-sorted-array/</v>
      </c>
    </row>
    <row r="34" spans="1:15" ht="31.5" customHeight="1" x14ac:dyDescent="0.2">
      <c r="A34" s="7">
        <v>29</v>
      </c>
      <c r="B34" s="7">
        <v>34</v>
      </c>
      <c r="C34" s="13" t="s">
        <v>206</v>
      </c>
      <c r="D34" s="7" t="s">
        <v>4467</v>
      </c>
      <c r="E34" s="18" t="s">
        <v>28</v>
      </c>
      <c r="F34" s="3" t="s">
        <v>41</v>
      </c>
      <c r="G34" s="3" t="s">
        <v>512</v>
      </c>
      <c r="H34" s="7">
        <f>IFERROR(VLOOKUP(B34,'📊 Problem Tracker'!$B$4:$F$1200,5,FALSE()),"")</f>
        <v>0</v>
      </c>
      <c r="I34" s="7"/>
      <c r="J34" s="7"/>
      <c r="K34" s="3"/>
      <c r="L34" s="228" t="s">
        <v>208</v>
      </c>
      <c r="M34" s="7" t="s">
        <v>65</v>
      </c>
      <c r="N34" s="176" t="s">
        <v>47</v>
      </c>
      <c r="O34" s="191" t="str">
        <f>HYPERLINK("https://leetcode.com/problems/find-first-and-last-position-of-element-in-sorted-array/","https://leetcode.com/problems/find-first-and-last-position-of-element-in-sorted-array/")</f>
        <v>https://leetcode.com/problems/find-first-and-last-position-of-element-in-sorted-array/</v>
      </c>
    </row>
    <row r="35" spans="1:15" ht="31.5" customHeight="1" x14ac:dyDescent="0.2">
      <c r="A35" s="132">
        <v>30</v>
      </c>
      <c r="B35" s="132">
        <v>35</v>
      </c>
      <c r="C35" s="133" t="s">
        <v>210</v>
      </c>
      <c r="D35" s="132" t="s">
        <v>4468</v>
      </c>
      <c r="E35" s="137" t="s">
        <v>20</v>
      </c>
      <c r="F35" s="135" t="s">
        <v>41</v>
      </c>
      <c r="G35" s="135" t="s">
        <v>512</v>
      </c>
      <c r="H35" s="132">
        <f>IFERROR(VLOOKUP(B35,'📊 Problem Tracker'!$B$4:$F$1200,5,FALSE()),"")</f>
        <v>0</v>
      </c>
      <c r="I35" s="132"/>
      <c r="J35" s="132"/>
      <c r="K35" s="135"/>
      <c r="L35" s="273" t="s">
        <v>212</v>
      </c>
      <c r="M35" s="132" t="s">
        <v>65</v>
      </c>
      <c r="N35" s="182" t="s">
        <v>47</v>
      </c>
      <c r="O35" s="195" t="str">
        <f>HYPERLINK("https://leetcode.com/problems/search-insert-position/","https://leetcode.com/problems/search-insert-position/")</f>
        <v>https://leetcode.com/problems/search-insert-position/</v>
      </c>
    </row>
    <row r="36" spans="1:15" ht="31.5" customHeight="1" x14ac:dyDescent="0.2">
      <c r="A36" s="7">
        <v>31</v>
      </c>
      <c r="B36" s="7">
        <v>40</v>
      </c>
      <c r="C36" s="13" t="s">
        <v>241</v>
      </c>
      <c r="D36" s="7" t="s">
        <v>4474</v>
      </c>
      <c r="E36" s="18" t="s">
        <v>28</v>
      </c>
      <c r="F36" s="3" t="s">
        <v>234</v>
      </c>
      <c r="G36" s="3" t="s">
        <v>300</v>
      </c>
      <c r="H36" s="7">
        <f>IFERROR(VLOOKUP(B36,'📊 Problem Tracker'!$B$4:$F$1200,5,FALSE()),"")</f>
        <v>0</v>
      </c>
      <c r="I36" s="7"/>
      <c r="J36" s="7"/>
      <c r="K36" s="3"/>
      <c r="L36" s="228" t="s">
        <v>244</v>
      </c>
      <c r="M36" s="7" t="s">
        <v>231</v>
      </c>
      <c r="N36" s="176" t="s">
        <v>24</v>
      </c>
      <c r="O36" s="191" t="str">
        <f>HYPERLINK("https://leetcode.com/problems/combination-sum-ii/","https://leetcode.com/problems/combination-sum-ii/")</f>
        <v>https://leetcode.com/problems/combination-sum-ii/</v>
      </c>
    </row>
    <row r="37" spans="1:15" ht="31.5" customHeight="1" x14ac:dyDescent="0.2">
      <c r="A37" s="132">
        <v>32</v>
      </c>
      <c r="B37" s="132">
        <v>41</v>
      </c>
      <c r="C37" s="133" t="s">
        <v>246</v>
      </c>
      <c r="D37" s="132" t="s">
        <v>4475</v>
      </c>
      <c r="E37" s="136" t="s">
        <v>42</v>
      </c>
      <c r="F37" s="135" t="s">
        <v>19</v>
      </c>
      <c r="G37" s="135" t="s">
        <v>1699</v>
      </c>
      <c r="H37" s="132">
        <f>IFERROR(VLOOKUP(B37,'📊 Problem Tracker'!$B$4:$F$1200,5,FALSE()),"")</f>
        <v>0</v>
      </c>
      <c r="I37" s="132"/>
      <c r="J37" s="132"/>
      <c r="K37" s="135"/>
      <c r="L37" s="273" t="s">
        <v>249</v>
      </c>
      <c r="M37" s="132" t="s">
        <v>24</v>
      </c>
      <c r="N37" s="182" t="s">
        <v>47</v>
      </c>
      <c r="O37" s="195" t="str">
        <f>HYPERLINK("https://leetcode.com/problems/first-missing-positive/","https://leetcode.com/problems/first-missing-positive/")</f>
        <v>https://leetcode.com/problems/first-missing-positive/</v>
      </c>
    </row>
    <row r="38" spans="1:15" ht="31.5" customHeight="1" x14ac:dyDescent="0.2">
      <c r="A38" s="7">
        <v>33</v>
      </c>
      <c r="B38" s="7">
        <v>42</v>
      </c>
      <c r="C38" s="13" t="s">
        <v>251</v>
      </c>
      <c r="D38" s="7" t="s">
        <v>4476</v>
      </c>
      <c r="E38" s="20" t="s">
        <v>42</v>
      </c>
      <c r="F38" s="3" t="s">
        <v>4259</v>
      </c>
      <c r="G38" s="3" t="s">
        <v>4477</v>
      </c>
      <c r="H38" s="7">
        <f>IFERROR(VLOOKUP(B38,'📊 Problem Tracker'!$B$4:$F$1200,5,FALSE()),"")</f>
        <v>0</v>
      </c>
      <c r="I38" s="7"/>
      <c r="J38" s="7"/>
      <c r="K38" s="3"/>
      <c r="L38" s="228" t="s">
        <v>254</v>
      </c>
      <c r="M38" s="7" t="s">
        <v>24</v>
      </c>
      <c r="N38" s="176" t="s">
        <v>47</v>
      </c>
      <c r="O38" s="191" t="str">
        <f>HYPERLINK("https://leetcode.com/problems/trapping-rain-water/","https://leetcode.com/problems/trapping-rain-water/")</f>
        <v>https://leetcode.com/problems/trapping-rain-water/</v>
      </c>
    </row>
    <row r="39" spans="1:15" ht="31.5" customHeight="1" x14ac:dyDescent="0.2">
      <c r="A39" s="132">
        <v>34</v>
      </c>
      <c r="B39" s="132">
        <v>44</v>
      </c>
      <c r="C39" s="133" t="s">
        <v>261</v>
      </c>
      <c r="D39" s="132" t="s">
        <v>4438</v>
      </c>
      <c r="E39" s="136" t="s">
        <v>42</v>
      </c>
      <c r="F39" s="135" t="s">
        <v>50</v>
      </c>
      <c r="G39" s="135" t="s">
        <v>1042</v>
      </c>
      <c r="H39" s="132">
        <f>IFERROR(VLOOKUP(B39,'📊 Problem Tracker'!$B$4:$F$1200,5,FALSE()),"")</f>
        <v>0</v>
      </c>
      <c r="I39" s="132"/>
      <c r="J39" s="132"/>
      <c r="K39" s="135"/>
      <c r="L39" s="273" t="s">
        <v>264</v>
      </c>
      <c r="M39" s="132" t="s">
        <v>81</v>
      </c>
      <c r="N39" s="182" t="s">
        <v>81</v>
      </c>
      <c r="O39" s="195" t="str">
        <f>HYPERLINK("https://leetcode.com/problems/wildcard-matching/","https://leetcode.com/problems/wildcard-matching/")</f>
        <v>https://leetcode.com/problems/wildcard-matching/</v>
      </c>
    </row>
    <row r="40" spans="1:15" ht="31.5" customHeight="1" x14ac:dyDescent="0.2">
      <c r="A40" s="7">
        <v>35</v>
      </c>
      <c r="B40" s="7">
        <v>45</v>
      </c>
      <c r="C40" s="13" t="s">
        <v>266</v>
      </c>
      <c r="D40" s="7" t="s">
        <v>4479</v>
      </c>
      <c r="E40" s="18" t="s">
        <v>28</v>
      </c>
      <c r="F40" s="3" t="s">
        <v>267</v>
      </c>
      <c r="G40" s="3" t="s">
        <v>4348</v>
      </c>
      <c r="H40" s="7">
        <f>IFERROR(VLOOKUP(B40,'📊 Problem Tracker'!$B$4:$F$1200,5,FALSE()),"")</f>
        <v>0</v>
      </c>
      <c r="I40" s="7"/>
      <c r="J40" s="7"/>
      <c r="K40" s="3"/>
      <c r="L40" s="228" t="s">
        <v>270</v>
      </c>
      <c r="M40" s="7" t="s">
        <v>24</v>
      </c>
      <c r="N40" s="176" t="s">
        <v>47</v>
      </c>
      <c r="O40" s="191" t="str">
        <f>HYPERLINK("https://leetcode.com/problems/jump-game-ii/","https://leetcode.com/problems/jump-game-ii/")</f>
        <v>https://leetcode.com/problems/jump-game-ii/</v>
      </c>
    </row>
    <row r="41" spans="1:15" ht="31.5" customHeight="1" x14ac:dyDescent="0.2">
      <c r="A41" s="132">
        <v>36</v>
      </c>
      <c r="B41" s="132">
        <v>46</v>
      </c>
      <c r="C41" s="133" t="s">
        <v>272</v>
      </c>
      <c r="D41" s="132" t="s">
        <v>4480</v>
      </c>
      <c r="E41" s="134" t="s">
        <v>28</v>
      </c>
      <c r="F41" s="135" t="s">
        <v>234</v>
      </c>
      <c r="G41" s="135" t="s">
        <v>300</v>
      </c>
      <c r="H41" s="132">
        <f>IFERROR(VLOOKUP(B41,'📊 Problem Tracker'!$B$4:$F$1200,5,FALSE()),"")</f>
        <v>0</v>
      </c>
      <c r="I41" s="132"/>
      <c r="J41" s="132"/>
      <c r="K41" s="135"/>
      <c r="L41" s="273" t="s">
        <v>274</v>
      </c>
      <c r="M41" s="132" t="s">
        <v>275</v>
      </c>
      <c r="N41" s="182" t="s">
        <v>24</v>
      </c>
      <c r="O41" s="195" t="str">
        <f>HYPERLINK("https://leetcode.com/problems/permutations/","https://leetcode.com/problems/permutations/")</f>
        <v>https://leetcode.com/problems/permutations/</v>
      </c>
    </row>
    <row r="42" spans="1:15" ht="31.5" customHeight="1" x14ac:dyDescent="0.2">
      <c r="A42" s="7">
        <v>37</v>
      </c>
      <c r="B42" s="7">
        <v>47</v>
      </c>
      <c r="C42" s="13" t="s">
        <v>277</v>
      </c>
      <c r="D42" s="7" t="s">
        <v>4623</v>
      </c>
      <c r="E42" s="18" t="s">
        <v>28</v>
      </c>
      <c r="F42" s="3" t="s">
        <v>234</v>
      </c>
      <c r="G42" s="3" t="s">
        <v>300</v>
      </c>
      <c r="H42" s="7">
        <f>IFERROR(VLOOKUP(B42,'📊 Problem Tracker'!$B$4:$F$1200,5,FALSE()),"")</f>
        <v>0</v>
      </c>
      <c r="I42" s="7"/>
      <c r="J42" s="7"/>
      <c r="K42" s="3"/>
      <c r="L42" s="228" t="s">
        <v>280</v>
      </c>
      <c r="M42" s="7" t="s">
        <v>275</v>
      </c>
      <c r="N42" s="176" t="s">
        <v>24</v>
      </c>
      <c r="O42" s="191" t="str">
        <f>HYPERLINK("https://leetcode.com/problems/permutations-ii/","https://leetcode.com/problems/permutations-ii/")</f>
        <v>https://leetcode.com/problems/permutations-ii/</v>
      </c>
    </row>
    <row r="43" spans="1:15" ht="31.5" customHeight="1" x14ac:dyDescent="0.2">
      <c r="A43" s="132">
        <v>38</v>
      </c>
      <c r="B43" s="132">
        <v>48</v>
      </c>
      <c r="C43" s="133" t="s">
        <v>282</v>
      </c>
      <c r="D43" s="132" t="s">
        <v>4481</v>
      </c>
      <c r="E43" s="134" t="s">
        <v>28</v>
      </c>
      <c r="F43" s="135" t="s">
        <v>283</v>
      </c>
      <c r="G43" s="135" t="s">
        <v>4187</v>
      </c>
      <c r="H43" s="132">
        <f>IFERROR(VLOOKUP(B43,'📊 Problem Tracker'!$B$4:$F$1200,5,FALSE()),"")</f>
        <v>0</v>
      </c>
      <c r="I43" s="132"/>
      <c r="J43" s="132"/>
      <c r="K43" s="135"/>
      <c r="L43" s="273" t="s">
        <v>286</v>
      </c>
      <c r="M43" s="132" t="s">
        <v>53</v>
      </c>
      <c r="N43" s="182" t="s">
        <v>47</v>
      </c>
      <c r="O43" s="195" t="str">
        <f>HYPERLINK("https://leetcode.com/problems/rotate-image/","https://leetcode.com/problems/rotate-image/")</f>
        <v>https://leetcode.com/problems/rotate-image/</v>
      </c>
    </row>
    <row r="44" spans="1:15" ht="31.5" customHeight="1" x14ac:dyDescent="0.2">
      <c r="A44" s="7">
        <v>39</v>
      </c>
      <c r="B44" s="7">
        <v>49</v>
      </c>
      <c r="C44" s="13" t="s">
        <v>288</v>
      </c>
      <c r="D44" s="7" t="s">
        <v>4482</v>
      </c>
      <c r="E44" s="18" t="s">
        <v>28</v>
      </c>
      <c r="F44" s="3" t="s">
        <v>289</v>
      </c>
      <c r="G44" s="3" t="s">
        <v>4244</v>
      </c>
      <c r="H44" s="7">
        <f>IFERROR(VLOOKUP(B44,'📊 Problem Tracker'!$B$4:$F$1200,5,FALSE()),"")</f>
        <v>0</v>
      </c>
      <c r="I44" s="7"/>
      <c r="J44" s="7"/>
      <c r="K44" s="3"/>
      <c r="L44" s="228" t="s">
        <v>291</v>
      </c>
      <c r="M44" s="7" t="s">
        <v>292</v>
      </c>
      <c r="N44" s="176" t="s">
        <v>292</v>
      </c>
      <c r="O44" s="191" t="str">
        <f>HYPERLINK("https://leetcode.com/problems/group-anagrams/","https://leetcode.com/problems/group-anagrams/")</f>
        <v>https://leetcode.com/problems/group-anagrams/</v>
      </c>
    </row>
    <row r="45" spans="1:15" ht="31.5" customHeight="1" x14ac:dyDescent="0.2">
      <c r="A45" s="132">
        <v>40</v>
      </c>
      <c r="B45" s="132">
        <v>50</v>
      </c>
      <c r="C45" s="133" t="s">
        <v>294</v>
      </c>
      <c r="D45" s="132" t="s">
        <v>4483</v>
      </c>
      <c r="E45" s="134" t="s">
        <v>28</v>
      </c>
      <c r="F45" s="135" t="s">
        <v>295</v>
      </c>
      <c r="G45" s="135" t="s">
        <v>4484</v>
      </c>
      <c r="H45" s="132">
        <f>IFERROR(VLOOKUP(B45,'📊 Problem Tracker'!$B$4:$F$1200,5,FALSE()),"")</f>
        <v>0</v>
      </c>
      <c r="I45" s="132"/>
      <c r="J45" s="132"/>
      <c r="K45" s="135"/>
      <c r="L45" s="273" t="s">
        <v>297</v>
      </c>
      <c r="M45" s="132" t="s">
        <v>65</v>
      </c>
      <c r="N45" s="182" t="s">
        <v>47</v>
      </c>
      <c r="O45" s="195" t="str">
        <f>HYPERLINK("https://leetcode.com/problems/powx-n/","https://leetcode.com/problems/powx-n/")</f>
        <v>https://leetcode.com/problems/powx-n/</v>
      </c>
    </row>
    <row r="46" spans="1:15" ht="31.5" customHeight="1" x14ac:dyDescent="0.2">
      <c r="A46" s="7">
        <v>41</v>
      </c>
      <c r="B46" s="7">
        <v>51</v>
      </c>
      <c r="C46" s="13" t="s">
        <v>299</v>
      </c>
      <c r="D46" s="7" t="s">
        <v>4485</v>
      </c>
      <c r="E46" s="20" t="s">
        <v>42</v>
      </c>
      <c r="F46" s="3" t="s">
        <v>234</v>
      </c>
      <c r="G46" s="3" t="s">
        <v>300</v>
      </c>
      <c r="H46" s="7">
        <f>IFERROR(VLOOKUP(B46,'📊 Problem Tracker'!$B$4:$F$1200,5,FALSE()),"")</f>
        <v>0</v>
      </c>
      <c r="I46" s="7"/>
      <c r="J46" s="7"/>
      <c r="K46" s="3"/>
      <c r="L46" s="228" t="s">
        <v>302</v>
      </c>
      <c r="M46" s="7" t="s">
        <v>303</v>
      </c>
      <c r="N46" s="176" t="s">
        <v>304</v>
      </c>
      <c r="O46" s="191" t="str">
        <f>HYPERLINK("https://leetcode.com/problems/n-queens/","https://leetcode.com/problems/n-queens/")</f>
        <v>https://leetcode.com/problems/n-queens/</v>
      </c>
    </row>
    <row r="47" spans="1:15" ht="31.5" customHeight="1" x14ac:dyDescent="0.2">
      <c r="A47" s="132">
        <v>42</v>
      </c>
      <c r="B47" s="132">
        <v>53</v>
      </c>
      <c r="C47" s="133" t="s">
        <v>308</v>
      </c>
      <c r="D47" s="132" t="s">
        <v>4486</v>
      </c>
      <c r="E47" s="134" t="s">
        <v>28</v>
      </c>
      <c r="F47" s="135" t="s">
        <v>309</v>
      </c>
      <c r="G47" s="135" t="s">
        <v>4261</v>
      </c>
      <c r="H47" s="132">
        <f>IFERROR(VLOOKUP(B47,'📊 Problem Tracker'!$B$4:$F$1200,5,FALSE()),"")</f>
        <v>0</v>
      </c>
      <c r="I47" s="132"/>
      <c r="J47" s="132"/>
      <c r="K47" s="135"/>
      <c r="L47" s="273" t="s">
        <v>311</v>
      </c>
      <c r="M47" s="132" t="s">
        <v>24</v>
      </c>
      <c r="N47" s="182" t="s">
        <v>47</v>
      </c>
      <c r="O47" s="195" t="str">
        <f>HYPERLINK("https://leetcode.com/problems/maximum-subarray/","https://leetcode.com/problems/maximum-subarray/")</f>
        <v>https://leetcode.com/problems/maximum-subarray/</v>
      </c>
    </row>
    <row r="48" spans="1:15" ht="31.5" customHeight="1" x14ac:dyDescent="0.2">
      <c r="A48" s="7">
        <v>43</v>
      </c>
      <c r="B48" s="7">
        <v>54</v>
      </c>
      <c r="C48" s="13" t="s">
        <v>313</v>
      </c>
      <c r="D48" s="7" t="s">
        <v>4487</v>
      </c>
      <c r="E48" s="18" t="s">
        <v>28</v>
      </c>
      <c r="F48" s="3" t="s">
        <v>283</v>
      </c>
      <c r="G48" s="3" t="s">
        <v>4488</v>
      </c>
      <c r="H48" s="7">
        <f>IFERROR(VLOOKUP(B48,'📊 Problem Tracker'!$B$4:$F$1200,5,FALSE()),"")</f>
        <v>0</v>
      </c>
      <c r="I48" s="7"/>
      <c r="J48" s="7"/>
      <c r="K48" s="3"/>
      <c r="L48" s="228" t="s">
        <v>315</v>
      </c>
      <c r="M48" s="7" t="s">
        <v>81</v>
      </c>
      <c r="N48" s="176" t="s">
        <v>47</v>
      </c>
      <c r="O48" s="191" t="str">
        <f>HYPERLINK("https://leetcode.com/problems/spiral-matrix/","https://leetcode.com/problems/spiral-matrix/")</f>
        <v>https://leetcode.com/problems/spiral-matrix/</v>
      </c>
    </row>
    <row r="49" spans="1:15" ht="31.5" customHeight="1" x14ac:dyDescent="0.2">
      <c r="A49" s="132">
        <v>44</v>
      </c>
      <c r="B49" s="132">
        <v>55</v>
      </c>
      <c r="C49" s="133" t="s">
        <v>317</v>
      </c>
      <c r="D49" s="132" t="s">
        <v>4489</v>
      </c>
      <c r="E49" s="134" t="s">
        <v>28</v>
      </c>
      <c r="F49" s="135" t="s">
        <v>318</v>
      </c>
      <c r="G49" s="135" t="s">
        <v>3091</v>
      </c>
      <c r="H49" s="132">
        <f>IFERROR(VLOOKUP(B49,'📊 Problem Tracker'!$B$4:$F$1200,5,FALSE()),"")</f>
        <v>0</v>
      </c>
      <c r="I49" s="132"/>
      <c r="J49" s="132"/>
      <c r="K49" s="135"/>
      <c r="L49" s="273" t="s">
        <v>320</v>
      </c>
      <c r="M49" s="132" t="s">
        <v>24</v>
      </c>
      <c r="N49" s="182" t="s">
        <v>47</v>
      </c>
      <c r="O49" s="195" t="str">
        <f>HYPERLINK("https://leetcode.com/problems/jump-game/","https://leetcode.com/problems/jump-game/")</f>
        <v>https://leetcode.com/problems/jump-game/</v>
      </c>
    </row>
    <row r="50" spans="1:15" ht="31.5" customHeight="1" x14ac:dyDescent="0.2">
      <c r="A50" s="7">
        <v>45</v>
      </c>
      <c r="B50" s="7">
        <v>56</v>
      </c>
      <c r="C50" s="13" t="s">
        <v>322</v>
      </c>
      <c r="D50" s="7" t="s">
        <v>4490</v>
      </c>
      <c r="E50" s="18" t="s">
        <v>28</v>
      </c>
      <c r="F50" s="3" t="s">
        <v>323</v>
      </c>
      <c r="G50" s="3" t="s">
        <v>322</v>
      </c>
      <c r="H50" s="7">
        <f>IFERROR(VLOOKUP(B50,'📊 Problem Tracker'!$B$4:$F$1200,5,FALSE()),"")</f>
        <v>0</v>
      </c>
      <c r="I50" s="7"/>
      <c r="J50" s="7"/>
      <c r="K50" s="3"/>
      <c r="L50" s="228" t="s">
        <v>325</v>
      </c>
      <c r="M50" s="7" t="s">
        <v>326</v>
      </c>
      <c r="N50" s="176" t="s">
        <v>24</v>
      </c>
      <c r="O50" s="191" t="str">
        <f>HYPERLINK("https://leetcode.com/problems/merge-intervals/","https://leetcode.com/problems/merge-intervals/")</f>
        <v>https://leetcode.com/problems/merge-intervals/</v>
      </c>
    </row>
    <row r="51" spans="1:15" ht="31.5" customHeight="1" x14ac:dyDescent="0.2">
      <c r="A51" s="132">
        <v>46</v>
      </c>
      <c r="B51" s="132">
        <v>57</v>
      </c>
      <c r="C51" s="133" t="s">
        <v>328</v>
      </c>
      <c r="D51" s="132" t="s">
        <v>4463</v>
      </c>
      <c r="E51" s="134" t="s">
        <v>28</v>
      </c>
      <c r="F51" s="135" t="s">
        <v>323</v>
      </c>
      <c r="G51" s="135" t="s">
        <v>322</v>
      </c>
      <c r="H51" s="132">
        <f>IFERROR(VLOOKUP(B51,'📊 Problem Tracker'!$B$4:$F$1200,5,FALSE()),"")</f>
        <v>0</v>
      </c>
      <c r="I51" s="132"/>
      <c r="J51" s="132"/>
      <c r="K51" s="135"/>
      <c r="L51" s="273" t="s">
        <v>331</v>
      </c>
      <c r="M51" s="132" t="s">
        <v>24</v>
      </c>
      <c r="N51" s="182" t="s">
        <v>24</v>
      </c>
      <c r="O51" s="195" t="str">
        <f>HYPERLINK("https://leetcode.com/problems/insert-interval/","https://leetcode.com/problems/insert-interval/")</f>
        <v>https://leetcode.com/problems/insert-interval/</v>
      </c>
    </row>
    <row r="52" spans="1:15" ht="31.5" customHeight="1" x14ac:dyDescent="0.2">
      <c r="A52" s="7">
        <v>47</v>
      </c>
      <c r="B52" s="7">
        <v>58</v>
      </c>
      <c r="C52" s="13" t="s">
        <v>333</v>
      </c>
      <c r="D52" s="7" t="s">
        <v>4491</v>
      </c>
      <c r="E52" s="21" t="s">
        <v>20</v>
      </c>
      <c r="F52" s="3" t="s">
        <v>98</v>
      </c>
      <c r="G52" s="3" t="s">
        <v>98</v>
      </c>
      <c r="H52" s="7">
        <f>IFERROR(VLOOKUP(B52,'📊 Problem Tracker'!$B$4:$F$1200,5,FALSE()),"")</f>
        <v>0</v>
      </c>
      <c r="I52" s="7"/>
      <c r="J52" s="7"/>
      <c r="K52" s="3"/>
      <c r="L52" s="228" t="s">
        <v>335</v>
      </c>
      <c r="M52" s="7" t="s">
        <v>24</v>
      </c>
      <c r="N52" s="176" t="s">
        <v>47</v>
      </c>
      <c r="O52" s="191" t="str">
        <f>HYPERLINK("https://leetcode.com/problems/length-of-last-word/","https://leetcode.com/problems/length-of-last-word/")</f>
        <v>https://leetcode.com/problems/length-of-last-word/</v>
      </c>
    </row>
    <row r="53" spans="1:15" ht="31.5" customHeight="1" x14ac:dyDescent="0.2">
      <c r="A53" s="132">
        <v>48</v>
      </c>
      <c r="B53" s="132">
        <v>62</v>
      </c>
      <c r="C53" s="133" t="s">
        <v>353</v>
      </c>
      <c r="D53" s="132" t="s">
        <v>4495</v>
      </c>
      <c r="E53" s="134" t="s">
        <v>28</v>
      </c>
      <c r="F53" s="135" t="s">
        <v>354</v>
      </c>
      <c r="G53" s="135" t="s">
        <v>1042</v>
      </c>
      <c r="H53" s="132">
        <f>IFERROR(VLOOKUP(B53,'📊 Problem Tracker'!$B$4:$F$1200,5,FALSE()),"")</f>
        <v>0</v>
      </c>
      <c r="I53" s="132"/>
      <c r="J53" s="132"/>
      <c r="K53" s="135"/>
      <c r="L53" s="273" t="s">
        <v>357</v>
      </c>
      <c r="M53" s="132" t="s">
        <v>81</v>
      </c>
      <c r="N53" s="182" t="s">
        <v>24</v>
      </c>
      <c r="O53" s="195" t="str">
        <f>HYPERLINK("https://leetcode.com/problems/unique-paths/","https://leetcode.com/problems/unique-paths/")</f>
        <v>https://leetcode.com/problems/unique-paths/</v>
      </c>
    </row>
    <row r="54" spans="1:15" ht="31.5" customHeight="1" x14ac:dyDescent="0.2">
      <c r="A54" s="7">
        <v>49</v>
      </c>
      <c r="B54" s="7">
        <v>64</v>
      </c>
      <c r="C54" s="13" t="s">
        <v>365</v>
      </c>
      <c r="D54" s="7" t="s">
        <v>4496</v>
      </c>
      <c r="E54" s="18" t="s">
        <v>28</v>
      </c>
      <c r="F54" s="3" t="s">
        <v>360</v>
      </c>
      <c r="G54" s="3" t="s">
        <v>1042</v>
      </c>
      <c r="H54" s="7">
        <f>IFERROR(VLOOKUP(B54,'📊 Problem Tracker'!$B$4:$F$1200,5,FALSE()),"")</f>
        <v>0</v>
      </c>
      <c r="I54" s="7"/>
      <c r="J54" s="7"/>
      <c r="K54" s="3"/>
      <c r="L54" s="228" t="s">
        <v>368</v>
      </c>
      <c r="M54" s="7" t="s">
        <v>81</v>
      </c>
      <c r="N54" s="176" t="s">
        <v>24</v>
      </c>
      <c r="O54" s="191" t="str">
        <f>HYPERLINK("https://leetcode.com/problems/minimum-path-sum/","https://leetcode.com/problems/minimum-path-sum/")</f>
        <v>https://leetcode.com/problems/minimum-path-sum/</v>
      </c>
    </row>
    <row r="55" spans="1:15" ht="31.5" customHeight="1" x14ac:dyDescent="0.2">
      <c r="A55" s="132">
        <v>50</v>
      </c>
      <c r="B55" s="132">
        <v>66</v>
      </c>
      <c r="C55" s="133" t="s">
        <v>375</v>
      </c>
      <c r="D55" s="132" t="s">
        <v>4497</v>
      </c>
      <c r="E55" s="137" t="s">
        <v>20</v>
      </c>
      <c r="F55" s="135" t="s">
        <v>376</v>
      </c>
      <c r="G55" s="135" t="s">
        <v>62</v>
      </c>
      <c r="H55" s="132">
        <f>IFERROR(VLOOKUP(B55,'📊 Problem Tracker'!$B$4:$F$1200,5,FALSE()),"")</f>
        <v>0</v>
      </c>
      <c r="I55" s="132"/>
      <c r="J55" s="132"/>
      <c r="K55" s="135"/>
      <c r="L55" s="273" t="s">
        <v>378</v>
      </c>
      <c r="M55" s="132" t="s">
        <v>24</v>
      </c>
      <c r="N55" s="182" t="s">
        <v>47</v>
      </c>
      <c r="O55" s="195" t="str">
        <f>HYPERLINK("https://leetcode.com/problems/plus-one/","https://leetcode.com/problems/plus-one/")</f>
        <v>https://leetcode.com/problems/plus-one/</v>
      </c>
    </row>
    <row r="56" spans="1:15" ht="31.5" customHeight="1" x14ac:dyDescent="0.2">
      <c r="A56" s="7">
        <v>51</v>
      </c>
      <c r="B56" s="7">
        <v>67</v>
      </c>
      <c r="C56" s="13" t="s">
        <v>380</v>
      </c>
      <c r="D56" s="7" t="s">
        <v>4498</v>
      </c>
      <c r="E56" s="21" t="s">
        <v>20</v>
      </c>
      <c r="F56" s="3" t="s">
        <v>2456</v>
      </c>
      <c r="G56" s="3" t="s">
        <v>666</v>
      </c>
      <c r="H56" s="7">
        <f>IFERROR(VLOOKUP(B56,'📊 Problem Tracker'!$B$4:$F$1200,5,FALSE()),"")</f>
        <v>0</v>
      </c>
      <c r="I56" s="7"/>
      <c r="J56" s="7"/>
      <c r="K56" s="3"/>
      <c r="L56" s="228" t="s">
        <v>384</v>
      </c>
      <c r="M56" s="7" t="s">
        <v>32</v>
      </c>
      <c r="N56" s="176" t="s">
        <v>32</v>
      </c>
      <c r="O56" s="191" t="str">
        <f>HYPERLINK("https://leetcode.com/problems/add-binary/","https://leetcode.com/problems/add-binary/")</f>
        <v>https://leetcode.com/problems/add-binary/</v>
      </c>
    </row>
    <row r="57" spans="1:15" ht="31.5" customHeight="1" x14ac:dyDescent="0.2">
      <c r="A57" s="132">
        <v>52</v>
      </c>
      <c r="B57" s="132">
        <v>69</v>
      </c>
      <c r="C57" s="133" t="s">
        <v>394</v>
      </c>
      <c r="D57" s="132" t="s">
        <v>4501</v>
      </c>
      <c r="E57" s="137" t="s">
        <v>20</v>
      </c>
      <c r="F57" s="135" t="s">
        <v>295</v>
      </c>
      <c r="G57" s="135" t="s">
        <v>512</v>
      </c>
      <c r="H57" s="132">
        <f>IFERROR(VLOOKUP(B57,'📊 Problem Tracker'!$B$4:$F$1200,5,FALSE()),"")</f>
        <v>0</v>
      </c>
      <c r="I57" s="132"/>
      <c r="J57" s="132"/>
      <c r="K57" s="135"/>
      <c r="L57" s="273" t="s">
        <v>396</v>
      </c>
      <c r="M57" s="132" t="s">
        <v>65</v>
      </c>
      <c r="N57" s="182" t="s">
        <v>47</v>
      </c>
      <c r="O57" s="195" t="str">
        <f>HYPERLINK("https://leetcode.com/problems/sqrtx/","https://leetcode.com/problems/sqrtx/")</f>
        <v>https://leetcode.com/problems/sqrtx/</v>
      </c>
    </row>
    <row r="58" spans="1:15" ht="31.5" customHeight="1" x14ac:dyDescent="0.2">
      <c r="A58" s="7">
        <v>53</v>
      </c>
      <c r="B58" s="7">
        <v>70</v>
      </c>
      <c r="C58" s="13" t="s">
        <v>398</v>
      </c>
      <c r="D58" s="7" t="s">
        <v>4437</v>
      </c>
      <c r="E58" s="21" t="s">
        <v>20</v>
      </c>
      <c r="F58" s="3" t="s">
        <v>1314</v>
      </c>
      <c r="G58" s="3" t="s">
        <v>4264</v>
      </c>
      <c r="H58" s="7">
        <f>IFERROR(VLOOKUP(B58,'📊 Problem Tracker'!$B$4:$F$1200,5,FALSE()),"")</f>
        <v>0</v>
      </c>
      <c r="I58" s="7"/>
      <c r="J58" s="7"/>
      <c r="K58" s="3"/>
      <c r="L58" s="228" t="s">
        <v>400</v>
      </c>
      <c r="M58" s="7" t="s">
        <v>24</v>
      </c>
      <c r="N58" s="176" t="s">
        <v>47</v>
      </c>
      <c r="O58" s="191" t="str">
        <f>HYPERLINK("https://leetcode.com/problems/climbing-stairs/","https://leetcode.com/problems/climbing-stairs/")</f>
        <v>https://leetcode.com/problems/climbing-stairs/</v>
      </c>
    </row>
    <row r="59" spans="1:15" ht="31.5" customHeight="1" x14ac:dyDescent="0.2">
      <c r="A59" s="132">
        <v>54</v>
      </c>
      <c r="B59" s="132">
        <v>71</v>
      </c>
      <c r="C59" s="133" t="s">
        <v>402</v>
      </c>
      <c r="D59" s="132" t="s">
        <v>4502</v>
      </c>
      <c r="E59" s="134" t="s">
        <v>28</v>
      </c>
      <c r="F59" s="135" t="s">
        <v>133</v>
      </c>
      <c r="G59" s="135" t="s">
        <v>540</v>
      </c>
      <c r="H59" s="132">
        <f>IFERROR(VLOOKUP(B59,'📊 Problem Tracker'!$B$4:$F$1200,5,FALSE()),"")</f>
        <v>0</v>
      </c>
      <c r="I59" s="132"/>
      <c r="J59" s="132"/>
      <c r="K59" s="135"/>
      <c r="L59" s="273" t="s">
        <v>404</v>
      </c>
      <c r="M59" s="132" t="s">
        <v>24</v>
      </c>
      <c r="N59" s="182" t="s">
        <v>24</v>
      </c>
      <c r="O59" s="195" t="str">
        <f>HYPERLINK("https://leetcode.com/problems/simplify-path/","https://leetcode.com/problems/simplify-path/")</f>
        <v>https://leetcode.com/problems/simplify-path/</v>
      </c>
    </row>
    <row r="60" spans="1:15" ht="31.5" customHeight="1" x14ac:dyDescent="0.2">
      <c r="A60" s="7">
        <v>55</v>
      </c>
      <c r="B60" s="7">
        <v>72</v>
      </c>
      <c r="C60" s="13" t="s">
        <v>406</v>
      </c>
      <c r="D60" s="7" t="s">
        <v>4503</v>
      </c>
      <c r="E60" s="18" t="s">
        <v>28</v>
      </c>
      <c r="F60" s="3" t="s">
        <v>50</v>
      </c>
      <c r="G60" s="3" t="s">
        <v>4504</v>
      </c>
      <c r="H60" s="7">
        <f>IFERROR(VLOOKUP(B60,'📊 Problem Tracker'!$B$4:$F$1200,5,FALSE()),"")</f>
        <v>0</v>
      </c>
      <c r="I60" s="7"/>
      <c r="J60" s="7"/>
      <c r="K60" s="3"/>
      <c r="L60" s="228" t="s">
        <v>408</v>
      </c>
      <c r="M60" s="7" t="s">
        <v>81</v>
      </c>
      <c r="N60" s="176" t="s">
        <v>409</v>
      </c>
      <c r="O60" s="191" t="str">
        <f>HYPERLINK("https://leetcode.com/problems/edit-distance/","https://leetcode.com/problems/edit-distance/")</f>
        <v>https://leetcode.com/problems/edit-distance/</v>
      </c>
    </row>
    <row r="61" spans="1:15" ht="31.5" customHeight="1" x14ac:dyDescent="0.2">
      <c r="A61" s="132">
        <v>56</v>
      </c>
      <c r="B61" s="132">
        <v>73</v>
      </c>
      <c r="C61" s="133" t="s">
        <v>411</v>
      </c>
      <c r="D61" s="132" t="s">
        <v>4472</v>
      </c>
      <c r="E61" s="134" t="s">
        <v>28</v>
      </c>
      <c r="F61" s="135" t="s">
        <v>283</v>
      </c>
      <c r="G61" s="135" t="s">
        <v>4187</v>
      </c>
      <c r="H61" s="132">
        <f>IFERROR(VLOOKUP(B61,'📊 Problem Tracker'!$B$4:$F$1200,5,FALSE()),"")</f>
        <v>0</v>
      </c>
      <c r="I61" s="132"/>
      <c r="J61" s="132"/>
      <c r="K61" s="135"/>
      <c r="L61" s="273" t="s">
        <v>413</v>
      </c>
      <c r="M61" s="132" t="s">
        <v>81</v>
      </c>
      <c r="N61" s="182" t="s">
        <v>47</v>
      </c>
      <c r="O61" s="195" t="str">
        <f>HYPERLINK("https://leetcode.com/problems/set-matrix-zeroes/","https://leetcode.com/problems/set-matrix-zeroes/")</f>
        <v>https://leetcode.com/problems/set-matrix-zeroes/</v>
      </c>
    </row>
    <row r="62" spans="1:15" ht="31.5" customHeight="1" x14ac:dyDescent="0.2">
      <c r="A62" s="7">
        <v>57</v>
      </c>
      <c r="B62" s="7">
        <v>74</v>
      </c>
      <c r="C62" s="13" t="s">
        <v>415</v>
      </c>
      <c r="D62" s="7" t="s">
        <v>4505</v>
      </c>
      <c r="E62" s="18" t="s">
        <v>28</v>
      </c>
      <c r="F62" s="3" t="s">
        <v>416</v>
      </c>
      <c r="G62" s="3" t="s">
        <v>512</v>
      </c>
      <c r="H62" s="7">
        <f>IFERROR(VLOOKUP(B62,'📊 Problem Tracker'!$B$4:$F$1200,5,FALSE()),"")</f>
        <v>0</v>
      </c>
      <c r="I62" s="7"/>
      <c r="J62" s="7"/>
      <c r="K62" s="3"/>
      <c r="L62" s="228" t="s">
        <v>419</v>
      </c>
      <c r="M62" s="7" t="s">
        <v>420</v>
      </c>
      <c r="N62" s="176" t="s">
        <v>47</v>
      </c>
      <c r="O62" s="191" t="str">
        <f>HYPERLINK("https://leetcode.com/problems/search-a-2d-matrix/","https://leetcode.com/problems/search-a-2d-matrix/")</f>
        <v>https://leetcode.com/problems/search-a-2d-matrix/</v>
      </c>
    </row>
    <row r="63" spans="1:15" ht="31.5" customHeight="1" x14ac:dyDescent="0.2">
      <c r="A63" s="132">
        <v>58</v>
      </c>
      <c r="B63" s="132">
        <v>75</v>
      </c>
      <c r="C63" s="133" t="s">
        <v>422</v>
      </c>
      <c r="D63" s="132" t="s">
        <v>4506</v>
      </c>
      <c r="E63" s="134" t="s">
        <v>28</v>
      </c>
      <c r="F63" s="135" t="s">
        <v>84</v>
      </c>
      <c r="G63" s="135" t="s">
        <v>4507</v>
      </c>
      <c r="H63" s="132">
        <f>IFERROR(VLOOKUP(B63,'📊 Problem Tracker'!$B$4:$F$1200,5,FALSE()),"")</f>
        <v>0</v>
      </c>
      <c r="I63" s="132"/>
      <c r="J63" s="132"/>
      <c r="K63" s="135"/>
      <c r="L63" s="273" t="s">
        <v>424</v>
      </c>
      <c r="M63" s="132" t="s">
        <v>24</v>
      </c>
      <c r="N63" s="182" t="s">
        <v>47</v>
      </c>
      <c r="O63" s="195" t="str">
        <f>HYPERLINK("https://leetcode.com/problems/sort-colors/","https://leetcode.com/problems/sort-colors/")</f>
        <v>https://leetcode.com/problems/sort-colors/</v>
      </c>
    </row>
    <row r="64" spans="1:15" ht="31.5" customHeight="1" x14ac:dyDescent="0.2">
      <c r="A64" s="7">
        <v>59</v>
      </c>
      <c r="B64" s="7">
        <v>78</v>
      </c>
      <c r="C64" s="13" t="s">
        <v>436</v>
      </c>
      <c r="D64" s="7" t="s">
        <v>4508</v>
      </c>
      <c r="E64" s="18" t="s">
        <v>28</v>
      </c>
      <c r="F64" s="3" t="s">
        <v>234</v>
      </c>
      <c r="G64" s="3" t="s">
        <v>4509</v>
      </c>
      <c r="H64" s="7">
        <f>IFERROR(VLOOKUP(B64,'📊 Problem Tracker'!$B$4:$F$1200,5,FALSE()),"")</f>
        <v>0</v>
      </c>
      <c r="I64" s="7"/>
      <c r="J64" s="7"/>
      <c r="K64" s="3"/>
      <c r="L64" s="228" t="s">
        <v>439</v>
      </c>
      <c r="M64" s="7" t="s">
        <v>440</v>
      </c>
      <c r="N64" s="176" t="s">
        <v>24</v>
      </c>
      <c r="O64" s="191" t="str">
        <f>HYPERLINK("https://leetcode.com/problems/subsets/","https://leetcode.com/problems/subsets/")</f>
        <v>https://leetcode.com/problems/subsets/</v>
      </c>
    </row>
    <row r="65" spans="1:15" ht="31.5" customHeight="1" x14ac:dyDescent="0.2">
      <c r="A65" s="132">
        <v>60</v>
      </c>
      <c r="B65" s="132">
        <v>79</v>
      </c>
      <c r="C65" s="133" t="s">
        <v>442</v>
      </c>
      <c r="D65" s="132" t="s">
        <v>4510</v>
      </c>
      <c r="E65" s="134" t="s">
        <v>28</v>
      </c>
      <c r="F65" s="135" t="s">
        <v>4192</v>
      </c>
      <c r="G65" s="135" t="s">
        <v>4268</v>
      </c>
      <c r="H65" s="132">
        <f>IFERROR(VLOOKUP(B65,'📊 Problem Tracker'!$B$4:$F$1200,5,FALSE()),"")</f>
        <v>0</v>
      </c>
      <c r="I65" s="132"/>
      <c r="J65" s="132"/>
      <c r="K65" s="135"/>
      <c r="L65" s="273" t="s">
        <v>445</v>
      </c>
      <c r="M65" s="132" t="s">
        <v>446</v>
      </c>
      <c r="N65" s="182" t="s">
        <v>392</v>
      </c>
      <c r="O65" s="195" t="str">
        <f>HYPERLINK("https://leetcode.com/problems/word-search/","https://leetcode.com/problems/word-search/")</f>
        <v>https://leetcode.com/problems/word-search/</v>
      </c>
    </row>
    <row r="66" spans="1:15" ht="31.5" customHeight="1" x14ac:dyDescent="0.2">
      <c r="A66" s="7">
        <v>61</v>
      </c>
      <c r="B66" s="7">
        <v>84</v>
      </c>
      <c r="C66" s="13" t="s">
        <v>465</v>
      </c>
      <c r="D66" s="7" t="s">
        <v>4497</v>
      </c>
      <c r="E66" s="20" t="s">
        <v>42</v>
      </c>
      <c r="F66" s="3" t="s">
        <v>466</v>
      </c>
      <c r="G66" s="3" t="s">
        <v>1473</v>
      </c>
      <c r="H66" s="7">
        <f>IFERROR(VLOOKUP(B66,'📊 Problem Tracker'!$B$4:$F$1200,5,FALSE()),"")</f>
        <v>0</v>
      </c>
      <c r="I66" s="7"/>
      <c r="J66" s="7"/>
      <c r="K66" s="3"/>
      <c r="L66" s="228" t="s">
        <v>468</v>
      </c>
      <c r="M66" s="7" t="s">
        <v>24</v>
      </c>
      <c r="N66" s="176" t="s">
        <v>24</v>
      </c>
      <c r="O66" s="191" t="str">
        <f>HYPERLINK("https://leetcode.com/problems/largest-rectangle-in-histogram/","https://leetcode.com/problems/largest-rectangle-in-histogram/")</f>
        <v>https://leetcode.com/problems/largest-rectangle-in-histogram/</v>
      </c>
    </row>
    <row r="67" spans="1:15" ht="31.5" customHeight="1" x14ac:dyDescent="0.2">
      <c r="A67" s="132">
        <v>62</v>
      </c>
      <c r="B67" s="132">
        <v>85</v>
      </c>
      <c r="C67" s="133" t="s">
        <v>470</v>
      </c>
      <c r="D67" s="132" t="s">
        <v>4512</v>
      </c>
      <c r="E67" s="136" t="s">
        <v>42</v>
      </c>
      <c r="F67" s="135" t="s">
        <v>471</v>
      </c>
      <c r="G67" s="135" t="s">
        <v>4513</v>
      </c>
      <c r="H67" s="132">
        <f>IFERROR(VLOOKUP(B67,'📊 Problem Tracker'!$B$4:$F$1200,5,FALSE()),"")</f>
        <v>0</v>
      </c>
      <c r="I67" s="132"/>
      <c r="J67" s="132"/>
      <c r="K67" s="135"/>
      <c r="L67" s="273" t="s">
        <v>473</v>
      </c>
      <c r="M67" s="132" t="s">
        <v>81</v>
      </c>
      <c r="N67" s="182" t="s">
        <v>24</v>
      </c>
      <c r="O67" s="195" t="str">
        <f>HYPERLINK("https://leetcode.com/problems/maximal-rectangle/","https://leetcode.com/problems/maximal-rectangle/")</f>
        <v>https://leetcode.com/problems/maximal-rectangle/</v>
      </c>
    </row>
    <row r="68" spans="1:15" ht="31.5" customHeight="1" x14ac:dyDescent="0.2">
      <c r="A68" s="7">
        <v>63</v>
      </c>
      <c r="B68" s="7">
        <v>88</v>
      </c>
      <c r="C68" s="13" t="s">
        <v>479</v>
      </c>
      <c r="D68" s="7" t="s">
        <v>4514</v>
      </c>
      <c r="E68" s="21" t="s">
        <v>20</v>
      </c>
      <c r="F68" s="3" t="s">
        <v>84</v>
      </c>
      <c r="G68" s="3" t="s">
        <v>689</v>
      </c>
      <c r="H68" s="7">
        <f>IFERROR(VLOOKUP(B68,'📊 Problem Tracker'!$B$4:$F$1200,5,FALSE()),"")</f>
        <v>0</v>
      </c>
      <c r="I68" s="7"/>
      <c r="J68" s="7"/>
      <c r="K68" s="3"/>
      <c r="L68" s="228" t="s">
        <v>481</v>
      </c>
      <c r="M68" s="7" t="s">
        <v>259</v>
      </c>
      <c r="N68" s="176" t="s">
        <v>47</v>
      </c>
      <c r="O68" s="191" t="str">
        <f>HYPERLINK("https://leetcode.com/problems/merge-sorted-array/","https://leetcode.com/problems/merge-sorted-array/")</f>
        <v>https://leetcode.com/problems/merge-sorted-array/</v>
      </c>
    </row>
    <row r="69" spans="1:15" ht="31.5" customHeight="1" x14ac:dyDescent="0.2">
      <c r="A69" s="132">
        <v>64</v>
      </c>
      <c r="B69" s="132">
        <v>91</v>
      </c>
      <c r="C69" s="133" t="s">
        <v>490</v>
      </c>
      <c r="D69" s="132" t="s">
        <v>4516</v>
      </c>
      <c r="E69" s="134" t="s">
        <v>28</v>
      </c>
      <c r="F69" s="135" t="s">
        <v>50</v>
      </c>
      <c r="G69" s="135" t="s">
        <v>1042</v>
      </c>
      <c r="H69" s="132">
        <f>IFERROR(VLOOKUP(B69,'📊 Problem Tracker'!$B$4:$F$1200,5,FALSE()),"")</f>
        <v>0</v>
      </c>
      <c r="I69" s="132"/>
      <c r="J69" s="132"/>
      <c r="K69" s="135"/>
      <c r="L69" s="273" t="s">
        <v>492</v>
      </c>
      <c r="M69" s="132" t="s">
        <v>24</v>
      </c>
      <c r="N69" s="182" t="s">
        <v>47</v>
      </c>
      <c r="O69" s="195" t="str">
        <f>HYPERLINK("https://leetcode.com/problems/decode-ways/","https://leetcode.com/problems/decode-ways/")</f>
        <v>https://leetcode.com/problems/decode-ways/</v>
      </c>
    </row>
    <row r="70" spans="1:15" ht="31.5" customHeight="1" x14ac:dyDescent="0.2">
      <c r="A70" s="7">
        <v>65</v>
      </c>
      <c r="B70" s="7">
        <v>92</v>
      </c>
      <c r="C70" s="13" t="s">
        <v>494</v>
      </c>
      <c r="D70" s="7" t="s">
        <v>4517</v>
      </c>
      <c r="E70" s="18" t="s">
        <v>28</v>
      </c>
      <c r="F70" s="3" t="s">
        <v>127</v>
      </c>
      <c r="G70" s="3" t="s">
        <v>127</v>
      </c>
      <c r="H70" s="7">
        <f>IFERROR(VLOOKUP(B70,'📊 Problem Tracker'!$B$4:$F$1200,5,FALSE()),"")</f>
        <v>0</v>
      </c>
      <c r="I70" s="7"/>
      <c r="J70" s="7"/>
      <c r="K70" s="3"/>
      <c r="L70" s="228" t="s">
        <v>461</v>
      </c>
      <c r="M70" s="7" t="s">
        <v>24</v>
      </c>
      <c r="N70" s="176" t="s">
        <v>47</v>
      </c>
      <c r="O70" s="191" t="str">
        <f>HYPERLINK("https://leetcode.com/problems/reverse-linked-list-ii/","https://leetcode.com/problems/reverse-linked-list-ii/")</f>
        <v>https://leetcode.com/problems/reverse-linked-list-ii/</v>
      </c>
    </row>
    <row r="71" spans="1:15" ht="31.5" customHeight="1" x14ac:dyDescent="0.2">
      <c r="A71" s="132">
        <v>66</v>
      </c>
      <c r="B71" s="132">
        <v>93</v>
      </c>
      <c r="C71" s="133" t="s">
        <v>496</v>
      </c>
      <c r="D71" s="132" t="s">
        <v>4813</v>
      </c>
      <c r="E71" s="134" t="s">
        <v>28</v>
      </c>
      <c r="F71" s="135" t="s">
        <v>114</v>
      </c>
      <c r="G71" s="135" t="s">
        <v>300</v>
      </c>
      <c r="H71" s="132">
        <f>IFERROR(VLOOKUP(B71,'📊 Problem Tracker'!$B$4:$F$1200,5,FALSE()),"")</f>
        <v>0</v>
      </c>
      <c r="I71" s="132"/>
      <c r="J71" s="132"/>
      <c r="K71" s="135"/>
      <c r="L71" s="273" t="s">
        <v>302</v>
      </c>
      <c r="M71" s="132" t="s">
        <v>47</v>
      </c>
      <c r="N71" s="182" t="s">
        <v>47</v>
      </c>
      <c r="O71" s="195" t="str">
        <f>HYPERLINK("https://leetcode.com/problems/restore-ip-addresses/","https://leetcode.com/problems/restore-ip-addresses/")</f>
        <v>https://leetcode.com/problems/restore-ip-addresses/</v>
      </c>
    </row>
    <row r="72" spans="1:15" ht="31.5" customHeight="1" x14ac:dyDescent="0.2">
      <c r="A72" s="7">
        <v>67</v>
      </c>
      <c r="B72" s="7">
        <v>97</v>
      </c>
      <c r="C72" s="13" t="s">
        <v>515</v>
      </c>
      <c r="D72" s="7" t="s">
        <v>4518</v>
      </c>
      <c r="E72" s="18" t="s">
        <v>28</v>
      </c>
      <c r="F72" s="3" t="s">
        <v>50</v>
      </c>
      <c r="G72" s="3" t="s">
        <v>1042</v>
      </c>
      <c r="H72" s="7">
        <f>IFERROR(VLOOKUP(B72,'📊 Problem Tracker'!$B$4:$F$1200,5,FALSE()),"")</f>
        <v>0</v>
      </c>
      <c r="I72" s="7"/>
      <c r="J72" s="7"/>
      <c r="K72" s="3"/>
      <c r="L72" s="228" t="s">
        <v>508</v>
      </c>
      <c r="M72" s="7" t="s">
        <v>81</v>
      </c>
      <c r="N72" s="176" t="s">
        <v>81</v>
      </c>
      <c r="O72" s="191" t="str">
        <f>HYPERLINK("https://leetcode.com/problems/interleaving-string/","https://leetcode.com/problems/interleaving-string/")</f>
        <v>https://leetcode.com/problems/interleaving-string/</v>
      </c>
    </row>
    <row r="73" spans="1:15" ht="31.5" customHeight="1" x14ac:dyDescent="0.2">
      <c r="A73" s="132">
        <v>68</v>
      </c>
      <c r="B73" s="132">
        <v>98</v>
      </c>
      <c r="C73" s="133" t="s">
        <v>517</v>
      </c>
      <c r="D73" s="132" t="s">
        <v>4519</v>
      </c>
      <c r="E73" s="134" t="s">
        <v>28</v>
      </c>
      <c r="F73" s="135" t="s">
        <v>518</v>
      </c>
      <c r="G73" s="135" t="s">
        <v>4520</v>
      </c>
      <c r="H73" s="132">
        <f>IFERROR(VLOOKUP(B73,'📊 Problem Tracker'!$B$4:$F$1200,5,FALSE()),"")</f>
        <v>0</v>
      </c>
      <c r="I73" s="132"/>
      <c r="J73" s="132"/>
      <c r="K73" s="135"/>
      <c r="L73" s="273" t="s">
        <v>520</v>
      </c>
      <c r="M73" s="132" t="s">
        <v>24</v>
      </c>
      <c r="N73" s="182" t="s">
        <v>503</v>
      </c>
      <c r="O73" s="195" t="str">
        <f>HYPERLINK("https://leetcode.com/problems/validate-binary-search-tree/","https://leetcode.com/problems/validate-binary-search-tree/")</f>
        <v>https://leetcode.com/problems/validate-binary-search-tree/</v>
      </c>
    </row>
    <row r="74" spans="1:15" ht="31.5" customHeight="1" x14ac:dyDescent="0.2">
      <c r="A74" s="7">
        <v>69</v>
      </c>
      <c r="B74" s="7">
        <v>99</v>
      </c>
      <c r="C74" s="13" t="s">
        <v>522</v>
      </c>
      <c r="D74" s="7" t="s">
        <v>4521</v>
      </c>
      <c r="E74" s="18" t="s">
        <v>28</v>
      </c>
      <c r="F74" s="3" t="s">
        <v>518</v>
      </c>
      <c r="G74" s="3" t="s">
        <v>4520</v>
      </c>
      <c r="H74" s="7">
        <f>IFERROR(VLOOKUP(B74,'📊 Problem Tracker'!$B$4:$F$1200,5,FALSE()),"")</f>
        <v>0</v>
      </c>
      <c r="I74" s="7"/>
      <c r="J74" s="7"/>
      <c r="K74" s="3"/>
      <c r="L74" s="228" t="s">
        <v>513</v>
      </c>
      <c r="M74" s="7" t="s">
        <v>24</v>
      </c>
      <c r="N74" s="176" t="s">
        <v>503</v>
      </c>
      <c r="O74" s="191" t="str">
        <f>HYPERLINK("https://leetcode.com/problems/recover-binary-search-tree/","https://leetcode.com/problems/recover-binary-search-tree/")</f>
        <v>https://leetcode.com/problems/recover-binary-search-tree/</v>
      </c>
    </row>
    <row r="75" spans="1:15" ht="31.5" customHeight="1" x14ac:dyDescent="0.2">
      <c r="A75" s="132">
        <v>70</v>
      </c>
      <c r="B75" s="132">
        <v>100</v>
      </c>
      <c r="C75" s="133" t="s">
        <v>524</v>
      </c>
      <c r="D75" s="132" t="s">
        <v>4522</v>
      </c>
      <c r="E75" s="137" t="s">
        <v>20</v>
      </c>
      <c r="F75" s="135" t="s">
        <v>500</v>
      </c>
      <c r="G75" s="135" t="s">
        <v>4256</v>
      </c>
      <c r="H75" s="132">
        <f>IFERROR(VLOOKUP(B75,'📊 Problem Tracker'!$B$4:$F$1200,5,FALSE()),"")</f>
        <v>0</v>
      </c>
      <c r="I75" s="132"/>
      <c r="J75" s="132"/>
      <c r="K75" s="135"/>
      <c r="L75" s="273" t="s">
        <v>526</v>
      </c>
      <c r="M75" s="132" t="s">
        <v>24</v>
      </c>
      <c r="N75" s="182" t="s">
        <v>503</v>
      </c>
      <c r="O75" s="195" t="str">
        <f>HYPERLINK("https://leetcode.com/problems/same-tree/","https://leetcode.com/problems/same-tree/")</f>
        <v>https://leetcode.com/problems/same-tree/</v>
      </c>
    </row>
    <row r="76" spans="1:15" ht="31.5" customHeight="1" x14ac:dyDescent="0.2">
      <c r="A76" s="7">
        <v>71</v>
      </c>
      <c r="B76" s="7">
        <v>101</v>
      </c>
      <c r="C76" s="13" t="s">
        <v>528</v>
      </c>
      <c r="D76" s="7" t="s">
        <v>4523</v>
      </c>
      <c r="E76" s="21" t="s">
        <v>20</v>
      </c>
      <c r="F76" s="3" t="s">
        <v>529</v>
      </c>
      <c r="G76" s="3" t="s">
        <v>4256</v>
      </c>
      <c r="H76" s="7">
        <f>IFERROR(VLOOKUP(B76,'📊 Problem Tracker'!$B$4:$F$1200,5,FALSE()),"")</f>
        <v>0</v>
      </c>
      <c r="I76" s="7"/>
      <c r="J76" s="7"/>
      <c r="K76" s="3"/>
      <c r="L76" s="228" t="s">
        <v>531</v>
      </c>
      <c r="M76" s="7" t="s">
        <v>24</v>
      </c>
      <c r="N76" s="176" t="s">
        <v>503</v>
      </c>
      <c r="O76" s="191" t="str">
        <f>HYPERLINK("https://leetcode.com/problems/symmetric-tree/","https://leetcode.com/problems/symmetric-tree/")</f>
        <v>https://leetcode.com/problems/symmetric-tree/</v>
      </c>
    </row>
    <row r="77" spans="1:15" ht="31.5" customHeight="1" x14ac:dyDescent="0.2">
      <c r="A77" s="132">
        <v>72</v>
      </c>
      <c r="B77" s="132">
        <v>102</v>
      </c>
      <c r="C77" s="133" t="s">
        <v>533</v>
      </c>
      <c r="D77" s="132" t="s">
        <v>4524</v>
      </c>
      <c r="E77" s="134" t="s">
        <v>28</v>
      </c>
      <c r="F77" s="135" t="s">
        <v>534</v>
      </c>
      <c r="G77" s="135" t="s">
        <v>4270</v>
      </c>
      <c r="H77" s="132">
        <f>IFERROR(VLOOKUP(B77,'📊 Problem Tracker'!$B$4:$F$1200,5,FALSE()),"")</f>
        <v>0</v>
      </c>
      <c r="I77" s="132"/>
      <c r="J77" s="132"/>
      <c r="K77" s="135"/>
      <c r="L77" s="273" t="s">
        <v>536</v>
      </c>
      <c r="M77" s="132" t="s">
        <v>24</v>
      </c>
      <c r="N77" s="182" t="s">
        <v>24</v>
      </c>
      <c r="O77" s="195" t="str">
        <f>HYPERLINK("https://leetcode.com/problems/binary-tree-level-order-traversal/","https://leetcode.com/problems/binary-tree-level-order-traversal/")</f>
        <v>https://leetcode.com/problems/binary-tree-level-order-traversal/</v>
      </c>
    </row>
    <row r="78" spans="1:15" ht="31.5" customHeight="1" x14ac:dyDescent="0.2">
      <c r="A78" s="7">
        <v>73</v>
      </c>
      <c r="B78" s="7">
        <v>103</v>
      </c>
      <c r="C78" s="13" t="s">
        <v>538</v>
      </c>
      <c r="D78" s="7" t="s">
        <v>4525</v>
      </c>
      <c r="E78" s="18" t="s">
        <v>28</v>
      </c>
      <c r="F78" s="3" t="s">
        <v>539</v>
      </c>
      <c r="G78" s="3" t="s">
        <v>4270</v>
      </c>
      <c r="H78" s="7">
        <f>IFERROR(VLOOKUP(B78,'📊 Problem Tracker'!$B$4:$F$1200,5,FALSE()),"")</f>
        <v>0</v>
      </c>
      <c r="I78" s="7"/>
      <c r="J78" s="7"/>
      <c r="K78" s="3"/>
      <c r="L78" s="228" t="s">
        <v>542</v>
      </c>
      <c r="M78" s="7" t="s">
        <v>24</v>
      </c>
      <c r="N78" s="176" t="s">
        <v>24</v>
      </c>
      <c r="O78" s="191" t="str">
        <f>HYPERLINK("https://leetcode.com/problems/binary-tree-zigzag-level-order-traversal/","https://leetcode.com/problems/binary-tree-zigzag-level-order-traversal/")</f>
        <v>https://leetcode.com/problems/binary-tree-zigzag-level-order-traversal/</v>
      </c>
    </row>
    <row r="79" spans="1:15" ht="31.5" customHeight="1" x14ac:dyDescent="0.2">
      <c r="A79" s="132">
        <v>74</v>
      </c>
      <c r="B79" s="132">
        <v>104</v>
      </c>
      <c r="C79" s="133" t="s">
        <v>544</v>
      </c>
      <c r="D79" s="132" t="s">
        <v>4526</v>
      </c>
      <c r="E79" s="137" t="s">
        <v>20</v>
      </c>
      <c r="F79" s="135" t="s">
        <v>500</v>
      </c>
      <c r="G79" s="135" t="s">
        <v>4256</v>
      </c>
      <c r="H79" s="132">
        <f>IFERROR(VLOOKUP(B79,'📊 Problem Tracker'!$B$4:$F$1200,5,FALSE()),"")</f>
        <v>0</v>
      </c>
      <c r="I79" s="132"/>
      <c r="J79" s="132"/>
      <c r="K79" s="135"/>
      <c r="L79" s="273" t="s">
        <v>546</v>
      </c>
      <c r="M79" s="132" t="s">
        <v>24</v>
      </c>
      <c r="N79" s="182" t="s">
        <v>503</v>
      </c>
      <c r="O79" s="195" t="str">
        <f>HYPERLINK("https://leetcode.com/problems/maximum-depth-of-binary-tree/","https://leetcode.com/problems/maximum-depth-of-binary-tree/")</f>
        <v>https://leetcode.com/problems/maximum-depth-of-binary-tree/</v>
      </c>
    </row>
    <row r="80" spans="1:15" ht="31.5" customHeight="1" x14ac:dyDescent="0.2">
      <c r="A80" s="7">
        <v>75</v>
      </c>
      <c r="B80" s="7">
        <v>105</v>
      </c>
      <c r="C80" s="13" t="s">
        <v>548</v>
      </c>
      <c r="D80" s="7" t="s">
        <v>4527</v>
      </c>
      <c r="E80" s="18" t="s">
        <v>28</v>
      </c>
      <c r="F80" s="3" t="s">
        <v>549</v>
      </c>
      <c r="G80" s="3" t="s">
        <v>4256</v>
      </c>
      <c r="H80" s="7">
        <f>IFERROR(VLOOKUP(B80,'📊 Problem Tracker'!$B$4:$F$1200,5,FALSE()),"")</f>
        <v>0</v>
      </c>
      <c r="I80" s="7"/>
      <c r="J80" s="7"/>
      <c r="K80" s="3"/>
      <c r="L80" s="228" t="s">
        <v>551</v>
      </c>
      <c r="M80" s="7" t="s">
        <v>24</v>
      </c>
      <c r="N80" s="176" t="s">
        <v>24</v>
      </c>
      <c r="O80" s="191" t="str">
        <f>HYPERLINK("https://leetcode.com/problems/construct-binary-tree-from-preorder-and-inorder-traversal/","https://leetcode.com/problems/construct-binary-tree-from-preorder-and-inorder-traversal/")</f>
        <v>https://leetcode.com/problems/construct-binary-tree-from-preorder-and-inorder-traversal/</v>
      </c>
    </row>
    <row r="81" spans="1:15" ht="31.5" customHeight="1" x14ac:dyDescent="0.2">
      <c r="A81" s="132">
        <v>76</v>
      </c>
      <c r="B81" s="132">
        <v>110</v>
      </c>
      <c r="C81" s="133" t="s">
        <v>568</v>
      </c>
      <c r="D81" s="132" t="s">
        <v>4529</v>
      </c>
      <c r="E81" s="137" t="s">
        <v>20</v>
      </c>
      <c r="F81" s="135" t="s">
        <v>500</v>
      </c>
      <c r="G81" s="135" t="s">
        <v>4256</v>
      </c>
      <c r="H81" s="132">
        <f>IFERROR(VLOOKUP(B81,'📊 Problem Tracker'!$B$4:$F$1200,5,FALSE()),"")</f>
        <v>0</v>
      </c>
      <c r="I81" s="132"/>
      <c r="J81" s="132"/>
      <c r="K81" s="135"/>
      <c r="L81" s="273" t="s">
        <v>571</v>
      </c>
      <c r="M81" s="132" t="s">
        <v>24</v>
      </c>
      <c r="N81" s="182" t="s">
        <v>503</v>
      </c>
      <c r="O81" s="195" t="str">
        <f>HYPERLINK("https://leetcode.com/problems/balanced-binary-tree/","https://leetcode.com/problems/balanced-binary-tree/")</f>
        <v>https://leetcode.com/problems/balanced-binary-tree/</v>
      </c>
    </row>
    <row r="82" spans="1:15" ht="31.5" customHeight="1" x14ac:dyDescent="0.2">
      <c r="A82" s="7">
        <v>77</v>
      </c>
      <c r="B82" s="7">
        <v>112</v>
      </c>
      <c r="C82" s="13" t="s">
        <v>575</v>
      </c>
      <c r="D82" s="7" t="s">
        <v>4530</v>
      </c>
      <c r="E82" s="21" t="s">
        <v>20</v>
      </c>
      <c r="F82" s="3" t="s">
        <v>500</v>
      </c>
      <c r="G82" s="3" t="s">
        <v>4256</v>
      </c>
      <c r="H82" s="7">
        <f>IFERROR(VLOOKUP(B82,'📊 Problem Tracker'!$B$4:$F$1200,5,FALSE()),"")</f>
        <v>0</v>
      </c>
      <c r="I82" s="7"/>
      <c r="J82" s="7"/>
      <c r="K82" s="3"/>
      <c r="L82" s="228" t="s">
        <v>571</v>
      </c>
      <c r="M82" s="7" t="s">
        <v>24</v>
      </c>
      <c r="N82" s="176" t="s">
        <v>503</v>
      </c>
      <c r="O82" s="191" t="str">
        <f>HYPERLINK("https://leetcode.com/problems/path-sum/","https://leetcode.com/problems/path-sum/")</f>
        <v>https://leetcode.com/problems/path-sum/</v>
      </c>
    </row>
    <row r="83" spans="1:15" ht="31.5" customHeight="1" x14ac:dyDescent="0.2">
      <c r="A83" s="132">
        <v>78</v>
      </c>
      <c r="B83" s="132">
        <v>114</v>
      </c>
      <c r="C83" s="133" t="s">
        <v>582</v>
      </c>
      <c r="D83" s="132" t="s">
        <v>4697</v>
      </c>
      <c r="E83" s="134" t="s">
        <v>28</v>
      </c>
      <c r="F83" s="135" t="s">
        <v>4888</v>
      </c>
      <c r="G83" s="135" t="s">
        <v>4889</v>
      </c>
      <c r="H83" s="132">
        <f>IFERROR(VLOOKUP(B83,'📊 Problem Tracker'!$B$4:$F$1200,5,FALSE()),"")</f>
        <v>0</v>
      </c>
      <c r="I83" s="132"/>
      <c r="J83" s="132"/>
      <c r="K83" s="135"/>
      <c r="L83" s="273" t="s">
        <v>461</v>
      </c>
      <c r="M83" s="132" t="s">
        <v>24</v>
      </c>
      <c r="N83" s="182" t="s">
        <v>503</v>
      </c>
      <c r="O83" s="195" t="str">
        <f>HYPERLINK("https://leetcode.com/problems/flatten-binary-tree-to-linked-list/","https://leetcode.com/problems/flatten-binary-tree-to-linked-list/")</f>
        <v>https://leetcode.com/problems/flatten-binary-tree-to-linked-list/</v>
      </c>
    </row>
    <row r="84" spans="1:15" ht="31.5" customHeight="1" x14ac:dyDescent="0.2">
      <c r="A84" s="7">
        <v>79</v>
      </c>
      <c r="B84" s="7">
        <v>115</v>
      </c>
      <c r="C84" s="13" t="s">
        <v>584</v>
      </c>
      <c r="D84" s="7" t="s">
        <v>4531</v>
      </c>
      <c r="E84" s="20" t="s">
        <v>42</v>
      </c>
      <c r="F84" s="3" t="s">
        <v>50</v>
      </c>
      <c r="G84" s="3" t="s">
        <v>1042</v>
      </c>
      <c r="H84" s="7">
        <f>IFERROR(VLOOKUP(B84,'📊 Problem Tracker'!$B$4:$F$1200,5,FALSE()),"")</f>
        <v>0</v>
      </c>
      <c r="I84" s="7"/>
      <c r="J84" s="7"/>
      <c r="K84" s="3"/>
      <c r="L84" s="228" t="s">
        <v>508</v>
      </c>
      <c r="M84" s="7" t="s">
        <v>81</v>
      </c>
      <c r="N84" s="176" t="s">
        <v>24</v>
      </c>
      <c r="O84" s="191" t="str">
        <f>HYPERLINK("https://leetcode.com/problems/distinct-subsequences/","https://leetcode.com/problems/distinct-subsequences/")</f>
        <v>https://leetcode.com/problems/distinct-subsequences/</v>
      </c>
    </row>
    <row r="85" spans="1:15" ht="31.5" customHeight="1" x14ac:dyDescent="0.2">
      <c r="A85" s="132">
        <v>80</v>
      </c>
      <c r="B85" s="132">
        <v>116</v>
      </c>
      <c r="C85" s="133" t="s">
        <v>586</v>
      </c>
      <c r="D85" s="132" t="s">
        <v>4532</v>
      </c>
      <c r="E85" s="134" t="s">
        <v>28</v>
      </c>
      <c r="F85" s="135" t="s">
        <v>534</v>
      </c>
      <c r="G85" s="135" t="s">
        <v>4270</v>
      </c>
      <c r="H85" s="132">
        <f>IFERROR(VLOOKUP(B85,'📊 Problem Tracker'!$B$4:$F$1200,5,FALSE()),"")</f>
        <v>0</v>
      </c>
      <c r="I85" s="132"/>
      <c r="J85" s="132"/>
      <c r="K85" s="135"/>
      <c r="L85" s="273" t="s">
        <v>571</v>
      </c>
      <c r="M85" s="132" t="s">
        <v>24</v>
      </c>
      <c r="N85" s="182" t="s">
        <v>47</v>
      </c>
      <c r="O85" s="195" t="str">
        <f>HYPERLINK("https://leetcode.com/problems/populating-next-right-pointers-in-each-node/","https://leetcode.com/problems/populating-next-right-pointers-in-each-node/")</f>
        <v>https://leetcode.com/problems/populating-next-right-pointers-in-each-node/</v>
      </c>
    </row>
    <row r="86" spans="1:15" ht="31.5" customHeight="1" x14ac:dyDescent="0.2">
      <c r="A86" s="7">
        <v>81</v>
      </c>
      <c r="B86" s="7">
        <v>118</v>
      </c>
      <c r="C86" s="13" t="s">
        <v>591</v>
      </c>
      <c r="D86" s="7" t="s">
        <v>4533</v>
      </c>
      <c r="E86" s="21" t="s">
        <v>20</v>
      </c>
      <c r="F86" s="3" t="s">
        <v>376</v>
      </c>
      <c r="G86" s="3" t="s">
        <v>4534</v>
      </c>
      <c r="H86" s="7">
        <f>IFERROR(VLOOKUP(B86,'📊 Problem Tracker'!$B$4:$F$1200,5,FALSE()),"")</f>
        <v>0</v>
      </c>
      <c r="I86" s="7"/>
      <c r="J86" s="7"/>
      <c r="K86" s="3"/>
      <c r="L86" s="228" t="s">
        <v>508</v>
      </c>
      <c r="M86" s="7" t="s">
        <v>53</v>
      </c>
      <c r="N86" s="176" t="s">
        <v>53</v>
      </c>
      <c r="O86" s="191" t="str">
        <f>HYPERLINK("https://leetcode.com/problems/pascals-triangle/","https://leetcode.com/problems/pascals-triangle/")</f>
        <v>https://leetcode.com/problems/pascals-triangle/</v>
      </c>
    </row>
    <row r="87" spans="1:15" ht="31.5" customHeight="1" x14ac:dyDescent="0.2">
      <c r="A87" s="132">
        <v>82</v>
      </c>
      <c r="B87" s="132">
        <v>121</v>
      </c>
      <c r="C87" s="133" t="s">
        <v>595</v>
      </c>
      <c r="D87" s="132" t="s">
        <v>4536</v>
      </c>
      <c r="E87" s="137" t="s">
        <v>20</v>
      </c>
      <c r="F87" s="135" t="s">
        <v>318</v>
      </c>
      <c r="G87" s="135" t="s">
        <v>3091</v>
      </c>
      <c r="H87" s="132">
        <f>IFERROR(VLOOKUP(B87,'📊 Problem Tracker'!$B$4:$F$1200,5,FALSE()),"")</f>
        <v>0</v>
      </c>
      <c r="I87" s="132"/>
      <c r="J87" s="132"/>
      <c r="K87" s="135"/>
      <c r="L87" s="273" t="s">
        <v>597</v>
      </c>
      <c r="M87" s="132" t="s">
        <v>24</v>
      </c>
      <c r="N87" s="182" t="s">
        <v>47</v>
      </c>
      <c r="O87" s="195" t="str">
        <f>HYPERLINK("https://leetcode.com/problems/best-time-to-buy-and-sell-stock/","https://leetcode.com/problems/best-time-to-buy-and-sell-stock/")</f>
        <v>https://leetcode.com/problems/best-time-to-buy-and-sell-stock/</v>
      </c>
    </row>
    <row r="88" spans="1:15" ht="31.5" customHeight="1" x14ac:dyDescent="0.2">
      <c r="A88" s="7">
        <v>83</v>
      </c>
      <c r="B88" s="7">
        <v>122</v>
      </c>
      <c r="C88" s="13" t="s">
        <v>599</v>
      </c>
      <c r="D88" s="7" t="s">
        <v>4537</v>
      </c>
      <c r="E88" s="18" t="s">
        <v>28</v>
      </c>
      <c r="F88" s="3" t="s">
        <v>267</v>
      </c>
      <c r="G88" s="3" t="s">
        <v>4348</v>
      </c>
      <c r="H88" s="7">
        <f>IFERROR(VLOOKUP(B88,'📊 Problem Tracker'!$B$4:$F$1200,5,FALSE()),"")</f>
        <v>0</v>
      </c>
      <c r="I88" s="7"/>
      <c r="J88" s="7"/>
      <c r="K88" s="3"/>
      <c r="L88" s="228" t="s">
        <v>601</v>
      </c>
      <c r="M88" s="7" t="s">
        <v>24</v>
      </c>
      <c r="N88" s="176" t="s">
        <v>47</v>
      </c>
      <c r="O88" s="191" t="str">
        <f>HYPERLINK("https://leetcode.com/problems/best-time-to-buy-and-sell-stock-ii/","https://leetcode.com/problems/best-time-to-buy-and-sell-stock-ii/")</f>
        <v>https://leetcode.com/problems/best-time-to-buy-and-sell-stock-ii/</v>
      </c>
    </row>
    <row r="89" spans="1:15" ht="31.5" customHeight="1" x14ac:dyDescent="0.2">
      <c r="A89" s="132">
        <v>84</v>
      </c>
      <c r="B89" s="132">
        <v>124</v>
      </c>
      <c r="C89" s="133" t="s">
        <v>605</v>
      </c>
      <c r="D89" s="132" t="s">
        <v>4540</v>
      </c>
      <c r="E89" s="136" t="s">
        <v>42</v>
      </c>
      <c r="F89" s="135" t="s">
        <v>606</v>
      </c>
      <c r="G89" s="135" t="s">
        <v>4256</v>
      </c>
      <c r="H89" s="132">
        <f>IFERROR(VLOOKUP(B89,'📊 Problem Tracker'!$B$4:$F$1200,5,FALSE()),"")</f>
        <v>0</v>
      </c>
      <c r="I89" s="132"/>
      <c r="J89" s="132"/>
      <c r="K89" s="135"/>
      <c r="L89" s="273" t="s">
        <v>608</v>
      </c>
      <c r="M89" s="132" t="s">
        <v>24</v>
      </c>
      <c r="N89" s="182" t="s">
        <v>503</v>
      </c>
      <c r="O89" s="195" t="str">
        <f>HYPERLINK("https://leetcode.com/problems/binary-tree-maximum-path-sum/","https://leetcode.com/problems/binary-tree-maximum-path-sum/")</f>
        <v>https://leetcode.com/problems/binary-tree-maximum-path-sum/</v>
      </c>
    </row>
    <row r="90" spans="1:15" ht="31.5" customHeight="1" x14ac:dyDescent="0.2">
      <c r="A90" s="7">
        <v>85</v>
      </c>
      <c r="B90" s="7">
        <v>125</v>
      </c>
      <c r="C90" s="13" t="s">
        <v>610</v>
      </c>
      <c r="D90" s="7" t="s">
        <v>4486</v>
      </c>
      <c r="E90" s="21" t="s">
        <v>20</v>
      </c>
      <c r="F90" s="3" t="s">
        <v>611</v>
      </c>
      <c r="G90" s="3" t="s">
        <v>689</v>
      </c>
      <c r="H90" s="7">
        <f>IFERROR(VLOOKUP(B90,'📊 Problem Tracker'!$B$4:$F$1200,5,FALSE()),"")</f>
        <v>0</v>
      </c>
      <c r="I90" s="7"/>
      <c r="J90" s="7"/>
      <c r="K90" s="3"/>
      <c r="L90" s="228" t="s">
        <v>613</v>
      </c>
      <c r="M90" s="7" t="s">
        <v>24</v>
      </c>
      <c r="N90" s="176" t="s">
        <v>47</v>
      </c>
      <c r="O90" s="191" t="str">
        <f>HYPERLINK("https://leetcode.com/problems/valid-palindrome/","https://leetcode.com/problems/valid-palindrome/")</f>
        <v>https://leetcode.com/problems/valid-palindrome/</v>
      </c>
    </row>
    <row r="91" spans="1:15" ht="31.5" customHeight="1" x14ac:dyDescent="0.2">
      <c r="A91" s="132">
        <v>86</v>
      </c>
      <c r="B91" s="132">
        <v>127</v>
      </c>
      <c r="C91" s="133" t="s">
        <v>623</v>
      </c>
      <c r="D91" s="132" t="s">
        <v>4543</v>
      </c>
      <c r="E91" s="136" t="s">
        <v>42</v>
      </c>
      <c r="F91" s="135" t="s">
        <v>624</v>
      </c>
      <c r="G91" s="135" t="s">
        <v>4258</v>
      </c>
      <c r="H91" s="132">
        <f>IFERROR(VLOOKUP(B91,'📊 Problem Tracker'!$B$4:$F$1200,5,FALSE()),"")</f>
        <v>0</v>
      </c>
      <c r="I91" s="132"/>
      <c r="J91" s="132"/>
      <c r="K91" s="135"/>
      <c r="L91" s="273" t="s">
        <v>619</v>
      </c>
      <c r="M91" s="132" t="s">
        <v>625</v>
      </c>
      <c r="N91" s="182" t="s">
        <v>626</v>
      </c>
      <c r="O91" s="195" t="str">
        <f>HYPERLINK("https://leetcode.com/problems/word-ladder/","https://leetcode.com/problems/word-ladder/")</f>
        <v>https://leetcode.com/problems/word-ladder/</v>
      </c>
    </row>
    <row r="92" spans="1:15" ht="31.5" customHeight="1" x14ac:dyDescent="0.2">
      <c r="A92" s="7">
        <v>87</v>
      </c>
      <c r="B92" s="7">
        <v>128</v>
      </c>
      <c r="C92" s="13" t="s">
        <v>628</v>
      </c>
      <c r="D92" s="7" t="s">
        <v>4544</v>
      </c>
      <c r="E92" s="18" t="s">
        <v>28</v>
      </c>
      <c r="F92" s="3" t="s">
        <v>629</v>
      </c>
      <c r="G92" s="3" t="s">
        <v>4545</v>
      </c>
      <c r="H92" s="7">
        <f>IFERROR(VLOOKUP(B92,'📊 Problem Tracker'!$B$4:$F$1200,5,FALSE()),"")</f>
        <v>0</v>
      </c>
      <c r="I92" s="7"/>
      <c r="J92" s="7"/>
      <c r="K92" s="3"/>
      <c r="L92" s="228" t="s">
        <v>631</v>
      </c>
      <c r="M92" s="7" t="s">
        <v>24</v>
      </c>
      <c r="N92" s="176" t="s">
        <v>24</v>
      </c>
      <c r="O92" s="191" t="str">
        <f>HYPERLINK("https://leetcode.com/problems/longest-consecutive-sequence/","https://leetcode.com/problems/longest-consecutive-sequence/")</f>
        <v>https://leetcode.com/problems/longest-consecutive-sequence/</v>
      </c>
    </row>
    <row r="93" spans="1:15" ht="31.5" customHeight="1" x14ac:dyDescent="0.2">
      <c r="A93" s="132">
        <v>88</v>
      </c>
      <c r="B93" s="132">
        <v>131</v>
      </c>
      <c r="C93" s="133" t="s">
        <v>640</v>
      </c>
      <c r="D93" s="132" t="s">
        <v>4549</v>
      </c>
      <c r="E93" s="134" t="s">
        <v>28</v>
      </c>
      <c r="F93" s="135" t="s">
        <v>641</v>
      </c>
      <c r="G93" s="135" t="s">
        <v>300</v>
      </c>
      <c r="H93" s="132">
        <f>IFERROR(VLOOKUP(B93,'📊 Problem Tracker'!$B$4:$F$1200,5,FALSE()),"")</f>
        <v>0</v>
      </c>
      <c r="I93" s="132"/>
      <c r="J93" s="132"/>
      <c r="K93" s="135"/>
      <c r="L93" s="273" t="s">
        <v>508</v>
      </c>
      <c r="M93" s="132" t="s">
        <v>643</v>
      </c>
      <c r="N93" s="182" t="s">
        <v>53</v>
      </c>
      <c r="O93" s="195" t="str">
        <f>HYPERLINK("https://leetcode.com/problems/palindrome-partitioning/","https://leetcode.com/problems/palindrome-partitioning/")</f>
        <v>https://leetcode.com/problems/palindrome-partitioning/</v>
      </c>
    </row>
    <row r="94" spans="1:15" ht="31.5" customHeight="1" x14ac:dyDescent="0.2">
      <c r="A94" s="7">
        <v>89</v>
      </c>
      <c r="B94" s="7">
        <v>133</v>
      </c>
      <c r="C94" s="13" t="s">
        <v>645</v>
      </c>
      <c r="D94" s="7" t="s">
        <v>4737</v>
      </c>
      <c r="E94" s="18" t="s">
        <v>28</v>
      </c>
      <c r="F94" s="3" t="s">
        <v>646</v>
      </c>
      <c r="G94" s="3" t="s">
        <v>4274</v>
      </c>
      <c r="H94" s="7">
        <f>IFERROR(VLOOKUP(B94,'📊 Problem Tracker'!$B$4:$F$1200,5,FALSE()),"")</f>
        <v>0</v>
      </c>
      <c r="I94" s="7"/>
      <c r="J94" s="7"/>
      <c r="K94" s="3"/>
      <c r="L94" s="228" t="s">
        <v>619</v>
      </c>
      <c r="M94" s="7" t="s">
        <v>648</v>
      </c>
      <c r="N94" s="176" t="s">
        <v>649</v>
      </c>
      <c r="O94" s="191" t="str">
        <f>HYPERLINK("https://leetcode.com/problems/clone-graph/","https://leetcode.com/problems/clone-graph/")</f>
        <v>https://leetcode.com/problems/clone-graph/</v>
      </c>
    </row>
    <row r="95" spans="1:15" ht="31.5" customHeight="1" x14ac:dyDescent="0.2">
      <c r="A95" s="132">
        <v>90</v>
      </c>
      <c r="B95" s="132">
        <v>135</v>
      </c>
      <c r="C95" s="133" t="s">
        <v>656</v>
      </c>
      <c r="D95" s="132" t="s">
        <v>4433</v>
      </c>
      <c r="E95" s="136" t="s">
        <v>42</v>
      </c>
      <c r="F95" s="135" t="s">
        <v>318</v>
      </c>
      <c r="G95" s="135" t="s">
        <v>3091</v>
      </c>
      <c r="H95" s="132">
        <f>IFERROR(VLOOKUP(B95,'📊 Problem Tracker'!$B$4:$F$1200,5,FALSE()),"")</f>
        <v>0</v>
      </c>
      <c r="I95" s="132"/>
      <c r="J95" s="132"/>
      <c r="K95" s="135"/>
      <c r="L95" s="273" t="s">
        <v>654</v>
      </c>
      <c r="M95" s="132" t="s">
        <v>24</v>
      </c>
      <c r="N95" s="182" t="s">
        <v>24</v>
      </c>
      <c r="O95" s="195" t="str">
        <f>HYPERLINK("https://leetcode.com/problems/candy/","https://leetcode.com/problems/candy/")</f>
        <v>https://leetcode.com/problems/candy/</v>
      </c>
    </row>
    <row r="96" spans="1:15" ht="31.5" customHeight="1" x14ac:dyDescent="0.2">
      <c r="A96" s="7">
        <v>91</v>
      </c>
      <c r="B96" s="7">
        <v>137</v>
      </c>
      <c r="C96" s="13" t="s">
        <v>665</v>
      </c>
      <c r="D96" s="7" t="s">
        <v>4522</v>
      </c>
      <c r="E96" s="18" t="s">
        <v>28</v>
      </c>
      <c r="F96" s="3" t="s">
        <v>666</v>
      </c>
      <c r="G96" s="3" t="s">
        <v>666</v>
      </c>
      <c r="H96" s="7">
        <f>IFERROR(VLOOKUP(B96,'📊 Problem Tracker'!$B$4:$F$1200,5,FALSE()),"")</f>
        <v>0</v>
      </c>
      <c r="I96" s="7"/>
      <c r="J96" s="7"/>
      <c r="K96" s="3"/>
      <c r="L96" s="228" t="s">
        <v>230</v>
      </c>
      <c r="M96" s="7" t="s">
        <v>24</v>
      </c>
      <c r="N96" s="176" t="s">
        <v>47</v>
      </c>
      <c r="O96" s="191" t="str">
        <f>HYPERLINK("https://leetcode.com/problems/single-number-ii/","https://leetcode.com/problems/single-number-ii/")</f>
        <v>https://leetcode.com/problems/single-number-ii/</v>
      </c>
    </row>
    <row r="97" spans="1:15" ht="31.5" customHeight="1" x14ac:dyDescent="0.2">
      <c r="A97" s="132">
        <v>92</v>
      </c>
      <c r="B97" s="132">
        <v>138</v>
      </c>
      <c r="C97" s="133" t="s">
        <v>668</v>
      </c>
      <c r="D97" s="132" t="s">
        <v>4472</v>
      </c>
      <c r="E97" s="134" t="s">
        <v>28</v>
      </c>
      <c r="F97" s="135" t="s">
        <v>669</v>
      </c>
      <c r="G97" s="135" t="s">
        <v>4552</v>
      </c>
      <c r="H97" s="132">
        <f>IFERROR(VLOOKUP(B97,'📊 Problem Tracker'!$B$4:$F$1200,5,FALSE()),"")</f>
        <v>0</v>
      </c>
      <c r="I97" s="132"/>
      <c r="J97" s="132"/>
      <c r="K97" s="135"/>
      <c r="L97" s="273" t="s">
        <v>461</v>
      </c>
      <c r="M97" s="132" t="s">
        <v>24</v>
      </c>
      <c r="N97" s="182" t="s">
        <v>24</v>
      </c>
      <c r="O97" s="195" t="str">
        <f>HYPERLINK("https://leetcode.com/problems/copy-list-with-random-pointer/","https://leetcode.com/problems/copy-list-with-random-pointer/")</f>
        <v>https://leetcode.com/problems/copy-list-with-random-pointer/</v>
      </c>
    </row>
    <row r="98" spans="1:15" ht="31.5" customHeight="1" x14ac:dyDescent="0.2">
      <c r="A98" s="7">
        <v>93</v>
      </c>
      <c r="B98" s="7">
        <v>139</v>
      </c>
      <c r="C98" s="13" t="s">
        <v>671</v>
      </c>
      <c r="D98" s="7" t="s">
        <v>4553</v>
      </c>
      <c r="E98" s="18" t="s">
        <v>28</v>
      </c>
      <c r="F98" s="3" t="s">
        <v>672</v>
      </c>
      <c r="G98" s="3" t="s">
        <v>1042</v>
      </c>
      <c r="H98" s="7">
        <f>IFERROR(VLOOKUP(B98,'📊 Problem Tracker'!$B$4:$F$1200,5,FALSE()),"")</f>
        <v>0</v>
      </c>
      <c r="I98" s="7"/>
      <c r="J98" s="7"/>
      <c r="K98" s="3"/>
      <c r="L98" s="228" t="s">
        <v>508</v>
      </c>
      <c r="M98" s="7" t="s">
        <v>53</v>
      </c>
      <c r="N98" s="176" t="s">
        <v>24</v>
      </c>
      <c r="O98" s="191" t="str">
        <f>HYPERLINK("https://leetcode.com/problems/word-break/","https://leetcode.com/problems/word-break/")</f>
        <v>https://leetcode.com/problems/word-break/</v>
      </c>
    </row>
    <row r="99" spans="1:15" ht="31.5" customHeight="1" x14ac:dyDescent="0.2">
      <c r="A99" s="132">
        <v>94</v>
      </c>
      <c r="B99" s="132">
        <v>141</v>
      </c>
      <c r="C99" s="133" t="s">
        <v>678</v>
      </c>
      <c r="D99" s="132" t="s">
        <v>4554</v>
      </c>
      <c r="E99" s="137" t="s">
        <v>20</v>
      </c>
      <c r="F99" s="135" t="s">
        <v>679</v>
      </c>
      <c r="G99" s="135" t="s">
        <v>4034</v>
      </c>
      <c r="H99" s="132">
        <f>IFERROR(VLOOKUP(B99,'📊 Problem Tracker'!$B$4:$F$1200,5,FALSE()),"")</f>
        <v>0</v>
      </c>
      <c r="I99" s="132"/>
      <c r="J99" s="132"/>
      <c r="K99" s="135"/>
      <c r="L99" s="273" t="s">
        <v>682</v>
      </c>
      <c r="M99" s="132" t="s">
        <v>24</v>
      </c>
      <c r="N99" s="182" t="s">
        <v>47</v>
      </c>
      <c r="O99" s="195" t="str">
        <f>HYPERLINK("https://leetcode.com/problems/linked-list-cycle/","https://leetcode.com/problems/linked-list-cycle/")</f>
        <v>https://leetcode.com/problems/linked-list-cycle/</v>
      </c>
    </row>
    <row r="100" spans="1:15" ht="31.5" customHeight="1" x14ac:dyDescent="0.2">
      <c r="A100" s="7">
        <v>95</v>
      </c>
      <c r="B100" s="7">
        <v>143</v>
      </c>
      <c r="C100" s="13" t="s">
        <v>688</v>
      </c>
      <c r="D100" s="7" t="s">
        <v>4556</v>
      </c>
      <c r="E100" s="18" t="s">
        <v>28</v>
      </c>
      <c r="F100" s="3" t="s">
        <v>679</v>
      </c>
      <c r="G100" s="3" t="s">
        <v>127</v>
      </c>
      <c r="H100" s="7">
        <f>IFERROR(VLOOKUP(B100,'📊 Problem Tracker'!$B$4:$F$1200,5,FALSE()),"")</f>
        <v>0</v>
      </c>
      <c r="I100" s="7"/>
      <c r="J100" s="7"/>
      <c r="K100" s="3"/>
      <c r="L100" s="228" t="s">
        <v>690</v>
      </c>
      <c r="M100" s="7" t="s">
        <v>24</v>
      </c>
      <c r="N100" s="176" t="s">
        <v>47</v>
      </c>
      <c r="O100" s="191" t="str">
        <f>HYPERLINK("https://leetcode.com/problems/reorder-list/","https://leetcode.com/problems/reorder-list/")</f>
        <v>https://leetcode.com/problems/reorder-list/</v>
      </c>
    </row>
    <row r="101" spans="1:15" ht="31.5" customHeight="1" x14ac:dyDescent="0.2">
      <c r="A101" s="132">
        <v>96</v>
      </c>
      <c r="B101" s="132">
        <v>146</v>
      </c>
      <c r="C101" s="133" t="s">
        <v>692</v>
      </c>
      <c r="D101" s="132" t="s">
        <v>4510</v>
      </c>
      <c r="E101" s="134" t="s">
        <v>28</v>
      </c>
      <c r="F101" s="135" t="s">
        <v>693</v>
      </c>
      <c r="G101" s="135" t="s">
        <v>4557</v>
      </c>
      <c r="H101" s="132">
        <f>IFERROR(VLOOKUP(B101,'📊 Problem Tracker'!$B$4:$F$1200,5,FALSE()),"")</f>
        <v>0</v>
      </c>
      <c r="I101" s="132"/>
      <c r="J101" s="132"/>
      <c r="K101" s="135"/>
      <c r="L101" s="273" t="s">
        <v>695</v>
      </c>
      <c r="M101" s="132" t="s">
        <v>696</v>
      </c>
      <c r="N101" s="182" t="s">
        <v>697</v>
      </c>
      <c r="O101" s="195" t="str">
        <f>HYPERLINK("https://leetcode.com/problems/lru-cache/","https://leetcode.com/problems/lru-cache/")</f>
        <v>https://leetcode.com/problems/lru-cache/</v>
      </c>
    </row>
    <row r="102" spans="1:15" ht="31.5" customHeight="1" x14ac:dyDescent="0.2">
      <c r="A102" s="7">
        <v>97</v>
      </c>
      <c r="B102" s="7">
        <v>148</v>
      </c>
      <c r="C102" s="13" t="s">
        <v>699</v>
      </c>
      <c r="D102" s="7" t="s">
        <v>4558</v>
      </c>
      <c r="E102" s="18" t="s">
        <v>28</v>
      </c>
      <c r="F102" s="3" t="s">
        <v>700</v>
      </c>
      <c r="G102" s="3" t="s">
        <v>4559</v>
      </c>
      <c r="H102" s="7">
        <f>IFERROR(VLOOKUP(B102,'📊 Problem Tracker'!$B$4:$F$1200,5,FALSE()),"")</f>
        <v>0</v>
      </c>
      <c r="I102" s="7"/>
      <c r="J102" s="7"/>
      <c r="K102" s="3"/>
      <c r="L102" s="228" t="s">
        <v>461</v>
      </c>
      <c r="M102" s="7" t="s">
        <v>326</v>
      </c>
      <c r="N102" s="176" t="s">
        <v>65</v>
      </c>
      <c r="O102" s="191" t="str">
        <f>HYPERLINK("https://leetcode.com/problems/sort-list/","https://leetcode.com/problems/sort-list/")</f>
        <v>https://leetcode.com/problems/sort-list/</v>
      </c>
    </row>
    <row r="103" spans="1:15" ht="31.5" customHeight="1" x14ac:dyDescent="0.2">
      <c r="A103" s="132">
        <v>98</v>
      </c>
      <c r="B103" s="132">
        <v>150</v>
      </c>
      <c r="C103" s="133" t="s">
        <v>707</v>
      </c>
      <c r="D103" s="132" t="s">
        <v>4562</v>
      </c>
      <c r="E103" s="134" t="s">
        <v>28</v>
      </c>
      <c r="F103" s="135" t="s">
        <v>708</v>
      </c>
      <c r="G103" s="135" t="s">
        <v>540</v>
      </c>
      <c r="H103" s="132">
        <f>IFERROR(VLOOKUP(B103,'📊 Problem Tracker'!$B$4:$F$1200,5,FALSE()),"")</f>
        <v>0</v>
      </c>
      <c r="I103" s="132"/>
      <c r="J103" s="132"/>
      <c r="K103" s="135"/>
      <c r="L103" s="273" t="s">
        <v>711</v>
      </c>
      <c r="M103" s="132" t="s">
        <v>24</v>
      </c>
      <c r="N103" s="182" t="s">
        <v>24</v>
      </c>
      <c r="O103" s="195" t="str">
        <f>HYPERLINK("https://leetcode.com/problems/evaluate-reverse-polish-notation/","https://leetcode.com/problems/evaluate-reverse-polish-notation/")</f>
        <v>https://leetcode.com/problems/evaluate-reverse-polish-notation/</v>
      </c>
    </row>
    <row r="104" spans="1:15" ht="31.5" customHeight="1" x14ac:dyDescent="0.2">
      <c r="A104" s="7">
        <v>99</v>
      </c>
      <c r="B104" s="7">
        <v>151</v>
      </c>
      <c r="C104" s="13" t="s">
        <v>713</v>
      </c>
      <c r="D104" s="7" t="s">
        <v>4563</v>
      </c>
      <c r="E104" s="18" t="s">
        <v>28</v>
      </c>
      <c r="F104" s="3" t="s">
        <v>611</v>
      </c>
      <c r="G104" s="3" t="s">
        <v>4564</v>
      </c>
      <c r="H104" s="7">
        <f>IFERROR(VLOOKUP(B104,'📊 Problem Tracker'!$B$4:$F$1200,5,FALSE()),"")</f>
        <v>0</v>
      </c>
      <c r="I104" s="7"/>
      <c r="J104" s="7"/>
      <c r="K104" s="3"/>
      <c r="L104" s="228" t="s">
        <v>690</v>
      </c>
      <c r="M104" s="7" t="s">
        <v>24</v>
      </c>
      <c r="N104" s="176" t="s">
        <v>24</v>
      </c>
      <c r="O104" s="191" t="str">
        <f>HYPERLINK("https://leetcode.com/problems/reverse-words-in-a-string/","https://leetcode.com/problems/reverse-words-in-a-string/")</f>
        <v>https://leetcode.com/problems/reverse-words-in-a-string/</v>
      </c>
    </row>
    <row r="105" spans="1:15" ht="31.5" customHeight="1" x14ac:dyDescent="0.2">
      <c r="A105" s="132">
        <v>100</v>
      </c>
      <c r="B105" s="132">
        <v>152</v>
      </c>
      <c r="C105" s="133" t="s">
        <v>715</v>
      </c>
      <c r="D105" s="132" t="s">
        <v>4565</v>
      </c>
      <c r="E105" s="134" t="s">
        <v>28</v>
      </c>
      <c r="F105" s="135" t="s">
        <v>309</v>
      </c>
      <c r="G105" s="135" t="s">
        <v>1042</v>
      </c>
      <c r="H105" s="132">
        <f>IFERROR(VLOOKUP(B105,'📊 Problem Tracker'!$B$4:$F$1200,5,FALSE()),"")</f>
        <v>0</v>
      </c>
      <c r="I105" s="132"/>
      <c r="J105" s="132"/>
      <c r="K105" s="135"/>
      <c r="L105" s="273" t="s">
        <v>718</v>
      </c>
      <c r="M105" s="132" t="s">
        <v>24</v>
      </c>
      <c r="N105" s="182" t="s">
        <v>47</v>
      </c>
      <c r="O105" s="195" t="str">
        <f>HYPERLINK("https://leetcode.com/problems/maximum-product-subarray/","https://leetcode.com/problems/maximum-product-subarray/")</f>
        <v>https://leetcode.com/problems/maximum-product-subarray/</v>
      </c>
    </row>
    <row r="106" spans="1:15" ht="31.5" customHeight="1" x14ac:dyDescent="0.2">
      <c r="A106" s="7">
        <v>101</v>
      </c>
      <c r="B106" s="7">
        <v>153</v>
      </c>
      <c r="C106" s="13" t="s">
        <v>720</v>
      </c>
      <c r="D106" s="7" t="s">
        <v>4566</v>
      </c>
      <c r="E106" s="18" t="s">
        <v>28</v>
      </c>
      <c r="F106" s="3" t="s">
        <v>41</v>
      </c>
      <c r="G106" s="3" t="s">
        <v>512</v>
      </c>
      <c r="H106" s="7">
        <f>IFERROR(VLOOKUP(B106,'📊 Problem Tracker'!$B$4:$F$1200,5,FALSE()),"")</f>
        <v>0</v>
      </c>
      <c r="I106" s="7"/>
      <c r="J106" s="7"/>
      <c r="K106" s="3"/>
      <c r="L106" s="228" t="s">
        <v>722</v>
      </c>
      <c r="M106" s="7" t="s">
        <v>65</v>
      </c>
      <c r="N106" s="176" t="s">
        <v>47</v>
      </c>
      <c r="O106" s="191" t="str">
        <f>HYPERLINK("https://leetcode.com/problems/find-minimum-in-rotated-sorted-array/","https://leetcode.com/problems/find-minimum-in-rotated-sorted-array/")</f>
        <v>https://leetcode.com/problems/find-minimum-in-rotated-sorted-array/</v>
      </c>
    </row>
    <row r="107" spans="1:15" ht="31.5" customHeight="1" x14ac:dyDescent="0.2">
      <c r="A107" s="132">
        <v>102</v>
      </c>
      <c r="B107" s="132">
        <v>155</v>
      </c>
      <c r="C107" s="133" t="s">
        <v>728</v>
      </c>
      <c r="D107" s="132" t="s">
        <v>4567</v>
      </c>
      <c r="E107" s="134" t="s">
        <v>28</v>
      </c>
      <c r="F107" s="135" t="s">
        <v>729</v>
      </c>
      <c r="G107" s="135" t="s">
        <v>4568</v>
      </c>
      <c r="H107" s="132">
        <f>IFERROR(VLOOKUP(B107,'📊 Problem Tracker'!$B$4:$F$1200,5,FALSE()),"")</f>
        <v>0</v>
      </c>
      <c r="I107" s="132"/>
      <c r="J107" s="132"/>
      <c r="K107" s="135"/>
      <c r="L107" s="273" t="s">
        <v>731</v>
      </c>
      <c r="M107" s="132" t="s">
        <v>732</v>
      </c>
      <c r="N107" s="182" t="s">
        <v>24</v>
      </c>
      <c r="O107" s="195" t="str">
        <f>HYPERLINK("https://leetcode.com/problems/min-stack/","https://leetcode.com/problems/min-stack/")</f>
        <v>https://leetcode.com/problems/min-stack/</v>
      </c>
    </row>
    <row r="108" spans="1:15" ht="31.5" customHeight="1" x14ac:dyDescent="0.2">
      <c r="A108" s="7">
        <v>103</v>
      </c>
      <c r="B108" s="7">
        <v>162</v>
      </c>
      <c r="C108" s="13" t="s">
        <v>752</v>
      </c>
      <c r="D108" s="7" t="s">
        <v>4569</v>
      </c>
      <c r="E108" s="18" t="s">
        <v>28</v>
      </c>
      <c r="F108" s="3" t="s">
        <v>41</v>
      </c>
      <c r="G108" s="3" t="s">
        <v>512</v>
      </c>
      <c r="H108" s="7">
        <f>IFERROR(VLOOKUP(B108,'📊 Problem Tracker'!$B$4:$F$1200,5,FALSE()),"")</f>
        <v>0</v>
      </c>
      <c r="I108" s="7"/>
      <c r="J108" s="7"/>
      <c r="K108" s="3"/>
      <c r="L108" s="228" t="s">
        <v>513</v>
      </c>
      <c r="M108" s="7" t="s">
        <v>65</v>
      </c>
      <c r="N108" s="176" t="s">
        <v>47</v>
      </c>
      <c r="O108" s="191" t="str">
        <f>HYPERLINK("https://leetcode.com/problems/find-peak-element/","https://leetcode.com/problems/find-peak-element/")</f>
        <v>https://leetcode.com/problems/find-peak-element/</v>
      </c>
    </row>
    <row r="109" spans="1:15" ht="31.5" customHeight="1" x14ac:dyDescent="0.2">
      <c r="A109" s="132">
        <v>104</v>
      </c>
      <c r="B109" s="132">
        <v>169</v>
      </c>
      <c r="C109" s="133" t="s">
        <v>773</v>
      </c>
      <c r="D109" s="132" t="s">
        <v>4571</v>
      </c>
      <c r="E109" s="137" t="s">
        <v>20</v>
      </c>
      <c r="F109" s="135" t="s">
        <v>166</v>
      </c>
      <c r="G109" s="135" t="s">
        <v>4572</v>
      </c>
      <c r="H109" s="132">
        <f>IFERROR(VLOOKUP(B109,'📊 Problem Tracker'!$B$4:$F$1200,5,FALSE()),"")</f>
        <v>0</v>
      </c>
      <c r="I109" s="132"/>
      <c r="J109" s="132"/>
      <c r="K109" s="135"/>
      <c r="L109" s="273" t="s">
        <v>776</v>
      </c>
      <c r="M109" s="132" t="s">
        <v>24</v>
      </c>
      <c r="N109" s="182" t="s">
        <v>47</v>
      </c>
      <c r="O109" s="195" t="str">
        <f>HYPERLINK("https://leetcode.com/problems/majority-element/","https://leetcode.com/problems/majority-element/")</f>
        <v>https://leetcode.com/problems/majority-element/</v>
      </c>
    </row>
    <row r="110" spans="1:15" ht="31.5" customHeight="1" x14ac:dyDescent="0.2">
      <c r="A110" s="7">
        <v>105</v>
      </c>
      <c r="B110" s="7">
        <v>173</v>
      </c>
      <c r="C110" s="13" t="s">
        <v>785</v>
      </c>
      <c r="D110" s="7" t="s">
        <v>4740</v>
      </c>
      <c r="E110" s="18" t="s">
        <v>28</v>
      </c>
      <c r="F110" s="3" t="s">
        <v>4741</v>
      </c>
      <c r="G110" s="3" t="s">
        <v>4742</v>
      </c>
      <c r="H110" s="7">
        <f>IFERROR(VLOOKUP(B110,'📊 Problem Tracker'!$B$4:$F$1200,5,FALSE()),"")</f>
        <v>0</v>
      </c>
      <c r="I110" s="7"/>
      <c r="J110" s="7"/>
      <c r="K110" s="3"/>
      <c r="L110" s="228" t="s">
        <v>513</v>
      </c>
      <c r="M110" s="7" t="s">
        <v>788</v>
      </c>
      <c r="N110" s="176" t="s">
        <v>503</v>
      </c>
      <c r="O110" s="191" t="str">
        <f>HYPERLINK("https://leetcode.com/problems/binary-search-tree-iterator/","https://leetcode.com/problems/binary-search-tree-iterator/")</f>
        <v>https://leetcode.com/problems/binary-search-tree-iterator/</v>
      </c>
    </row>
    <row r="111" spans="1:15" ht="31.5" customHeight="1" x14ac:dyDescent="0.2">
      <c r="A111" s="132">
        <v>106</v>
      </c>
      <c r="B111" s="132">
        <v>179</v>
      </c>
      <c r="C111" s="133" t="s">
        <v>812</v>
      </c>
      <c r="D111" s="132" t="s">
        <v>4890</v>
      </c>
      <c r="E111" s="134" t="s">
        <v>28</v>
      </c>
      <c r="F111" s="135" t="s">
        <v>813</v>
      </c>
      <c r="G111" s="135" t="s">
        <v>4279</v>
      </c>
      <c r="H111" s="132">
        <f>IFERROR(VLOOKUP(B111,'📊 Problem Tracker'!$B$4:$F$1200,5,FALSE()),"")</f>
        <v>0</v>
      </c>
      <c r="I111" s="132"/>
      <c r="J111" s="132"/>
      <c r="K111" s="135"/>
      <c r="L111" s="273" t="s">
        <v>1077</v>
      </c>
      <c r="M111" s="132" t="s">
        <v>817</v>
      </c>
      <c r="N111" s="182" t="s">
        <v>292</v>
      </c>
      <c r="O111" s="195" t="str">
        <f>HYPERLINK("https://leetcode.com/problems/largest-number/","https://leetcode.com/problems/largest-number/")</f>
        <v>https://leetcode.com/problems/largest-number/</v>
      </c>
    </row>
    <row r="112" spans="1:15" ht="31.5" customHeight="1" x14ac:dyDescent="0.2">
      <c r="A112" s="7">
        <v>107</v>
      </c>
      <c r="B112" s="7">
        <v>189</v>
      </c>
      <c r="C112" s="13" t="s">
        <v>852</v>
      </c>
      <c r="D112" s="7" t="s">
        <v>4574</v>
      </c>
      <c r="E112" s="18" t="s">
        <v>28</v>
      </c>
      <c r="F112" s="3" t="s">
        <v>853</v>
      </c>
      <c r="G112" s="3" t="s">
        <v>4575</v>
      </c>
      <c r="H112" s="7">
        <f>IFERROR(VLOOKUP(B112,'📊 Problem Tracker'!$B$4:$F$1200,5,FALSE()),"")</f>
        <v>0</v>
      </c>
      <c r="I112" s="7"/>
      <c r="J112" s="7"/>
      <c r="K112" s="3"/>
      <c r="L112" s="228" t="s">
        <v>690</v>
      </c>
      <c r="M112" s="7" t="s">
        <v>24</v>
      </c>
      <c r="N112" s="176" t="s">
        <v>47</v>
      </c>
      <c r="O112" s="191" t="str">
        <f>HYPERLINK("https://leetcode.com/problems/rotate-array/","https://leetcode.com/problems/rotate-array/")</f>
        <v>https://leetcode.com/problems/rotate-array/</v>
      </c>
    </row>
    <row r="113" spans="1:15" ht="31.5" customHeight="1" x14ac:dyDescent="0.2">
      <c r="A113" s="132">
        <v>108</v>
      </c>
      <c r="B113" s="132">
        <v>198</v>
      </c>
      <c r="C113" s="133" t="s">
        <v>874</v>
      </c>
      <c r="D113" s="132" t="s">
        <v>4578</v>
      </c>
      <c r="E113" s="134" t="s">
        <v>28</v>
      </c>
      <c r="F113" s="135" t="s">
        <v>309</v>
      </c>
      <c r="G113" s="135" t="s">
        <v>1042</v>
      </c>
      <c r="H113" s="132">
        <f>IFERROR(VLOOKUP(B113,'📊 Problem Tracker'!$B$4:$F$1200,5,FALSE()),"")</f>
        <v>0</v>
      </c>
      <c r="I113" s="132"/>
      <c r="J113" s="132"/>
      <c r="K113" s="135"/>
      <c r="L113" s="273" t="s">
        <v>876</v>
      </c>
      <c r="M113" s="132" t="s">
        <v>24</v>
      </c>
      <c r="N113" s="182" t="s">
        <v>47</v>
      </c>
      <c r="O113" s="195" t="str">
        <f>HYPERLINK("https://leetcode.com/problems/house-robber/","https://leetcode.com/problems/house-robber/")</f>
        <v>https://leetcode.com/problems/house-robber/</v>
      </c>
    </row>
    <row r="114" spans="1:15" ht="31.5" customHeight="1" x14ac:dyDescent="0.2">
      <c r="A114" s="7">
        <v>109</v>
      </c>
      <c r="B114" s="7">
        <v>199</v>
      </c>
      <c r="C114" s="13" t="s">
        <v>878</v>
      </c>
      <c r="D114" s="7" t="s">
        <v>4744</v>
      </c>
      <c r="E114" s="18" t="s">
        <v>28</v>
      </c>
      <c r="F114" s="3" t="s">
        <v>879</v>
      </c>
      <c r="G114" s="3" t="s">
        <v>4270</v>
      </c>
      <c r="H114" s="7">
        <f>IFERROR(VLOOKUP(B114,'📊 Problem Tracker'!$B$4:$F$1200,5,FALSE()),"")</f>
        <v>0</v>
      </c>
      <c r="I114" s="7"/>
      <c r="J114" s="7"/>
      <c r="K114" s="3"/>
      <c r="L114" s="228" t="s">
        <v>571</v>
      </c>
      <c r="M114" s="7" t="s">
        <v>24</v>
      </c>
      <c r="N114" s="176" t="s">
        <v>24</v>
      </c>
      <c r="O114" s="191" t="str">
        <f>HYPERLINK("https://leetcode.com/problems/binary-tree-right-side-view/","https://leetcode.com/problems/binary-tree-right-side-view/")</f>
        <v>https://leetcode.com/problems/binary-tree-right-side-view/</v>
      </c>
    </row>
    <row r="115" spans="1:15" ht="31.5" customHeight="1" x14ac:dyDescent="0.2">
      <c r="A115" s="132">
        <v>110</v>
      </c>
      <c r="B115" s="132">
        <v>200</v>
      </c>
      <c r="C115" s="133" t="s">
        <v>882</v>
      </c>
      <c r="D115" s="132" t="s">
        <v>4558</v>
      </c>
      <c r="E115" s="134" t="s">
        <v>28</v>
      </c>
      <c r="F115" s="135" t="s">
        <v>4159</v>
      </c>
      <c r="G115" s="135" t="s">
        <v>4579</v>
      </c>
      <c r="H115" s="132">
        <f>IFERROR(VLOOKUP(B115,'📊 Problem Tracker'!$B$4:$F$1200,5,FALSE()),"")</f>
        <v>0</v>
      </c>
      <c r="I115" s="132"/>
      <c r="J115" s="132"/>
      <c r="K115" s="135"/>
      <c r="L115" s="273" t="s">
        <v>884</v>
      </c>
      <c r="M115" s="132" t="s">
        <v>81</v>
      </c>
      <c r="N115" s="182" t="s">
        <v>81</v>
      </c>
      <c r="O115" s="195" t="str">
        <f>HYPERLINK("https://leetcode.com/problems/number-of-islands/","https://leetcode.com/problems/number-of-islands/")</f>
        <v>https://leetcode.com/problems/number-of-islands/</v>
      </c>
    </row>
    <row r="116" spans="1:15" ht="31.5" customHeight="1" x14ac:dyDescent="0.2">
      <c r="A116" s="7">
        <v>111</v>
      </c>
      <c r="B116" s="7">
        <v>202</v>
      </c>
      <c r="C116" s="13" t="s">
        <v>886</v>
      </c>
      <c r="D116" s="7" t="s">
        <v>4521</v>
      </c>
      <c r="E116" s="21" t="s">
        <v>20</v>
      </c>
      <c r="F116" s="3" t="s">
        <v>887</v>
      </c>
      <c r="G116" s="3" t="s">
        <v>4034</v>
      </c>
      <c r="H116" s="7">
        <f>IFERROR(VLOOKUP(B116,'📊 Problem Tracker'!$B$4:$F$1200,5,FALSE()),"")</f>
        <v>0</v>
      </c>
      <c r="I116" s="7"/>
      <c r="J116" s="7"/>
      <c r="K116" s="3"/>
      <c r="L116" s="228" t="s">
        <v>889</v>
      </c>
      <c r="M116" s="7" t="s">
        <v>65</v>
      </c>
      <c r="N116" s="176" t="s">
        <v>47</v>
      </c>
      <c r="O116" s="191" t="str">
        <f>HYPERLINK("https://leetcode.com/problems/happy-number/","https://leetcode.com/problems/happy-number/")</f>
        <v>https://leetcode.com/problems/happy-number/</v>
      </c>
    </row>
    <row r="117" spans="1:15" ht="31.5" customHeight="1" x14ac:dyDescent="0.2">
      <c r="A117" s="132">
        <v>112</v>
      </c>
      <c r="B117" s="132">
        <v>205</v>
      </c>
      <c r="C117" s="133" t="s">
        <v>896</v>
      </c>
      <c r="D117" s="132" t="s">
        <v>4433</v>
      </c>
      <c r="E117" s="137" t="s">
        <v>20</v>
      </c>
      <c r="F117" s="135" t="s">
        <v>897</v>
      </c>
      <c r="G117" s="135" t="s">
        <v>4244</v>
      </c>
      <c r="H117" s="132">
        <f>IFERROR(VLOOKUP(B117,'📊 Problem Tracker'!$B$4:$F$1200,5,FALSE()),"")</f>
        <v>0</v>
      </c>
      <c r="I117" s="132"/>
      <c r="J117" s="132"/>
      <c r="K117" s="135"/>
      <c r="L117" s="273" t="s">
        <v>705</v>
      </c>
      <c r="M117" s="132" t="s">
        <v>24</v>
      </c>
      <c r="N117" s="182" t="s">
        <v>47</v>
      </c>
      <c r="O117" s="195" t="str">
        <f>HYPERLINK("https://leetcode.com/problems/isomorphic-strings/","https://leetcode.com/problems/isomorphic-strings/")</f>
        <v>https://leetcode.com/problems/isomorphic-strings/</v>
      </c>
    </row>
    <row r="118" spans="1:15" ht="31.5" customHeight="1" x14ac:dyDescent="0.2">
      <c r="A118" s="7">
        <v>113</v>
      </c>
      <c r="B118" s="7">
        <v>206</v>
      </c>
      <c r="C118" s="13" t="s">
        <v>899</v>
      </c>
      <c r="D118" s="7" t="s">
        <v>4582</v>
      </c>
      <c r="E118" s="21" t="s">
        <v>20</v>
      </c>
      <c r="F118" s="3" t="s">
        <v>127</v>
      </c>
      <c r="G118" s="3" t="s">
        <v>127</v>
      </c>
      <c r="H118" s="7">
        <f>IFERROR(VLOOKUP(B118,'📊 Problem Tracker'!$B$4:$F$1200,5,FALSE()),"")</f>
        <v>0</v>
      </c>
      <c r="I118" s="7"/>
      <c r="J118" s="7"/>
      <c r="K118" s="3"/>
      <c r="L118" s="228" t="s">
        <v>901</v>
      </c>
      <c r="M118" s="7" t="s">
        <v>24</v>
      </c>
      <c r="N118" s="176" t="s">
        <v>47</v>
      </c>
      <c r="O118" s="191" t="str">
        <f>HYPERLINK("https://leetcode.com/problems/reverse-linked-list/","https://leetcode.com/problems/reverse-linked-list/")</f>
        <v>https://leetcode.com/problems/reverse-linked-list/</v>
      </c>
    </row>
    <row r="119" spans="1:15" ht="31.5" customHeight="1" x14ac:dyDescent="0.2">
      <c r="A119" s="132">
        <v>114</v>
      </c>
      <c r="B119" s="132">
        <v>207</v>
      </c>
      <c r="C119" s="133" t="s">
        <v>903</v>
      </c>
      <c r="D119" s="132" t="s">
        <v>4583</v>
      </c>
      <c r="E119" s="134" t="s">
        <v>28</v>
      </c>
      <c r="F119" s="135" t="s">
        <v>4156</v>
      </c>
      <c r="G119" s="135" t="s">
        <v>4282</v>
      </c>
      <c r="H119" s="132">
        <f>IFERROR(VLOOKUP(B119,'📊 Problem Tracker'!$B$4:$F$1200,5,FALSE()),"")</f>
        <v>0</v>
      </c>
      <c r="I119" s="132"/>
      <c r="J119" s="132"/>
      <c r="K119" s="135"/>
      <c r="L119" s="273" t="s">
        <v>906</v>
      </c>
      <c r="M119" s="132" t="s">
        <v>648</v>
      </c>
      <c r="N119" s="182" t="s">
        <v>648</v>
      </c>
      <c r="O119" s="195" t="str">
        <f>HYPERLINK("https://leetcode.com/problems/course-schedule/","https://leetcode.com/problems/course-schedule/")</f>
        <v>https://leetcode.com/problems/course-schedule/</v>
      </c>
    </row>
    <row r="120" spans="1:15" ht="31.5" customHeight="1" x14ac:dyDescent="0.2">
      <c r="A120" s="7">
        <v>115</v>
      </c>
      <c r="B120" s="7">
        <v>208</v>
      </c>
      <c r="C120" s="13" t="s">
        <v>908</v>
      </c>
      <c r="D120" s="7" t="s">
        <v>4456</v>
      </c>
      <c r="E120" s="18" t="s">
        <v>28</v>
      </c>
      <c r="F120" s="3" t="s">
        <v>909</v>
      </c>
      <c r="G120" s="3" t="s">
        <v>925</v>
      </c>
      <c r="H120" s="7">
        <f>IFERROR(VLOOKUP(B120,'📊 Problem Tracker'!$B$4:$F$1200,5,FALSE()),"")</f>
        <v>0</v>
      </c>
      <c r="I120" s="7"/>
      <c r="J120" s="7"/>
      <c r="K120" s="3"/>
      <c r="L120" s="228" t="s">
        <v>911</v>
      </c>
      <c r="M120" s="7" t="s">
        <v>912</v>
      </c>
      <c r="N120" s="176" t="s">
        <v>913</v>
      </c>
      <c r="O120" s="191" t="str">
        <f>HYPERLINK("https://leetcode.com/problems/implement-trie-prefix-tree/","https://leetcode.com/problems/implement-trie-prefix-tree/")</f>
        <v>https://leetcode.com/problems/implement-trie-prefix-tree/</v>
      </c>
    </row>
    <row r="121" spans="1:15" ht="31.5" customHeight="1" x14ac:dyDescent="0.2">
      <c r="A121" s="132">
        <v>116</v>
      </c>
      <c r="B121" s="132">
        <v>209</v>
      </c>
      <c r="C121" s="133" t="s">
        <v>915</v>
      </c>
      <c r="D121" s="132" t="s">
        <v>4450</v>
      </c>
      <c r="E121" s="134" t="s">
        <v>28</v>
      </c>
      <c r="F121" s="135" t="s">
        <v>4584</v>
      </c>
      <c r="G121" s="135" t="s">
        <v>917</v>
      </c>
      <c r="H121" s="132">
        <f>IFERROR(VLOOKUP(B121,'📊 Problem Tracker'!$B$4:$F$1200,5,FALSE()),"")</f>
        <v>0</v>
      </c>
      <c r="I121" s="132"/>
      <c r="J121" s="132"/>
      <c r="K121" s="135"/>
      <c r="L121" s="273" t="s">
        <v>919</v>
      </c>
      <c r="M121" s="132" t="s">
        <v>24</v>
      </c>
      <c r="N121" s="182" t="s">
        <v>47</v>
      </c>
      <c r="O121" s="195" t="str">
        <f>HYPERLINK("https://leetcode.com/problems/minimum-size-subarray-sum/","https://leetcode.com/problems/minimum-size-subarray-sum/")</f>
        <v>https://leetcode.com/problems/minimum-size-subarray-sum/</v>
      </c>
    </row>
    <row r="122" spans="1:15" ht="31.5" customHeight="1" x14ac:dyDescent="0.2">
      <c r="A122" s="7">
        <v>117</v>
      </c>
      <c r="B122" s="7">
        <v>210</v>
      </c>
      <c r="C122" s="13" t="s">
        <v>921</v>
      </c>
      <c r="D122" s="7" t="s">
        <v>4585</v>
      </c>
      <c r="E122" s="18" t="s">
        <v>28</v>
      </c>
      <c r="F122" s="3" t="s">
        <v>1167</v>
      </c>
      <c r="G122" s="3" t="s">
        <v>4282</v>
      </c>
      <c r="H122" s="7">
        <f>IFERROR(VLOOKUP(B122,'📊 Problem Tracker'!$B$4:$F$1200,5,FALSE()),"")</f>
        <v>0</v>
      </c>
      <c r="I122" s="7"/>
      <c r="J122" s="7"/>
      <c r="K122" s="3"/>
      <c r="L122" s="228" t="s">
        <v>619</v>
      </c>
      <c r="M122" s="7" t="s">
        <v>648</v>
      </c>
      <c r="N122" s="176" t="s">
        <v>648</v>
      </c>
      <c r="O122" s="191" t="str">
        <f>HYPERLINK("https://leetcode.com/problems/course-schedule-ii/","https://leetcode.com/problems/course-schedule-ii/")</f>
        <v>https://leetcode.com/problems/course-schedule-ii/</v>
      </c>
    </row>
    <row r="123" spans="1:15" ht="31.5" customHeight="1" x14ac:dyDescent="0.2">
      <c r="A123" s="132">
        <v>118</v>
      </c>
      <c r="B123" s="132">
        <v>211</v>
      </c>
      <c r="C123" s="133" t="s">
        <v>923</v>
      </c>
      <c r="D123" s="132" t="s">
        <v>4447</v>
      </c>
      <c r="E123" s="134" t="s">
        <v>28</v>
      </c>
      <c r="F123" s="135" t="s">
        <v>924</v>
      </c>
      <c r="G123" s="135" t="s">
        <v>4747</v>
      </c>
      <c r="H123" s="132">
        <f>IFERROR(VLOOKUP(B123,'📊 Problem Tracker'!$B$4:$F$1200,5,FALSE()),"")</f>
        <v>0</v>
      </c>
      <c r="I123" s="132"/>
      <c r="J123" s="132"/>
      <c r="K123" s="135"/>
      <c r="L123" s="273" t="s">
        <v>927</v>
      </c>
      <c r="M123" s="132" t="s">
        <v>928</v>
      </c>
      <c r="N123" s="182" t="s">
        <v>913</v>
      </c>
      <c r="O123" s="195" t="str">
        <f>HYPERLINK("https://leetcode.com/problems/add-and-search-word-data-structure-design/","https://leetcode.com/problems/add-and-search-word-data-structure-design/")</f>
        <v>https://leetcode.com/problems/add-and-search-word-data-structure-design/</v>
      </c>
    </row>
    <row r="124" spans="1:15" ht="31.5" customHeight="1" x14ac:dyDescent="0.2">
      <c r="A124" s="7">
        <v>119</v>
      </c>
      <c r="B124" s="7">
        <v>212</v>
      </c>
      <c r="C124" s="13" t="s">
        <v>930</v>
      </c>
      <c r="D124" s="7" t="s">
        <v>4586</v>
      </c>
      <c r="E124" s="20" t="s">
        <v>42</v>
      </c>
      <c r="F124" s="3" t="s">
        <v>4227</v>
      </c>
      <c r="G124" s="3" t="s">
        <v>4587</v>
      </c>
      <c r="H124" s="7">
        <f>IFERROR(VLOOKUP(B124,'📊 Problem Tracker'!$B$4:$F$1200,5,FALSE()),"")</f>
        <v>0</v>
      </c>
      <c r="I124" s="7"/>
      <c r="J124" s="7"/>
      <c r="K124" s="3"/>
      <c r="L124" s="228" t="s">
        <v>302</v>
      </c>
      <c r="M124" s="7" t="s">
        <v>446</v>
      </c>
      <c r="N124" s="176" t="s">
        <v>913</v>
      </c>
      <c r="O124" s="191" t="str">
        <f>HYPERLINK("https://leetcode.com/problems/word-search-ii/","https://leetcode.com/problems/word-search-ii/")</f>
        <v>https://leetcode.com/problems/word-search-ii/</v>
      </c>
    </row>
    <row r="125" spans="1:15" ht="31.5" customHeight="1" x14ac:dyDescent="0.2">
      <c r="A125" s="132">
        <v>120</v>
      </c>
      <c r="B125" s="132">
        <v>215</v>
      </c>
      <c r="C125" s="133" t="s">
        <v>940</v>
      </c>
      <c r="D125" s="132" t="s">
        <v>4590</v>
      </c>
      <c r="E125" s="134" t="s">
        <v>28</v>
      </c>
      <c r="F125" s="135" t="s">
        <v>4286</v>
      </c>
      <c r="G125" s="135" t="s">
        <v>4591</v>
      </c>
      <c r="H125" s="132">
        <f>IFERROR(VLOOKUP(B125,'📊 Problem Tracker'!$B$4:$F$1200,5,FALSE()),"")</f>
        <v>0</v>
      </c>
      <c r="I125" s="132"/>
      <c r="J125" s="132"/>
      <c r="K125" s="135"/>
      <c r="L125" s="273" t="s">
        <v>943</v>
      </c>
      <c r="M125" s="132" t="s">
        <v>944</v>
      </c>
      <c r="N125" s="182" t="s">
        <v>945</v>
      </c>
      <c r="O125" s="195" t="str">
        <f>HYPERLINK("https://leetcode.com/problems/kth-largest-element-in-an-array/","https://leetcode.com/problems/kth-largest-element-in-an-array/")</f>
        <v>https://leetcode.com/problems/kth-largest-element-in-an-array/</v>
      </c>
    </row>
    <row r="126" spans="1:15" ht="31.5" customHeight="1" x14ac:dyDescent="0.2">
      <c r="A126" s="7">
        <v>121</v>
      </c>
      <c r="B126" s="7">
        <v>221</v>
      </c>
      <c r="C126" s="13" t="s">
        <v>964</v>
      </c>
      <c r="D126" s="7" t="s">
        <v>4595</v>
      </c>
      <c r="E126" s="18" t="s">
        <v>28</v>
      </c>
      <c r="F126" s="3" t="s">
        <v>360</v>
      </c>
      <c r="G126" s="3" t="s">
        <v>1042</v>
      </c>
      <c r="H126" s="7">
        <f>IFERROR(VLOOKUP(B126,'📊 Problem Tracker'!$B$4:$F$1200,5,FALSE()),"")</f>
        <v>0</v>
      </c>
      <c r="I126" s="7"/>
      <c r="J126" s="7"/>
      <c r="K126" s="3"/>
      <c r="L126" s="228" t="s">
        <v>508</v>
      </c>
      <c r="M126" s="7" t="s">
        <v>81</v>
      </c>
      <c r="N126" s="176" t="s">
        <v>24</v>
      </c>
      <c r="O126" s="191" t="str">
        <f>HYPERLINK("https://leetcode.com/problems/maximal-square/","https://leetcode.com/problems/maximal-square/")</f>
        <v>https://leetcode.com/problems/maximal-square/</v>
      </c>
    </row>
    <row r="127" spans="1:15" ht="31.5" customHeight="1" x14ac:dyDescent="0.2">
      <c r="A127" s="132">
        <v>122</v>
      </c>
      <c r="B127" s="132">
        <v>224</v>
      </c>
      <c r="C127" s="133" t="s">
        <v>970</v>
      </c>
      <c r="D127" s="132" t="s">
        <v>4596</v>
      </c>
      <c r="E127" s="136" t="s">
        <v>42</v>
      </c>
      <c r="F127" s="135" t="s">
        <v>971</v>
      </c>
      <c r="G127" s="135" t="s">
        <v>540</v>
      </c>
      <c r="H127" s="132">
        <f>IFERROR(VLOOKUP(B127,'📊 Problem Tracker'!$B$4:$F$1200,5,FALSE()),"")</f>
        <v>0</v>
      </c>
      <c r="I127" s="132"/>
      <c r="J127" s="132"/>
      <c r="K127" s="135"/>
      <c r="L127" s="273" t="s">
        <v>542</v>
      </c>
      <c r="M127" s="132" t="s">
        <v>24</v>
      </c>
      <c r="N127" s="182" t="s">
        <v>24</v>
      </c>
      <c r="O127" s="195" t="str">
        <f>HYPERLINK("https://leetcode.com/problems/basic-calculator/","https://leetcode.com/problems/basic-calculator/")</f>
        <v>https://leetcode.com/problems/basic-calculator/</v>
      </c>
    </row>
    <row r="128" spans="1:15" ht="31.5" customHeight="1" x14ac:dyDescent="0.2">
      <c r="A128" s="7">
        <v>123</v>
      </c>
      <c r="B128" s="7">
        <v>225</v>
      </c>
      <c r="C128" s="13" t="s">
        <v>973</v>
      </c>
      <c r="D128" s="7" t="s">
        <v>4546</v>
      </c>
      <c r="E128" s="21" t="s">
        <v>20</v>
      </c>
      <c r="F128" s="3" t="s">
        <v>974</v>
      </c>
      <c r="G128" s="3" t="s">
        <v>4597</v>
      </c>
      <c r="H128" s="7">
        <f>IFERROR(VLOOKUP(B128,'📊 Problem Tracker'!$B$4:$F$1200,5,FALSE()),"")</f>
        <v>0</v>
      </c>
      <c r="I128" s="7"/>
      <c r="J128" s="7"/>
      <c r="K128" s="3"/>
      <c r="L128" s="228" t="s">
        <v>542</v>
      </c>
      <c r="M128" s="7" t="s">
        <v>24</v>
      </c>
      <c r="N128" s="176" t="s">
        <v>24</v>
      </c>
      <c r="O128" s="191" t="str">
        <f>HYPERLINK("https://leetcode.com/problems/implement-stack-using-queues/","https://leetcode.com/problems/implement-stack-using-queues/")</f>
        <v>https://leetcode.com/problems/implement-stack-using-queues/</v>
      </c>
    </row>
    <row r="129" spans="1:15" ht="31.5" customHeight="1" x14ac:dyDescent="0.2">
      <c r="A129" s="132">
        <v>124</v>
      </c>
      <c r="B129" s="132">
        <v>226</v>
      </c>
      <c r="C129" s="133" t="s">
        <v>976</v>
      </c>
      <c r="D129" s="132" t="s">
        <v>4481</v>
      </c>
      <c r="E129" s="137" t="s">
        <v>20</v>
      </c>
      <c r="F129" s="135" t="s">
        <v>500</v>
      </c>
      <c r="G129" s="135" t="s">
        <v>4256</v>
      </c>
      <c r="H129" s="132">
        <f>IFERROR(VLOOKUP(B129,'📊 Problem Tracker'!$B$4:$F$1200,5,FALSE()),"")</f>
        <v>0</v>
      </c>
      <c r="I129" s="132"/>
      <c r="J129" s="132"/>
      <c r="K129" s="135"/>
      <c r="L129" s="273" t="s">
        <v>978</v>
      </c>
      <c r="M129" s="132" t="s">
        <v>24</v>
      </c>
      <c r="N129" s="182" t="s">
        <v>503</v>
      </c>
      <c r="O129" s="195" t="str">
        <f>HYPERLINK("https://leetcode.com/problems/invert-binary-tree/","https://leetcode.com/problems/invert-binary-tree/")</f>
        <v>https://leetcode.com/problems/invert-binary-tree/</v>
      </c>
    </row>
    <row r="130" spans="1:15" ht="31.5" customHeight="1" x14ac:dyDescent="0.2">
      <c r="A130" s="7">
        <v>125</v>
      </c>
      <c r="B130" s="7">
        <v>230</v>
      </c>
      <c r="C130" s="13" t="s">
        <v>989</v>
      </c>
      <c r="D130" s="7" t="s">
        <v>4576</v>
      </c>
      <c r="E130" s="18" t="s">
        <v>28</v>
      </c>
      <c r="F130" s="3" t="s">
        <v>518</v>
      </c>
      <c r="G130" s="3" t="s">
        <v>4287</v>
      </c>
      <c r="H130" s="7">
        <f>IFERROR(VLOOKUP(B130,'📊 Problem Tracker'!$B$4:$F$1200,5,FALSE()),"")</f>
        <v>0</v>
      </c>
      <c r="I130" s="7"/>
      <c r="J130" s="7"/>
      <c r="K130" s="3"/>
      <c r="L130" s="228" t="s">
        <v>571</v>
      </c>
      <c r="M130" s="7" t="s">
        <v>991</v>
      </c>
      <c r="N130" s="176" t="s">
        <v>503</v>
      </c>
      <c r="O130" s="191" t="str">
        <f>HYPERLINK("https://leetcode.com/problems/kth-smallest-element-in-a-bst/","https://leetcode.com/problems/kth-smallest-element-in-a-bst/")</f>
        <v>https://leetcode.com/problems/kth-smallest-element-in-a-bst/</v>
      </c>
    </row>
    <row r="131" spans="1:15" ht="31.5" customHeight="1" x14ac:dyDescent="0.2">
      <c r="A131" s="132">
        <v>126</v>
      </c>
      <c r="B131" s="132">
        <v>232</v>
      </c>
      <c r="C131" s="133" t="s">
        <v>995</v>
      </c>
      <c r="D131" s="132" t="s">
        <v>4601</v>
      </c>
      <c r="E131" s="137" t="s">
        <v>20</v>
      </c>
      <c r="F131" s="135" t="s">
        <v>974</v>
      </c>
      <c r="G131" s="135" t="s">
        <v>540</v>
      </c>
      <c r="H131" s="132">
        <f>IFERROR(VLOOKUP(B131,'📊 Problem Tracker'!$B$4:$F$1200,5,FALSE()),"")</f>
        <v>0</v>
      </c>
      <c r="I131" s="132"/>
      <c r="J131" s="132"/>
      <c r="K131" s="135"/>
      <c r="L131" s="273" t="s">
        <v>542</v>
      </c>
      <c r="M131" s="132" t="s">
        <v>996</v>
      </c>
      <c r="N131" s="182" t="s">
        <v>24</v>
      </c>
      <c r="O131" s="195" t="str">
        <f>HYPERLINK("https://leetcode.com/problems/implement-queue-using-stacks/","https://leetcode.com/problems/implement-queue-using-stacks/")</f>
        <v>https://leetcode.com/problems/implement-queue-using-stacks/</v>
      </c>
    </row>
    <row r="132" spans="1:15" ht="31.5" customHeight="1" x14ac:dyDescent="0.2">
      <c r="A132" s="7">
        <v>127</v>
      </c>
      <c r="B132" s="7">
        <v>234</v>
      </c>
      <c r="C132" s="13" t="s">
        <v>998</v>
      </c>
      <c r="D132" s="7" t="s">
        <v>4555</v>
      </c>
      <c r="E132" s="21" t="s">
        <v>20</v>
      </c>
      <c r="F132" s="3" t="s">
        <v>4290</v>
      </c>
      <c r="G132" s="3" t="s">
        <v>4034</v>
      </c>
      <c r="H132" s="7">
        <f>IFERROR(VLOOKUP(B132,'📊 Problem Tracker'!$B$4:$F$1200,5,FALSE()),"")</f>
        <v>0</v>
      </c>
      <c r="I132" s="7"/>
      <c r="J132" s="7"/>
      <c r="K132" s="3"/>
      <c r="L132" s="228" t="s">
        <v>1000</v>
      </c>
      <c r="M132" s="7" t="s">
        <v>24</v>
      </c>
      <c r="N132" s="176" t="s">
        <v>47</v>
      </c>
      <c r="O132" s="191" t="str">
        <f>HYPERLINK("https://leetcode.com/problems/palindrome-linked-list/","https://leetcode.com/problems/palindrome-linked-list/")</f>
        <v>https://leetcode.com/problems/palindrome-linked-list/</v>
      </c>
    </row>
    <row r="133" spans="1:15" ht="31.5" customHeight="1" x14ac:dyDescent="0.2">
      <c r="A133" s="132">
        <v>128</v>
      </c>
      <c r="B133" s="132">
        <v>235</v>
      </c>
      <c r="C133" s="133" t="s">
        <v>1002</v>
      </c>
      <c r="D133" s="132" t="s">
        <v>4602</v>
      </c>
      <c r="E133" s="134" t="s">
        <v>28</v>
      </c>
      <c r="F133" s="135" t="s">
        <v>518</v>
      </c>
      <c r="G133" s="135" t="s">
        <v>4520</v>
      </c>
      <c r="H133" s="132">
        <f>IFERROR(VLOOKUP(B133,'📊 Problem Tracker'!$B$4:$F$1200,5,FALSE()),"")</f>
        <v>0</v>
      </c>
      <c r="I133" s="132"/>
      <c r="J133" s="132"/>
      <c r="K133" s="135"/>
      <c r="L133" s="273" t="s">
        <v>513</v>
      </c>
      <c r="M133" s="132" t="s">
        <v>503</v>
      </c>
      <c r="N133" s="182" t="s">
        <v>47</v>
      </c>
      <c r="O133" s="195" t="str">
        <f>HYPERLINK("https://leetcode.com/problems/lowest-common-ancestor-of-a-binary-search-tree/","https://leetcode.com/problems/lowest-common-ancestor-of-a-binary-search-tree/")</f>
        <v>https://leetcode.com/problems/lowest-common-ancestor-of-a-binary-search-tree/</v>
      </c>
    </row>
    <row r="134" spans="1:15" ht="31.5" customHeight="1" x14ac:dyDescent="0.2">
      <c r="A134" s="7">
        <v>129</v>
      </c>
      <c r="B134" s="7">
        <v>236</v>
      </c>
      <c r="C134" s="13" t="s">
        <v>1004</v>
      </c>
      <c r="D134" s="7" t="s">
        <v>4603</v>
      </c>
      <c r="E134" s="18" t="s">
        <v>28</v>
      </c>
      <c r="F134" s="3" t="s">
        <v>500</v>
      </c>
      <c r="G134" s="3" t="s">
        <v>4256</v>
      </c>
      <c r="H134" s="7">
        <f>IFERROR(VLOOKUP(B134,'📊 Problem Tracker'!$B$4:$F$1200,5,FALSE()),"")</f>
        <v>0</v>
      </c>
      <c r="I134" s="7"/>
      <c r="J134" s="7"/>
      <c r="K134" s="3"/>
      <c r="L134" s="228" t="s">
        <v>571</v>
      </c>
      <c r="M134" s="7" t="s">
        <v>24</v>
      </c>
      <c r="N134" s="176" t="s">
        <v>503</v>
      </c>
      <c r="O134" s="191" t="str">
        <f>HYPERLINK("https://leetcode.com/problems/lowest-common-ancestor-of-a-binary-tree/","https://leetcode.com/problems/lowest-common-ancestor-of-a-binary-tree/")</f>
        <v>https://leetcode.com/problems/lowest-common-ancestor-of-a-binary-tree/</v>
      </c>
    </row>
    <row r="135" spans="1:15" ht="31.5" customHeight="1" x14ac:dyDescent="0.2">
      <c r="A135" s="132">
        <v>130</v>
      </c>
      <c r="B135" s="132">
        <v>238</v>
      </c>
      <c r="C135" s="133" t="s">
        <v>1008</v>
      </c>
      <c r="D135" s="132" t="s">
        <v>4590</v>
      </c>
      <c r="E135" s="134" t="s">
        <v>28</v>
      </c>
      <c r="F135" s="135" t="s">
        <v>1009</v>
      </c>
      <c r="G135" s="135" t="s">
        <v>4316</v>
      </c>
      <c r="H135" s="132">
        <f>IFERROR(VLOOKUP(B135,'📊 Problem Tracker'!$B$4:$F$1200,5,FALSE()),"")</f>
        <v>0</v>
      </c>
      <c r="I135" s="132"/>
      <c r="J135" s="132"/>
      <c r="K135" s="135"/>
      <c r="L135" s="273" t="s">
        <v>1011</v>
      </c>
      <c r="M135" s="132" t="s">
        <v>24</v>
      </c>
      <c r="N135" s="182" t="s">
        <v>1012</v>
      </c>
      <c r="O135" s="195" t="str">
        <f>HYPERLINK("https://leetcode.com/problems/product-of-array-except-self/","https://leetcode.com/problems/product-of-array-except-self/")</f>
        <v>https://leetcode.com/problems/product-of-array-except-self/</v>
      </c>
    </row>
    <row r="136" spans="1:15" ht="31.5" customHeight="1" x14ac:dyDescent="0.2">
      <c r="A136" s="7">
        <v>131</v>
      </c>
      <c r="B136" s="7">
        <v>239</v>
      </c>
      <c r="C136" s="13" t="s">
        <v>1014</v>
      </c>
      <c r="D136" s="7" t="s">
        <v>4605</v>
      </c>
      <c r="E136" s="20" t="s">
        <v>42</v>
      </c>
      <c r="F136" s="3" t="s">
        <v>1015</v>
      </c>
      <c r="G136" s="3" t="s">
        <v>1016</v>
      </c>
      <c r="H136" s="7">
        <f>IFERROR(VLOOKUP(B136,'📊 Problem Tracker'!$B$4:$F$1200,5,FALSE()),"")</f>
        <v>0</v>
      </c>
      <c r="I136" s="7"/>
      <c r="J136" s="7"/>
      <c r="K136" s="3"/>
      <c r="L136" s="228" t="s">
        <v>1017</v>
      </c>
      <c r="M136" s="7" t="s">
        <v>24</v>
      </c>
      <c r="N136" s="176" t="s">
        <v>153</v>
      </c>
      <c r="O136" s="191" t="str">
        <f>HYPERLINK("https://leetcode.com/problems/sliding-window-maximum/","https://leetcode.com/problems/sliding-window-maximum/")</f>
        <v>https://leetcode.com/problems/sliding-window-maximum/</v>
      </c>
    </row>
    <row r="137" spans="1:15" ht="31.5" customHeight="1" x14ac:dyDescent="0.2">
      <c r="A137" s="132">
        <v>132</v>
      </c>
      <c r="B137" s="132">
        <v>240</v>
      </c>
      <c r="C137" s="133" t="s">
        <v>1019</v>
      </c>
      <c r="D137" s="132" t="s">
        <v>4606</v>
      </c>
      <c r="E137" s="134" t="s">
        <v>28</v>
      </c>
      <c r="F137" s="135" t="s">
        <v>416</v>
      </c>
      <c r="G137" s="135" t="s">
        <v>512</v>
      </c>
      <c r="H137" s="132">
        <f>IFERROR(VLOOKUP(B137,'📊 Problem Tracker'!$B$4:$F$1200,5,FALSE()),"")</f>
        <v>0</v>
      </c>
      <c r="I137" s="132"/>
      <c r="J137" s="132"/>
      <c r="K137" s="135"/>
      <c r="L137" s="273" t="s">
        <v>513</v>
      </c>
      <c r="M137" s="132" t="s">
        <v>259</v>
      </c>
      <c r="N137" s="182" t="s">
        <v>47</v>
      </c>
      <c r="O137" s="195" t="str">
        <f>HYPERLINK("https://leetcode.com/problems/search-a-2d-matrix-ii/","https://leetcode.com/problems/search-a-2d-matrix-ii/")</f>
        <v>https://leetcode.com/problems/search-a-2d-matrix-ii/</v>
      </c>
    </row>
    <row r="138" spans="1:15" ht="31.5" customHeight="1" x14ac:dyDescent="0.2">
      <c r="A138" s="7">
        <v>133</v>
      </c>
      <c r="B138" s="7">
        <v>242</v>
      </c>
      <c r="C138" s="13" t="s">
        <v>1022</v>
      </c>
      <c r="D138" s="7" t="s">
        <v>4607</v>
      </c>
      <c r="E138" s="21" t="s">
        <v>20</v>
      </c>
      <c r="F138" s="3" t="s">
        <v>897</v>
      </c>
      <c r="G138" s="3" t="s">
        <v>4244</v>
      </c>
      <c r="H138" s="7">
        <f>IFERROR(VLOOKUP(B138,'📊 Problem Tracker'!$B$4:$F$1200,5,FALSE()),"")</f>
        <v>0</v>
      </c>
      <c r="I138" s="7"/>
      <c r="J138" s="7"/>
      <c r="K138" s="3"/>
      <c r="L138" s="228" t="s">
        <v>1024</v>
      </c>
      <c r="M138" s="7" t="s">
        <v>24</v>
      </c>
      <c r="N138" s="176" t="s">
        <v>47</v>
      </c>
      <c r="O138" s="191" t="str">
        <f>HYPERLINK("https://leetcode.com/problems/valid-anagram/","https://leetcode.com/problems/valid-anagram/")</f>
        <v>https://leetcode.com/problems/valid-anagram/</v>
      </c>
    </row>
    <row r="139" spans="1:15" ht="31.5" customHeight="1" x14ac:dyDescent="0.2">
      <c r="A139" s="132">
        <v>134</v>
      </c>
      <c r="B139" s="132">
        <v>253</v>
      </c>
      <c r="C139" s="133" t="s">
        <v>1036</v>
      </c>
      <c r="D139" s="132" t="s">
        <v>4609</v>
      </c>
      <c r="E139" s="134" t="s">
        <v>28</v>
      </c>
      <c r="F139" s="135" t="s">
        <v>4174</v>
      </c>
      <c r="G139" s="135" t="s">
        <v>4353</v>
      </c>
      <c r="H139" s="132">
        <f>IFERROR(VLOOKUP(B139,'📊 Problem Tracker'!$B$4:$F$1200,5,FALSE()),"")</f>
        <v>0</v>
      </c>
      <c r="I139" s="132"/>
      <c r="J139" s="132"/>
      <c r="K139" s="135"/>
      <c r="L139" s="273" t="s">
        <v>959</v>
      </c>
      <c r="M139" s="132" t="s">
        <v>960</v>
      </c>
      <c r="N139" s="182" t="s">
        <v>153</v>
      </c>
      <c r="O139" s="195" t="str">
        <f>HYPERLINK("https://leetcode.com/problems/meeting-rooms-ii/","https://leetcode.com/problems/meeting-rooms-ii/")</f>
        <v>https://leetcode.com/problems/meeting-rooms-ii/</v>
      </c>
    </row>
    <row r="140" spans="1:15" ht="31.5" customHeight="1" x14ac:dyDescent="0.2">
      <c r="A140" s="7">
        <v>135</v>
      </c>
      <c r="B140" s="7">
        <v>273</v>
      </c>
      <c r="C140" s="13" t="s">
        <v>1072</v>
      </c>
      <c r="D140" s="7" t="s">
        <v>4751</v>
      </c>
      <c r="E140" s="20" t="s">
        <v>42</v>
      </c>
      <c r="F140" s="3" t="s">
        <v>56</v>
      </c>
      <c r="G140" s="3" t="s">
        <v>4655</v>
      </c>
      <c r="H140" s="7">
        <f>IFERROR(VLOOKUP(B140,'📊 Problem Tracker'!$B$4:$F$1200,5,FALSE()),"")</f>
        <v>0</v>
      </c>
      <c r="I140" s="7"/>
      <c r="J140" s="7"/>
      <c r="K140" s="3"/>
      <c r="L140" s="228" t="s">
        <v>230</v>
      </c>
      <c r="M140" s="7" t="s">
        <v>24</v>
      </c>
      <c r="N140" s="176" t="s">
        <v>24</v>
      </c>
      <c r="O140" s="191" t="str">
        <f>HYPERLINK("https://leetcode.com/problems/integer-to-english-words/","https://leetcode.com/problems/integer-to-english-words/")</f>
        <v>https://leetcode.com/problems/integer-to-english-words/</v>
      </c>
    </row>
    <row r="141" spans="1:15" ht="31.5" customHeight="1" x14ac:dyDescent="0.2">
      <c r="A141" s="132">
        <v>136</v>
      </c>
      <c r="B141" s="132">
        <v>274</v>
      </c>
      <c r="C141" s="133" t="s">
        <v>1074</v>
      </c>
      <c r="D141" s="132" t="s">
        <v>4752</v>
      </c>
      <c r="E141" s="134" t="s">
        <v>28</v>
      </c>
      <c r="F141" s="135" t="s">
        <v>1075</v>
      </c>
      <c r="G141" s="135" t="s">
        <v>4249</v>
      </c>
      <c r="H141" s="132">
        <f>IFERROR(VLOOKUP(B141,'📊 Problem Tracker'!$B$4:$F$1200,5,FALSE()),"")</f>
        <v>0</v>
      </c>
      <c r="I141" s="132"/>
      <c r="J141" s="132"/>
      <c r="K141" s="135"/>
      <c r="L141" s="273" t="s">
        <v>1077</v>
      </c>
      <c r="M141" s="132" t="s">
        <v>24</v>
      </c>
      <c r="N141" s="182" t="s">
        <v>24</v>
      </c>
      <c r="O141" s="195" t="str">
        <f>HYPERLINK("https://leetcode.com/problems/h-index/","https://leetcode.com/problems/h-index/")</f>
        <v>https://leetcode.com/problems/h-index/</v>
      </c>
    </row>
    <row r="142" spans="1:15" ht="31.5" customHeight="1" x14ac:dyDescent="0.2">
      <c r="A142" s="7">
        <v>137</v>
      </c>
      <c r="B142" s="7">
        <v>279</v>
      </c>
      <c r="C142" s="13" t="s">
        <v>1085</v>
      </c>
      <c r="D142" s="7" t="s">
        <v>4614</v>
      </c>
      <c r="E142" s="18" t="s">
        <v>28</v>
      </c>
      <c r="F142" s="3" t="s">
        <v>1206</v>
      </c>
      <c r="G142" s="3" t="s">
        <v>4302</v>
      </c>
      <c r="H142" s="7">
        <f>IFERROR(VLOOKUP(B142,'📊 Problem Tracker'!$B$4:$F$1200,5,FALSE()),"")</f>
        <v>0</v>
      </c>
      <c r="I142" s="7"/>
      <c r="J142" s="7"/>
      <c r="K142" s="3"/>
      <c r="L142" s="228" t="s">
        <v>508</v>
      </c>
      <c r="M142" s="7" t="s">
        <v>1087</v>
      </c>
      <c r="N142" s="176" t="s">
        <v>24</v>
      </c>
      <c r="O142" s="191" t="str">
        <f>HYPERLINK("https://leetcode.com/problems/perfect-squares/","https://leetcode.com/problems/perfect-squares/")</f>
        <v>https://leetcode.com/problems/perfect-squares/</v>
      </c>
    </row>
    <row r="143" spans="1:15" ht="31.5" customHeight="1" x14ac:dyDescent="0.2">
      <c r="A143" s="132">
        <v>138</v>
      </c>
      <c r="B143" s="132">
        <v>283</v>
      </c>
      <c r="C143" s="133" t="s">
        <v>1093</v>
      </c>
      <c r="D143" s="132" t="s">
        <v>4616</v>
      </c>
      <c r="E143" s="137" t="s">
        <v>20</v>
      </c>
      <c r="F143" s="135" t="s">
        <v>84</v>
      </c>
      <c r="G143" s="135" t="s">
        <v>689</v>
      </c>
      <c r="H143" s="132">
        <f>IFERROR(VLOOKUP(B143,'📊 Problem Tracker'!$B$4:$F$1200,5,FALSE()),"")</f>
        <v>0</v>
      </c>
      <c r="I143" s="132"/>
      <c r="J143" s="132"/>
      <c r="K143" s="135"/>
      <c r="L143" s="273" t="s">
        <v>1095</v>
      </c>
      <c r="M143" s="132" t="s">
        <v>24</v>
      </c>
      <c r="N143" s="182" t="s">
        <v>1096</v>
      </c>
      <c r="O143" s="195" t="str">
        <f>HYPERLINK("https://leetcode.com/problems/move-zeroes/","https://leetcode.com/problems/move-zeroes/")</f>
        <v>https://leetcode.com/problems/move-zeroes/</v>
      </c>
    </row>
    <row r="144" spans="1:15" ht="31.5" customHeight="1" x14ac:dyDescent="0.2">
      <c r="A144" s="7">
        <v>139</v>
      </c>
      <c r="B144" s="7">
        <v>286</v>
      </c>
      <c r="C144" s="13" t="s">
        <v>1105</v>
      </c>
      <c r="D144" s="7" t="s">
        <v>4617</v>
      </c>
      <c r="E144" s="18" t="s">
        <v>28</v>
      </c>
      <c r="F144" s="3" t="s">
        <v>1106</v>
      </c>
      <c r="G144" s="3" t="s">
        <v>4618</v>
      </c>
      <c r="H144" s="7">
        <f>IFERROR(VLOOKUP(B144,'📊 Problem Tracker'!$B$4:$F$1200,5,FALSE()),"")</f>
        <v>0</v>
      </c>
      <c r="I144" s="7"/>
      <c r="J144" s="7"/>
      <c r="K144" s="3"/>
      <c r="L144" s="228" t="s">
        <v>619</v>
      </c>
      <c r="M144" s="7" t="s">
        <v>81</v>
      </c>
      <c r="N144" s="176" t="s">
        <v>81</v>
      </c>
      <c r="O144" s="191" t="str">
        <f>HYPERLINK("https://leetcode.com/problems/walls-and-gates/","https://leetcode.com/problems/walls-and-gates/")</f>
        <v>https://leetcode.com/problems/walls-and-gates/</v>
      </c>
    </row>
    <row r="145" spans="1:15" ht="31.5" customHeight="1" x14ac:dyDescent="0.2">
      <c r="A145" s="132">
        <v>140</v>
      </c>
      <c r="B145" s="132">
        <v>287</v>
      </c>
      <c r="C145" s="133" t="s">
        <v>1109</v>
      </c>
      <c r="D145" s="132" t="s">
        <v>4592</v>
      </c>
      <c r="E145" s="134" t="s">
        <v>28</v>
      </c>
      <c r="F145" s="135" t="s">
        <v>1110</v>
      </c>
      <c r="G145" s="135" t="s">
        <v>4034</v>
      </c>
      <c r="H145" s="132">
        <f>IFERROR(VLOOKUP(B145,'📊 Problem Tracker'!$B$4:$F$1200,5,FALSE()),"")</f>
        <v>0</v>
      </c>
      <c r="I145" s="132"/>
      <c r="J145" s="132"/>
      <c r="K145" s="135"/>
      <c r="L145" s="273" t="s">
        <v>1112</v>
      </c>
      <c r="M145" s="132" t="s">
        <v>24</v>
      </c>
      <c r="N145" s="182" t="s">
        <v>47</v>
      </c>
      <c r="O145" s="195" t="str">
        <f>HYPERLINK("https://leetcode.com/problems/find-the-duplicate-number/","https://leetcode.com/problems/find-the-duplicate-number/")</f>
        <v>https://leetcode.com/problems/find-the-duplicate-number/</v>
      </c>
    </row>
    <row r="146" spans="1:15" ht="31.5" customHeight="1" x14ac:dyDescent="0.2">
      <c r="A146" s="7">
        <v>141</v>
      </c>
      <c r="B146" s="7">
        <v>295</v>
      </c>
      <c r="C146" s="13" t="s">
        <v>1120</v>
      </c>
      <c r="D146" s="7" t="s">
        <v>4619</v>
      </c>
      <c r="E146" s="20" t="s">
        <v>42</v>
      </c>
      <c r="F146" s="3" t="s">
        <v>4233</v>
      </c>
      <c r="G146" s="3" t="s">
        <v>4297</v>
      </c>
      <c r="H146" s="7">
        <f>IFERROR(VLOOKUP(B146,'📊 Problem Tracker'!$B$4:$F$1200,5,FALSE()),"")</f>
        <v>0</v>
      </c>
      <c r="I146" s="7"/>
      <c r="J146" s="7"/>
      <c r="K146" s="3"/>
      <c r="L146" s="228" t="s">
        <v>1123</v>
      </c>
      <c r="M146" s="7" t="s">
        <v>1124</v>
      </c>
      <c r="N146" s="176" t="s">
        <v>24</v>
      </c>
      <c r="O146" s="191" t="str">
        <f>HYPERLINK("https://leetcode.com/problems/find-median-from-data-stream/","https://leetcode.com/problems/find-median-from-data-stream/")</f>
        <v>https://leetcode.com/problems/find-median-from-data-stream/</v>
      </c>
    </row>
    <row r="147" spans="1:15" ht="31.5" customHeight="1" x14ac:dyDescent="0.2">
      <c r="A147" s="132">
        <v>142</v>
      </c>
      <c r="B147" s="132">
        <v>297</v>
      </c>
      <c r="C147" s="133" t="s">
        <v>1126</v>
      </c>
      <c r="D147" s="132" t="s">
        <v>4620</v>
      </c>
      <c r="E147" s="136" t="s">
        <v>42</v>
      </c>
      <c r="F147" s="135" t="s">
        <v>4215</v>
      </c>
      <c r="G147" s="135" t="s">
        <v>4621</v>
      </c>
      <c r="H147" s="132">
        <f>IFERROR(VLOOKUP(B147,'📊 Problem Tracker'!$B$4:$F$1200,5,FALSE()),"")</f>
        <v>0</v>
      </c>
      <c r="I147" s="132"/>
      <c r="J147" s="132"/>
      <c r="K147" s="135"/>
      <c r="L147" s="273" t="s">
        <v>571</v>
      </c>
      <c r="M147" s="132" t="s">
        <v>24</v>
      </c>
      <c r="N147" s="182" t="s">
        <v>24</v>
      </c>
      <c r="O147" s="195" t="str">
        <f>HYPERLINK("https://leetcode.com/problems/serialize-and-deserialize-binary-tree/","https://leetcode.com/problems/serialize-and-deserialize-binary-tree/")</f>
        <v>https://leetcode.com/problems/serialize-and-deserialize-binary-tree/</v>
      </c>
    </row>
    <row r="148" spans="1:15" ht="31.5" customHeight="1" x14ac:dyDescent="0.2">
      <c r="A148" s="7">
        <v>143</v>
      </c>
      <c r="B148" s="7">
        <v>300</v>
      </c>
      <c r="C148" s="13" t="s">
        <v>1135</v>
      </c>
      <c r="D148" s="7" t="s">
        <v>4474</v>
      </c>
      <c r="E148" s="18" t="s">
        <v>28</v>
      </c>
      <c r="F148" s="3" t="s">
        <v>1136</v>
      </c>
      <c r="G148" s="3" t="s">
        <v>4300</v>
      </c>
      <c r="H148" s="7">
        <f>IFERROR(VLOOKUP(B148,'📊 Problem Tracker'!$B$4:$F$1200,5,FALSE()),"")</f>
        <v>0</v>
      </c>
      <c r="I148" s="7"/>
      <c r="J148" s="7"/>
      <c r="K148" s="3"/>
      <c r="L148" s="228" t="s">
        <v>1139</v>
      </c>
      <c r="M148" s="7" t="s">
        <v>326</v>
      </c>
      <c r="N148" s="176" t="s">
        <v>24</v>
      </c>
      <c r="O148" s="191" t="str">
        <f>HYPERLINK("https://leetcode.com/problems/longest-increasing-subsequence/","https://leetcode.com/problems/longest-increasing-subsequence/")</f>
        <v>https://leetcode.com/problems/longest-increasing-subsequence/</v>
      </c>
    </row>
    <row r="149" spans="1:15" ht="31.5" customHeight="1" x14ac:dyDescent="0.2">
      <c r="A149" s="132">
        <v>144</v>
      </c>
      <c r="B149" s="132">
        <v>310</v>
      </c>
      <c r="C149" s="133" t="s">
        <v>1166</v>
      </c>
      <c r="D149" s="132" t="s">
        <v>4588</v>
      </c>
      <c r="E149" s="134" t="s">
        <v>28</v>
      </c>
      <c r="F149" s="135" t="s">
        <v>1167</v>
      </c>
      <c r="G149" s="135"/>
      <c r="H149" s="132">
        <f>IFERROR(VLOOKUP(B149,'📊 Problem Tracker'!$B$4:$F$1200,5,FALSE()),"")</f>
        <v>0</v>
      </c>
      <c r="I149" s="132"/>
      <c r="J149" s="132"/>
      <c r="K149" s="135"/>
      <c r="L149" s="273" t="s">
        <v>571</v>
      </c>
      <c r="M149" s="132" t="s">
        <v>1169</v>
      </c>
      <c r="N149" s="182" t="s">
        <v>649</v>
      </c>
      <c r="O149" s="195" t="str">
        <f>HYPERLINK("https://leetcode.com/problems/minimum-height-trees/","https://leetcode.com/problems/minimum-height-trees/")</f>
        <v>https://leetcode.com/problems/minimum-height-trees/</v>
      </c>
    </row>
    <row r="150" spans="1:15" ht="31.5" customHeight="1" x14ac:dyDescent="0.2">
      <c r="A150" s="7">
        <v>145</v>
      </c>
      <c r="B150" s="7">
        <v>312</v>
      </c>
      <c r="C150" s="13" t="s">
        <v>1173</v>
      </c>
      <c r="D150" s="7" t="s">
        <v>4623</v>
      </c>
      <c r="E150" s="20" t="s">
        <v>42</v>
      </c>
      <c r="F150" s="3" t="s">
        <v>309</v>
      </c>
      <c r="G150" s="3" t="s">
        <v>2531</v>
      </c>
      <c r="H150" s="7">
        <f>IFERROR(VLOOKUP(B150,'📊 Problem Tracker'!$B$4:$F$1200,5,FALSE()),"")</f>
        <v>0</v>
      </c>
      <c r="I150" s="7"/>
      <c r="J150" s="7"/>
      <c r="K150" s="3"/>
      <c r="L150" s="228" t="s">
        <v>508</v>
      </c>
      <c r="M150" s="7" t="s">
        <v>1175</v>
      </c>
      <c r="N150" s="176" t="s">
        <v>341</v>
      </c>
      <c r="O150" s="191" t="str">
        <f>HYPERLINK("https://leetcode.com/problems/burst-balloons/","https://leetcode.com/problems/burst-balloons/")</f>
        <v>https://leetcode.com/problems/burst-balloons/</v>
      </c>
    </row>
    <row r="151" spans="1:15" ht="31.5" customHeight="1" x14ac:dyDescent="0.2">
      <c r="A151" s="132">
        <v>146</v>
      </c>
      <c r="B151" s="132">
        <v>315</v>
      </c>
      <c r="C151" s="133" t="s">
        <v>1188</v>
      </c>
      <c r="D151" s="132" t="s">
        <v>4891</v>
      </c>
      <c r="E151" s="136" t="s">
        <v>42</v>
      </c>
      <c r="F151" s="135" t="s">
        <v>1189</v>
      </c>
      <c r="G151" s="135"/>
      <c r="H151" s="132">
        <f>IFERROR(VLOOKUP(B151,'📊 Problem Tracker'!$B$4:$F$1200,5,FALSE()),"")</f>
        <v>0</v>
      </c>
      <c r="I151" s="132"/>
      <c r="J151" s="132"/>
      <c r="K151" s="135"/>
      <c r="L151" s="273" t="s">
        <v>4239</v>
      </c>
      <c r="M151" s="132" t="s">
        <v>24</v>
      </c>
      <c r="N151" s="182" t="s">
        <v>24</v>
      </c>
      <c r="O151" s="195" t="str">
        <f>HYPERLINK("https://leetcode.com/problems/count-of-smaller-numbers-after-self/","https://leetcode.com/problems/count-of-smaller-numbers-after-self/")</f>
        <v>https://leetcode.com/problems/count-of-smaller-numbers-after-self/</v>
      </c>
    </row>
    <row r="152" spans="1:15" ht="31.5" customHeight="1" x14ac:dyDescent="0.2">
      <c r="A152" s="7">
        <v>147</v>
      </c>
      <c r="B152" s="7">
        <v>317</v>
      </c>
      <c r="C152" s="13" t="s">
        <v>1197</v>
      </c>
      <c r="D152" s="7" t="s">
        <v>4574</v>
      </c>
      <c r="E152" s="20" t="s">
        <v>42</v>
      </c>
      <c r="F152" s="3" t="s">
        <v>1198</v>
      </c>
      <c r="G152" s="3" t="s">
        <v>4618</v>
      </c>
      <c r="H152" s="7">
        <f>IFERROR(VLOOKUP(B152,'📊 Problem Tracker'!$B$4:$F$1200,5,FALSE()),"")</f>
        <v>0</v>
      </c>
      <c r="I152" s="7"/>
      <c r="J152" s="7"/>
      <c r="K152" s="3"/>
      <c r="L152" s="228" t="s">
        <v>619</v>
      </c>
      <c r="M152" s="7" t="s">
        <v>648</v>
      </c>
      <c r="N152" s="176" t="s">
        <v>648</v>
      </c>
      <c r="O152" s="191" t="str">
        <f>HYPERLINK("https://leetcode.com/problems/shortest-distance-from-all-buildings/","https://leetcode.com/problems/shortest-distance-from-all-buildings/")</f>
        <v>https://leetcode.com/problems/shortest-distance-from-all-buildings/</v>
      </c>
    </row>
    <row r="153" spans="1:15" ht="31.5" customHeight="1" x14ac:dyDescent="0.2">
      <c r="A153" s="132">
        <v>148</v>
      </c>
      <c r="B153" s="132">
        <v>322</v>
      </c>
      <c r="C153" s="133" t="s">
        <v>1205</v>
      </c>
      <c r="D153" s="132" t="s">
        <v>4433</v>
      </c>
      <c r="E153" s="134" t="s">
        <v>28</v>
      </c>
      <c r="F153" s="135" t="s">
        <v>1206</v>
      </c>
      <c r="G153" s="135" t="s">
        <v>4302</v>
      </c>
      <c r="H153" s="132">
        <f>IFERROR(VLOOKUP(B153,'📊 Problem Tracker'!$B$4:$F$1200,5,FALSE()),"")</f>
        <v>0</v>
      </c>
      <c r="I153" s="132"/>
      <c r="J153" s="132"/>
      <c r="K153" s="135"/>
      <c r="L153" s="273" t="s">
        <v>1208</v>
      </c>
      <c r="M153" s="132" t="s">
        <v>1209</v>
      </c>
      <c r="N153" s="182" t="s">
        <v>1210</v>
      </c>
      <c r="O153" s="195" t="str">
        <f>HYPERLINK("https://leetcode.com/problems/coin-change/","https://leetcode.com/problems/coin-change/")</f>
        <v>https://leetcode.com/problems/coin-change/</v>
      </c>
    </row>
    <row r="154" spans="1:15" ht="31.5" customHeight="1" x14ac:dyDescent="0.2">
      <c r="A154" s="7">
        <v>149</v>
      </c>
      <c r="B154" s="7">
        <v>328</v>
      </c>
      <c r="C154" s="13" t="s">
        <v>1224</v>
      </c>
      <c r="D154" s="7" t="s">
        <v>4624</v>
      </c>
      <c r="E154" s="18" t="s">
        <v>28</v>
      </c>
      <c r="F154" s="3" t="s">
        <v>127</v>
      </c>
      <c r="G154" s="3" t="s">
        <v>127</v>
      </c>
      <c r="H154" s="7">
        <f>IFERROR(VLOOKUP(B154,'📊 Problem Tracker'!$B$4:$F$1200,5,FALSE()),"")</f>
        <v>0</v>
      </c>
      <c r="I154" s="7"/>
      <c r="J154" s="7"/>
      <c r="K154" s="3"/>
      <c r="L154" s="228" t="s">
        <v>461</v>
      </c>
      <c r="M154" s="7" t="s">
        <v>24</v>
      </c>
      <c r="N154" s="176" t="s">
        <v>47</v>
      </c>
      <c r="O154" s="191" t="str">
        <f>HYPERLINK("https://leetcode.com/problems/odd-even-linked-list/","https://leetcode.com/problems/odd-even-linked-list/")</f>
        <v>https://leetcode.com/problems/odd-even-linked-list/</v>
      </c>
    </row>
    <row r="155" spans="1:15" ht="31.5" customHeight="1" x14ac:dyDescent="0.2">
      <c r="A155" s="132">
        <v>150</v>
      </c>
      <c r="B155" s="132">
        <v>329</v>
      </c>
      <c r="C155" s="133" t="s">
        <v>1226</v>
      </c>
      <c r="D155" s="132" t="s">
        <v>4625</v>
      </c>
      <c r="E155" s="136" t="s">
        <v>42</v>
      </c>
      <c r="F155" s="135" t="s">
        <v>1227</v>
      </c>
      <c r="G155" s="135" t="s">
        <v>4304</v>
      </c>
      <c r="H155" s="132">
        <f>IFERROR(VLOOKUP(B155,'📊 Problem Tracker'!$B$4:$F$1200,5,FALSE()),"")</f>
        <v>0</v>
      </c>
      <c r="I155" s="132"/>
      <c r="J155" s="132"/>
      <c r="K155" s="135"/>
      <c r="L155" s="273" t="s">
        <v>508</v>
      </c>
      <c r="M155" s="132" t="s">
        <v>81</v>
      </c>
      <c r="N155" s="182" t="s">
        <v>81</v>
      </c>
      <c r="O155" s="195" t="str">
        <f>HYPERLINK("https://leetcode.com/problems/longest-increasing-path-in-a-matrix/","https://leetcode.com/problems/longest-increasing-path-in-a-matrix/")</f>
        <v>https://leetcode.com/problems/longest-increasing-path-in-a-matrix/</v>
      </c>
    </row>
    <row r="156" spans="1:15" ht="31.5" customHeight="1" x14ac:dyDescent="0.2">
      <c r="A156" s="7">
        <v>151</v>
      </c>
      <c r="B156" s="7">
        <v>334</v>
      </c>
      <c r="C156" s="13" t="s">
        <v>1235</v>
      </c>
      <c r="D156" s="7" t="s">
        <v>4866</v>
      </c>
      <c r="E156" s="18" t="s">
        <v>28</v>
      </c>
      <c r="F156" s="3" t="s">
        <v>318</v>
      </c>
      <c r="G156" s="3" t="s">
        <v>3091</v>
      </c>
      <c r="H156" s="7">
        <f>IFERROR(VLOOKUP(B156,'📊 Problem Tracker'!$B$4:$F$1200,5,FALSE()),"")</f>
        <v>0</v>
      </c>
      <c r="I156" s="7"/>
      <c r="J156" s="7"/>
      <c r="K156" s="3"/>
      <c r="L156" s="228" t="s">
        <v>654</v>
      </c>
      <c r="M156" s="7" t="s">
        <v>24</v>
      </c>
      <c r="N156" s="176" t="s">
        <v>1100</v>
      </c>
      <c r="O156" s="191" t="str">
        <f>HYPERLINK("https://leetcode.com/problems/increasing-triplet-subsequence/","https://leetcode.com/problems/increasing-triplet-subsequence/")</f>
        <v>https://leetcode.com/problems/increasing-triplet-subsequence/</v>
      </c>
    </row>
    <row r="157" spans="1:15" ht="31.5" customHeight="1" x14ac:dyDescent="0.2">
      <c r="A157" s="132">
        <v>152</v>
      </c>
      <c r="B157" s="132">
        <v>344</v>
      </c>
      <c r="C157" s="133" t="s">
        <v>1262</v>
      </c>
      <c r="D157" s="132" t="s">
        <v>4628</v>
      </c>
      <c r="E157" s="137" t="s">
        <v>20</v>
      </c>
      <c r="F157" s="135" t="s">
        <v>611</v>
      </c>
      <c r="G157" s="135" t="s">
        <v>689</v>
      </c>
      <c r="H157" s="132">
        <f>IFERROR(VLOOKUP(B157,'📊 Problem Tracker'!$B$4:$F$1200,5,FALSE()),"")</f>
        <v>0</v>
      </c>
      <c r="I157" s="132"/>
      <c r="J157" s="132"/>
      <c r="K157" s="135"/>
      <c r="L157" s="273" t="s">
        <v>690</v>
      </c>
      <c r="M157" s="132" t="s">
        <v>24</v>
      </c>
      <c r="N157" s="182" t="s">
        <v>1096</v>
      </c>
      <c r="O157" s="195" t="str">
        <f>HYPERLINK("https://leetcode.com/problems/reverse-string/","https://leetcode.com/problems/reverse-string/")</f>
        <v>https://leetcode.com/problems/reverse-string/</v>
      </c>
    </row>
    <row r="158" spans="1:15" ht="31.5" customHeight="1" x14ac:dyDescent="0.2">
      <c r="A158" s="7">
        <v>153</v>
      </c>
      <c r="B158" s="7">
        <v>347</v>
      </c>
      <c r="C158" s="13" t="s">
        <v>1269</v>
      </c>
      <c r="D158" s="7" t="s">
        <v>4629</v>
      </c>
      <c r="E158" s="18" t="s">
        <v>28</v>
      </c>
      <c r="F158" s="3" t="s">
        <v>1270</v>
      </c>
      <c r="G158" s="3" t="s">
        <v>4280</v>
      </c>
      <c r="H158" s="7">
        <f>IFERROR(VLOOKUP(B158,'📊 Problem Tracker'!$B$4:$F$1200,5,FALSE()),"")</f>
        <v>0</v>
      </c>
      <c r="I158" s="7"/>
      <c r="J158" s="7"/>
      <c r="K158" s="3"/>
      <c r="L158" s="228" t="s">
        <v>1273</v>
      </c>
      <c r="M158" s="7" t="s">
        <v>24</v>
      </c>
      <c r="N158" s="176" t="s">
        <v>24</v>
      </c>
      <c r="O158" s="191" t="str">
        <f>HYPERLINK("https://leetcode.com/problems/top-k-frequent-elements/","https://leetcode.com/problems/top-k-frequent-elements/")</f>
        <v>https://leetcode.com/problems/top-k-frequent-elements/</v>
      </c>
    </row>
    <row r="159" spans="1:15" ht="31.5" customHeight="1" x14ac:dyDescent="0.2">
      <c r="A159" s="132">
        <v>154</v>
      </c>
      <c r="B159" s="132">
        <v>349</v>
      </c>
      <c r="C159" s="133" t="s">
        <v>1279</v>
      </c>
      <c r="D159" s="132" t="s">
        <v>4630</v>
      </c>
      <c r="E159" s="137" t="s">
        <v>20</v>
      </c>
      <c r="F159" s="135" t="s">
        <v>4631</v>
      </c>
      <c r="G159" s="135" t="s">
        <v>4244</v>
      </c>
      <c r="H159" s="132">
        <f>IFERROR(VLOOKUP(B159,'📊 Problem Tracker'!$B$4:$F$1200,5,FALSE()),"")</f>
        <v>0</v>
      </c>
      <c r="I159" s="132"/>
      <c r="J159" s="132"/>
      <c r="K159" s="135"/>
      <c r="L159" s="273" t="s">
        <v>690</v>
      </c>
      <c r="M159" s="132" t="s">
        <v>259</v>
      </c>
      <c r="N159" s="182" t="s">
        <v>1280</v>
      </c>
      <c r="O159" s="195" t="str">
        <f>HYPERLINK("https://leetcode.com/problems/intersection-of-two-arrays/","https://leetcode.com/problems/intersection-of-two-arrays/")</f>
        <v>https://leetcode.com/problems/intersection-of-two-arrays/</v>
      </c>
    </row>
    <row r="160" spans="1:15" ht="31.5" customHeight="1" x14ac:dyDescent="0.2">
      <c r="A160" s="7">
        <v>155</v>
      </c>
      <c r="B160" s="7">
        <v>355</v>
      </c>
      <c r="C160" s="13" t="s">
        <v>1290</v>
      </c>
      <c r="D160" s="7" t="s">
        <v>4766</v>
      </c>
      <c r="E160" s="18" t="s">
        <v>28</v>
      </c>
      <c r="F160" s="3" t="s">
        <v>1291</v>
      </c>
      <c r="G160" s="3" t="s">
        <v>4767</v>
      </c>
      <c r="H160" s="7">
        <f>IFERROR(VLOOKUP(B160,'📊 Problem Tracker'!$B$4:$F$1200,5,FALSE()),"")</f>
        <v>0</v>
      </c>
      <c r="I160" s="7"/>
      <c r="J160" s="7"/>
      <c r="K160" s="3"/>
      <c r="L160" s="228" t="s">
        <v>959</v>
      </c>
      <c r="M160" s="7" t="s">
        <v>960</v>
      </c>
      <c r="N160" s="176" t="s">
        <v>153</v>
      </c>
      <c r="O160" s="191" t="str">
        <f>HYPERLINK("https://leetcode.com/problems/design-twitter/","https://leetcode.com/problems/design-twitter/")</f>
        <v>https://leetcode.com/problems/design-twitter/</v>
      </c>
    </row>
    <row r="161" spans="1:15" ht="31.5" customHeight="1" x14ac:dyDescent="0.2">
      <c r="A161" s="132">
        <v>156</v>
      </c>
      <c r="B161" s="132">
        <v>371</v>
      </c>
      <c r="C161" s="133" t="s">
        <v>1316</v>
      </c>
      <c r="D161" s="132" t="s">
        <v>4585</v>
      </c>
      <c r="E161" s="134" t="s">
        <v>28</v>
      </c>
      <c r="F161" s="135" t="s">
        <v>1317</v>
      </c>
      <c r="G161" s="135" t="s">
        <v>666</v>
      </c>
      <c r="H161" s="132">
        <f>IFERROR(VLOOKUP(B161,'📊 Problem Tracker'!$B$4:$F$1200,5,FALSE()),"")</f>
        <v>0</v>
      </c>
      <c r="I161" s="132"/>
      <c r="J161" s="132"/>
      <c r="K161" s="135"/>
      <c r="L161" s="273" t="s">
        <v>1320</v>
      </c>
      <c r="M161" s="132" t="s">
        <v>47</v>
      </c>
      <c r="N161" s="182" t="s">
        <v>47</v>
      </c>
      <c r="O161" s="195" t="str">
        <f>HYPERLINK("https://leetcode.com/problems/sum-of-two-integers/","https://leetcode.com/problems/sum-of-two-integers/")</f>
        <v>https://leetcode.com/problems/sum-of-two-integers/</v>
      </c>
    </row>
    <row r="162" spans="1:15" ht="31.5" customHeight="1" x14ac:dyDescent="0.2">
      <c r="A162" s="7">
        <v>157</v>
      </c>
      <c r="B162" s="7">
        <v>378</v>
      </c>
      <c r="C162" s="13" t="s">
        <v>1329</v>
      </c>
      <c r="D162" s="7" t="s">
        <v>4770</v>
      </c>
      <c r="E162" s="18" t="s">
        <v>28</v>
      </c>
      <c r="F162" s="3" t="s">
        <v>1330</v>
      </c>
      <c r="G162" s="3" t="s">
        <v>4771</v>
      </c>
      <c r="H162" s="7">
        <f>IFERROR(VLOOKUP(B162,'📊 Problem Tracker'!$B$4:$F$1200,5,FALSE()),"")</f>
        <v>0</v>
      </c>
      <c r="I162" s="7"/>
      <c r="J162" s="7"/>
      <c r="K162" s="3"/>
      <c r="L162" s="228" t="s">
        <v>513</v>
      </c>
      <c r="M162" s="7" t="s">
        <v>65</v>
      </c>
      <c r="N162" s="176" t="s">
        <v>47</v>
      </c>
      <c r="O162" s="191" t="str">
        <f>HYPERLINK("https://leetcode.com/problems/kth-smallest-element-in-a-sorted-matrix/","https://leetcode.com/problems/kth-smallest-element-in-a-sorted-matrix/")</f>
        <v>https://leetcode.com/problems/kth-smallest-element-in-a-sorted-matrix/</v>
      </c>
    </row>
    <row r="163" spans="1:15" ht="31.5" customHeight="1" x14ac:dyDescent="0.2">
      <c r="A163" s="132">
        <v>158</v>
      </c>
      <c r="B163" s="132">
        <v>380</v>
      </c>
      <c r="C163" s="133" t="s">
        <v>1333</v>
      </c>
      <c r="D163" s="132" t="s">
        <v>4642</v>
      </c>
      <c r="E163" s="134" t="s">
        <v>28</v>
      </c>
      <c r="F163" s="135" t="s">
        <v>1334</v>
      </c>
      <c r="G163" s="135" t="s">
        <v>4557</v>
      </c>
      <c r="H163" s="132">
        <f>IFERROR(VLOOKUP(B163,'📊 Problem Tracker'!$B$4:$F$1200,5,FALSE()),"")</f>
        <v>0</v>
      </c>
      <c r="I163" s="132"/>
      <c r="J163" s="132"/>
      <c r="K163" s="135"/>
      <c r="L163" s="273" t="s">
        <v>705</v>
      </c>
      <c r="M163" s="132" t="s">
        <v>24</v>
      </c>
      <c r="N163" s="182" t="s">
        <v>24</v>
      </c>
      <c r="O163" s="195" t="str">
        <f>HYPERLINK("https://leetcode.com/problems/insert-delete-getrandom-o1/","https://leetcode.com/problems/insert-delete-getrandom-o1/")</f>
        <v>https://leetcode.com/problems/insert-delete-getrandom-o1/</v>
      </c>
    </row>
    <row r="164" spans="1:15" ht="31.5" customHeight="1" x14ac:dyDescent="0.2">
      <c r="A164" s="7">
        <v>159</v>
      </c>
      <c r="B164" s="7">
        <v>387</v>
      </c>
      <c r="C164" s="13" t="s">
        <v>1348</v>
      </c>
      <c r="D164" s="7" t="s">
        <v>4471</v>
      </c>
      <c r="E164" s="21" t="s">
        <v>20</v>
      </c>
      <c r="F164" s="3" t="s">
        <v>897</v>
      </c>
      <c r="G164" s="3" t="s">
        <v>4244</v>
      </c>
      <c r="H164" s="7">
        <f>IFERROR(VLOOKUP(B164,'📊 Problem Tracker'!$B$4:$F$1200,5,FALSE()),"")</f>
        <v>0</v>
      </c>
      <c r="I164" s="7"/>
      <c r="J164" s="7"/>
      <c r="K164" s="3"/>
      <c r="L164" s="228" t="s">
        <v>705</v>
      </c>
      <c r="M164" s="7" t="s">
        <v>24</v>
      </c>
      <c r="N164" s="176" t="s">
        <v>47</v>
      </c>
      <c r="O164" s="191" t="str">
        <f>HYPERLINK("https://leetcode.com/problems/first-unique-character-in-a-string/","https://leetcode.com/problems/first-unique-character-in-a-string/")</f>
        <v>https://leetcode.com/problems/first-unique-character-in-a-string/</v>
      </c>
    </row>
    <row r="165" spans="1:15" ht="31.5" customHeight="1" x14ac:dyDescent="0.2">
      <c r="A165" s="132">
        <v>160</v>
      </c>
      <c r="B165" s="132">
        <v>394</v>
      </c>
      <c r="C165" s="133" t="s">
        <v>1365</v>
      </c>
      <c r="D165" s="132" t="s">
        <v>4645</v>
      </c>
      <c r="E165" s="134" t="s">
        <v>28</v>
      </c>
      <c r="F165" s="135" t="s">
        <v>133</v>
      </c>
      <c r="G165" s="135" t="s">
        <v>540</v>
      </c>
      <c r="H165" s="132">
        <f>IFERROR(VLOOKUP(B165,'📊 Problem Tracker'!$B$4:$F$1200,5,FALSE()),"")</f>
        <v>0</v>
      </c>
      <c r="I165" s="132"/>
      <c r="J165" s="132"/>
      <c r="K165" s="135"/>
      <c r="L165" s="273" t="s">
        <v>542</v>
      </c>
      <c r="M165" s="132" t="s">
        <v>24</v>
      </c>
      <c r="N165" s="182" t="s">
        <v>24</v>
      </c>
      <c r="O165" s="195" t="str">
        <f>HYPERLINK("https://leetcode.com/problems/decode-string/","https://leetcode.com/problems/decode-string/")</f>
        <v>https://leetcode.com/problems/decode-string/</v>
      </c>
    </row>
    <row r="166" spans="1:15" ht="31.5" customHeight="1" x14ac:dyDescent="0.2">
      <c r="A166" s="7">
        <v>161</v>
      </c>
      <c r="B166" s="7">
        <v>399</v>
      </c>
      <c r="C166" s="13" t="s">
        <v>1377</v>
      </c>
      <c r="D166" s="7" t="s">
        <v>4646</v>
      </c>
      <c r="E166" s="18" t="s">
        <v>28</v>
      </c>
      <c r="F166" s="3" t="s">
        <v>4647</v>
      </c>
      <c r="G166" s="3" t="s">
        <v>4648</v>
      </c>
      <c r="H166" s="7">
        <f>IFERROR(VLOOKUP(B166,'📊 Problem Tracker'!$B$4:$F$1200,5,FALSE()),"")</f>
        <v>0</v>
      </c>
      <c r="I166" s="7"/>
      <c r="J166" s="7"/>
      <c r="K166" s="3"/>
      <c r="L166" s="228" t="s">
        <v>619</v>
      </c>
      <c r="M166" s="7" t="s">
        <v>648</v>
      </c>
      <c r="N166" s="176" t="s">
        <v>648</v>
      </c>
      <c r="O166" s="191" t="str">
        <f>HYPERLINK("https://leetcode.com/problems/evaluate-division/","https://leetcode.com/problems/evaluate-division/")</f>
        <v>https://leetcode.com/problems/evaluate-division/</v>
      </c>
    </row>
    <row r="167" spans="1:15" ht="31.5" customHeight="1" x14ac:dyDescent="0.2">
      <c r="A167" s="132">
        <v>162</v>
      </c>
      <c r="B167" s="132">
        <v>409</v>
      </c>
      <c r="C167" s="133" t="s">
        <v>1394</v>
      </c>
      <c r="D167" s="132" t="s">
        <v>4813</v>
      </c>
      <c r="E167" s="137" t="s">
        <v>20</v>
      </c>
      <c r="F167" s="135" t="s">
        <v>1395</v>
      </c>
      <c r="G167" s="135" t="s">
        <v>4311</v>
      </c>
      <c r="H167" s="132">
        <f>IFERROR(VLOOKUP(B167,'📊 Problem Tracker'!$B$4:$F$1200,5,FALSE()),"")</f>
        <v>0</v>
      </c>
      <c r="I167" s="132"/>
      <c r="J167" s="132"/>
      <c r="K167" s="135"/>
      <c r="L167" s="273" t="s">
        <v>705</v>
      </c>
      <c r="M167" s="132" t="s">
        <v>24</v>
      </c>
      <c r="N167" s="182" t="s">
        <v>24</v>
      </c>
      <c r="O167" s="195" t="str">
        <f>HYPERLINK("https://leetcode.com/problems/longest-palindrome/","https://leetcode.com/problems/longest-palindrome/")</f>
        <v>https://leetcode.com/problems/longest-palindrome/</v>
      </c>
    </row>
    <row r="168" spans="1:15" ht="31.5" customHeight="1" x14ac:dyDescent="0.2">
      <c r="A168" s="7">
        <v>163</v>
      </c>
      <c r="B168" s="7">
        <v>410</v>
      </c>
      <c r="C168" s="13" t="s">
        <v>1397</v>
      </c>
      <c r="D168" s="7" t="s">
        <v>4652</v>
      </c>
      <c r="E168" s="20" t="s">
        <v>42</v>
      </c>
      <c r="F168" s="3" t="s">
        <v>1136</v>
      </c>
      <c r="G168" s="3" t="s">
        <v>4653</v>
      </c>
      <c r="H168" s="7">
        <f>IFERROR(VLOOKUP(B168,'📊 Problem Tracker'!$B$4:$F$1200,5,FALSE()),"")</f>
        <v>0</v>
      </c>
      <c r="I168" s="7"/>
      <c r="J168" s="7"/>
      <c r="K168" s="3"/>
      <c r="L168" s="228" t="s">
        <v>513</v>
      </c>
      <c r="M168" s="7" t="s">
        <v>65</v>
      </c>
      <c r="N168" s="176" t="s">
        <v>47</v>
      </c>
      <c r="O168" s="191" t="str">
        <f>HYPERLINK("https://leetcode.com/problems/split-array-largest-sum/","https://leetcode.com/problems/split-array-largest-sum/")</f>
        <v>https://leetcode.com/problems/split-array-largest-sum/</v>
      </c>
    </row>
    <row r="169" spans="1:15" ht="31.5" customHeight="1" x14ac:dyDescent="0.2">
      <c r="A169" s="132">
        <v>164</v>
      </c>
      <c r="B169" s="132">
        <v>412</v>
      </c>
      <c r="C169" s="133" t="s">
        <v>1399</v>
      </c>
      <c r="D169" s="132" t="s">
        <v>4485</v>
      </c>
      <c r="E169" s="137" t="s">
        <v>20</v>
      </c>
      <c r="F169" s="135" t="s">
        <v>62</v>
      </c>
      <c r="G169" s="135" t="s">
        <v>62</v>
      </c>
      <c r="H169" s="132">
        <f>IFERROR(VLOOKUP(B169,'📊 Problem Tracker'!$B$4:$F$1200,5,FALSE()),"")</f>
        <v>0</v>
      </c>
      <c r="I169" s="132"/>
      <c r="J169" s="132"/>
      <c r="K169" s="135"/>
      <c r="L169" s="273" t="s">
        <v>230</v>
      </c>
      <c r="M169" s="132" t="s">
        <v>24</v>
      </c>
      <c r="N169" s="182" t="s">
        <v>24</v>
      </c>
      <c r="O169" s="195" t="str">
        <f>HYPERLINK("https://leetcode.com/problems/fizz-buzz/","https://leetcode.com/problems/fizz-buzz/")</f>
        <v>https://leetcode.com/problems/fizz-buzz/</v>
      </c>
    </row>
    <row r="170" spans="1:15" ht="31.5" customHeight="1" x14ac:dyDescent="0.2">
      <c r="A170" s="7">
        <v>165</v>
      </c>
      <c r="B170" s="7">
        <v>417</v>
      </c>
      <c r="C170" s="13" t="s">
        <v>1411</v>
      </c>
      <c r="D170" s="7" t="s">
        <v>4658</v>
      </c>
      <c r="E170" s="18" t="s">
        <v>28</v>
      </c>
      <c r="F170" s="3" t="s">
        <v>637</v>
      </c>
      <c r="G170" s="3"/>
      <c r="H170" s="7">
        <f>IFERROR(VLOOKUP(B170,'📊 Problem Tracker'!$B$4:$F$1200,5,FALSE()),"")</f>
        <v>0</v>
      </c>
      <c r="I170" s="7"/>
      <c r="J170" s="7"/>
      <c r="K170" s="3"/>
      <c r="L170" s="228" t="s">
        <v>4239</v>
      </c>
      <c r="M170" s="7" t="s">
        <v>81</v>
      </c>
      <c r="N170" s="176" t="s">
        <v>81</v>
      </c>
      <c r="O170" s="191" t="str">
        <f>HYPERLINK("https://leetcode.com/problems/pacific-atlantic-water-flow/","https://leetcode.com/problems/pacific-atlantic-water-flow/")</f>
        <v>https://leetcode.com/problems/pacific-atlantic-water-flow/</v>
      </c>
    </row>
    <row r="171" spans="1:15" ht="31.5" customHeight="1" x14ac:dyDescent="0.2">
      <c r="A171" s="132">
        <v>166</v>
      </c>
      <c r="B171" s="132">
        <v>424</v>
      </c>
      <c r="C171" s="133" t="s">
        <v>1416</v>
      </c>
      <c r="D171" s="132" t="s">
        <v>4521</v>
      </c>
      <c r="E171" s="134" t="s">
        <v>28</v>
      </c>
      <c r="F171" s="135" t="s">
        <v>427</v>
      </c>
      <c r="G171" s="135" t="s">
        <v>917</v>
      </c>
      <c r="H171" s="132">
        <f>IFERROR(VLOOKUP(B171,'📊 Problem Tracker'!$B$4:$F$1200,5,FALSE()),"")</f>
        <v>0</v>
      </c>
      <c r="I171" s="132"/>
      <c r="J171" s="132"/>
      <c r="K171" s="135"/>
      <c r="L171" s="273" t="s">
        <v>1418</v>
      </c>
      <c r="M171" s="132" t="s">
        <v>24</v>
      </c>
      <c r="N171" s="182" t="s">
        <v>1096</v>
      </c>
      <c r="O171" s="195" t="str">
        <f>HYPERLINK("https://leetcode.com/problems/longest-repeating-character-replacement/","https://leetcode.com/problems/longest-repeating-character-replacement/")</f>
        <v>https://leetcode.com/problems/longest-repeating-character-replacement/</v>
      </c>
    </row>
    <row r="172" spans="1:15" ht="31.5" customHeight="1" x14ac:dyDescent="0.2">
      <c r="A172" s="7">
        <v>167</v>
      </c>
      <c r="B172" s="7">
        <v>437</v>
      </c>
      <c r="C172" s="13" t="s">
        <v>1435</v>
      </c>
      <c r="D172" s="7" t="s">
        <v>4660</v>
      </c>
      <c r="E172" s="18" t="s">
        <v>28</v>
      </c>
      <c r="F172" s="3" t="s">
        <v>1436</v>
      </c>
      <c r="G172" s="3"/>
      <c r="H172" s="7">
        <f>IFERROR(VLOOKUP(B172,'📊 Problem Tracker'!$B$4:$F$1200,5,FALSE()),"")</f>
        <v>0</v>
      </c>
      <c r="I172" s="7"/>
      <c r="J172" s="7"/>
      <c r="K172" s="3"/>
      <c r="L172" s="228" t="s">
        <v>4239</v>
      </c>
      <c r="M172" s="7" t="s">
        <v>24</v>
      </c>
      <c r="N172" s="176" t="s">
        <v>24</v>
      </c>
      <c r="O172" s="191" t="str">
        <f>HYPERLINK("https://leetcode.com/problems/path-sum-iii/","https://leetcode.com/problems/path-sum-iii/")</f>
        <v>https://leetcode.com/problems/path-sum-iii/</v>
      </c>
    </row>
    <row r="173" spans="1:15" ht="31.5" customHeight="1" x14ac:dyDescent="0.2">
      <c r="A173" s="132">
        <v>168</v>
      </c>
      <c r="B173" s="132">
        <v>438</v>
      </c>
      <c r="C173" s="133" t="s">
        <v>1441</v>
      </c>
      <c r="D173" s="132" t="s">
        <v>4538</v>
      </c>
      <c r="E173" s="134" t="s">
        <v>28</v>
      </c>
      <c r="F173" s="135" t="s">
        <v>427</v>
      </c>
      <c r="G173" s="135" t="s">
        <v>917</v>
      </c>
      <c r="H173" s="132">
        <f>IFERROR(VLOOKUP(B173,'📊 Problem Tracker'!$B$4:$F$1200,5,FALSE()),"")</f>
        <v>0</v>
      </c>
      <c r="I173" s="132"/>
      <c r="J173" s="132"/>
      <c r="K173" s="135"/>
      <c r="L173" s="273" t="s">
        <v>1443</v>
      </c>
      <c r="M173" s="132" t="s">
        <v>24</v>
      </c>
      <c r="N173" s="182" t="s">
        <v>47</v>
      </c>
      <c r="O173" s="195" t="str">
        <f>HYPERLINK("https://leetcode.com/problems/find-all-anagrams-in-a-string/","https://leetcode.com/problems/find-all-anagrams-in-a-string/")</f>
        <v>https://leetcode.com/problems/find-all-anagrams-in-a-string/</v>
      </c>
    </row>
    <row r="174" spans="1:15" ht="31.5" customHeight="1" x14ac:dyDescent="0.2">
      <c r="A174" s="7">
        <v>169</v>
      </c>
      <c r="B174" s="7">
        <v>445</v>
      </c>
      <c r="C174" s="13" t="s">
        <v>1453</v>
      </c>
      <c r="D174" s="7" t="s">
        <v>4645</v>
      </c>
      <c r="E174" s="18" t="s">
        <v>28</v>
      </c>
      <c r="F174" s="3" t="s">
        <v>1454</v>
      </c>
      <c r="G174" s="3"/>
      <c r="H174" s="7">
        <f>IFERROR(VLOOKUP(B174,'📊 Problem Tracker'!$B$4:$F$1200,5,FALSE()),"")</f>
        <v>0</v>
      </c>
      <c r="I174" s="7"/>
      <c r="J174" s="7"/>
      <c r="K174" s="3"/>
      <c r="L174" s="228" t="s">
        <v>4239</v>
      </c>
      <c r="M174" s="7" t="s">
        <v>140</v>
      </c>
      <c r="N174" s="176" t="s">
        <v>140</v>
      </c>
      <c r="O174" s="191" t="str">
        <f>HYPERLINK("https://leetcode.com/problems/add-two-numbers-ii/","https://leetcode.com/problems/add-two-numbers-ii/")</f>
        <v>https://leetcode.com/problems/add-two-numbers-ii/</v>
      </c>
    </row>
    <row r="175" spans="1:15" ht="31.5" customHeight="1" x14ac:dyDescent="0.2">
      <c r="A175" s="132">
        <v>170</v>
      </c>
      <c r="B175" s="132">
        <v>451</v>
      </c>
      <c r="C175" s="133" t="s">
        <v>1466</v>
      </c>
      <c r="D175" s="132" t="s">
        <v>4892</v>
      </c>
      <c r="E175" s="134" t="s">
        <v>28</v>
      </c>
      <c r="F175" s="135" t="s">
        <v>1467</v>
      </c>
      <c r="G175" s="135"/>
      <c r="H175" s="132">
        <f>IFERROR(VLOOKUP(B175,'📊 Problem Tracker'!$B$4:$F$1200,5,FALSE()),"")</f>
        <v>0</v>
      </c>
      <c r="I175" s="132"/>
      <c r="J175" s="132"/>
      <c r="K175" s="135"/>
      <c r="L175" s="273" t="s">
        <v>1077</v>
      </c>
      <c r="M175" s="132" t="s">
        <v>326</v>
      </c>
      <c r="N175" s="182" t="s">
        <v>24</v>
      </c>
      <c r="O175" s="195" t="str">
        <f>HYPERLINK("https://leetcode.com/problems/sort-characters-by-frequency/","https://leetcode.com/problems/sort-characters-by-frequency/")</f>
        <v>https://leetcode.com/problems/sort-characters-by-frequency/</v>
      </c>
    </row>
    <row r="176" spans="1:15" ht="31.5" customHeight="1" x14ac:dyDescent="0.2">
      <c r="A176" s="7">
        <v>171</v>
      </c>
      <c r="B176" s="7">
        <v>460</v>
      </c>
      <c r="C176" s="13" t="s">
        <v>1476</v>
      </c>
      <c r="D176" s="7" t="s">
        <v>4775</v>
      </c>
      <c r="E176" s="20" t="s">
        <v>42</v>
      </c>
      <c r="F176" s="3" t="s">
        <v>4776</v>
      </c>
      <c r="G176" s="3" t="s">
        <v>4777</v>
      </c>
      <c r="H176" s="7">
        <f>IFERROR(VLOOKUP(B176,'📊 Problem Tracker'!$B$4:$F$1200,5,FALSE()),"")</f>
        <v>0</v>
      </c>
      <c r="I176" s="7"/>
      <c r="J176" s="7"/>
      <c r="K176" s="3"/>
      <c r="L176" s="228" t="s">
        <v>959</v>
      </c>
      <c r="M176" s="7" t="s">
        <v>732</v>
      </c>
      <c r="N176" s="176" t="s">
        <v>24</v>
      </c>
      <c r="O176" s="191" t="str">
        <f>HYPERLINK("https://leetcode.com/problems/lfu-cache/","https://leetcode.com/problems/lfu-cache/")</f>
        <v>https://leetcode.com/problems/lfu-cache/</v>
      </c>
    </row>
    <row r="177" spans="1:15" ht="31.5" customHeight="1" x14ac:dyDescent="0.2">
      <c r="A177" s="132">
        <v>172</v>
      </c>
      <c r="B177" s="132">
        <v>480</v>
      </c>
      <c r="C177" s="133" t="s">
        <v>1501</v>
      </c>
      <c r="D177" s="132" t="s">
        <v>4434</v>
      </c>
      <c r="E177" s="136" t="s">
        <v>42</v>
      </c>
      <c r="F177" s="135" t="s">
        <v>1502</v>
      </c>
      <c r="G177" s="135" t="s">
        <v>4664</v>
      </c>
      <c r="H177" s="132">
        <f>IFERROR(VLOOKUP(B177,'📊 Problem Tracker'!$B$4:$F$1200,5,FALSE()),"")</f>
        <v>0</v>
      </c>
      <c r="I177" s="132"/>
      <c r="J177" s="132"/>
      <c r="K177" s="135"/>
      <c r="L177" s="273" t="s">
        <v>919</v>
      </c>
      <c r="M177" s="132" t="s">
        <v>960</v>
      </c>
      <c r="N177" s="182" t="s">
        <v>153</v>
      </c>
      <c r="O177" s="195" t="str">
        <f>HYPERLINK("https://leetcode.com/problems/sliding-window-median/","https://leetcode.com/problems/sliding-window-median/")</f>
        <v>https://leetcode.com/problems/sliding-window-median/</v>
      </c>
    </row>
    <row r="178" spans="1:15" ht="31.5" customHeight="1" x14ac:dyDescent="0.2">
      <c r="A178" s="7">
        <v>173</v>
      </c>
      <c r="B178" s="7">
        <v>485</v>
      </c>
      <c r="C178" s="13" t="s">
        <v>1505</v>
      </c>
      <c r="D178" s="7" t="s">
        <v>4665</v>
      </c>
      <c r="E178" s="21" t="s">
        <v>20</v>
      </c>
      <c r="F178" s="3" t="s">
        <v>166</v>
      </c>
      <c r="G178" s="3" t="s">
        <v>166</v>
      </c>
      <c r="H178" s="7">
        <f>IFERROR(VLOOKUP(B178,'📊 Problem Tracker'!$B$4:$F$1200,5,FALSE()),"")</f>
        <v>0</v>
      </c>
      <c r="I178" s="7"/>
      <c r="J178" s="7"/>
      <c r="K178" s="3"/>
      <c r="L178" s="228" t="s">
        <v>654</v>
      </c>
      <c r="M178" s="7" t="s">
        <v>24</v>
      </c>
      <c r="N178" s="176" t="s">
        <v>1100</v>
      </c>
      <c r="O178" s="191" t="str">
        <f>HYPERLINK("https://leetcode.com/problems/max-consecutive-ones/","https://leetcode.com/problems/max-consecutive-ones/")</f>
        <v>https://leetcode.com/problems/max-consecutive-ones/</v>
      </c>
    </row>
    <row r="179" spans="1:15" ht="31.5" customHeight="1" x14ac:dyDescent="0.2">
      <c r="A179" s="132">
        <v>174</v>
      </c>
      <c r="B179" s="132">
        <v>494</v>
      </c>
      <c r="C179" s="133" t="s">
        <v>1517</v>
      </c>
      <c r="D179" s="132" t="s">
        <v>4654</v>
      </c>
      <c r="E179" s="134" t="s">
        <v>28</v>
      </c>
      <c r="F179" s="135" t="s">
        <v>1518</v>
      </c>
      <c r="G179" s="135" t="s">
        <v>4345</v>
      </c>
      <c r="H179" s="132">
        <f>IFERROR(VLOOKUP(B179,'📊 Problem Tracker'!$B$4:$F$1200,5,FALSE()),"")</f>
        <v>0</v>
      </c>
      <c r="I179" s="132"/>
      <c r="J179" s="132"/>
      <c r="K179" s="135"/>
      <c r="L179" s="273" t="s">
        <v>508</v>
      </c>
      <c r="M179" s="132" t="s">
        <v>1520</v>
      </c>
      <c r="N179" s="182" t="s">
        <v>1327</v>
      </c>
      <c r="O179" s="195" t="str">
        <f>HYPERLINK("https://leetcode.com/problems/target-sum/","https://leetcode.com/problems/target-sum/")</f>
        <v>https://leetcode.com/problems/target-sum/</v>
      </c>
    </row>
    <row r="180" spans="1:15" ht="31.5" customHeight="1" x14ac:dyDescent="0.2">
      <c r="A180" s="7">
        <v>175</v>
      </c>
      <c r="B180" s="7">
        <v>496</v>
      </c>
      <c r="C180" s="13" t="s">
        <v>1522</v>
      </c>
      <c r="D180" s="7" t="s">
        <v>4667</v>
      </c>
      <c r="E180" s="21" t="s">
        <v>20</v>
      </c>
      <c r="F180" s="3" t="s">
        <v>466</v>
      </c>
      <c r="G180" s="3" t="s">
        <v>1473</v>
      </c>
      <c r="H180" s="7">
        <f>IFERROR(VLOOKUP(B180,'📊 Problem Tracker'!$B$4:$F$1200,5,FALSE()),"")</f>
        <v>0</v>
      </c>
      <c r="I180" s="7"/>
      <c r="J180" s="7"/>
      <c r="K180" s="3"/>
      <c r="L180" s="228" t="s">
        <v>542</v>
      </c>
      <c r="M180" s="7" t="s">
        <v>24</v>
      </c>
      <c r="N180" s="176" t="s">
        <v>24</v>
      </c>
      <c r="O180" s="191" t="str">
        <f>HYPERLINK("https://leetcode.com/problems/next-greater-element-i/","https://leetcode.com/problems/next-greater-element-i/")</f>
        <v>https://leetcode.com/problems/next-greater-element-i/</v>
      </c>
    </row>
    <row r="181" spans="1:15" ht="31.5" customHeight="1" x14ac:dyDescent="0.2">
      <c r="A181" s="132">
        <v>176</v>
      </c>
      <c r="B181" s="132">
        <v>498</v>
      </c>
      <c r="C181" s="133" t="s">
        <v>1524</v>
      </c>
      <c r="D181" s="132" t="s">
        <v>4532</v>
      </c>
      <c r="E181" s="134" t="s">
        <v>28</v>
      </c>
      <c r="F181" s="135" t="s">
        <v>283</v>
      </c>
      <c r="G181" s="135"/>
      <c r="H181" s="132">
        <f>IFERROR(VLOOKUP(B181,'📊 Problem Tracker'!$B$4:$F$1200,5,FALSE()),"")</f>
        <v>0</v>
      </c>
      <c r="I181" s="132"/>
      <c r="J181" s="132"/>
      <c r="K181" s="135"/>
      <c r="L181" s="273" t="s">
        <v>4239</v>
      </c>
      <c r="M181" s="132" t="s">
        <v>363</v>
      </c>
      <c r="N181" s="182" t="s">
        <v>47</v>
      </c>
      <c r="O181" s="195" t="str">
        <f>HYPERLINK("https://leetcode.com/problems/diagonal-traverse/","https://leetcode.com/problems/diagonal-traverse/")</f>
        <v>https://leetcode.com/problems/diagonal-traverse/</v>
      </c>
    </row>
    <row r="182" spans="1:15" ht="31.5" customHeight="1" x14ac:dyDescent="0.2">
      <c r="A182" s="7">
        <v>177</v>
      </c>
      <c r="B182" s="7">
        <v>503</v>
      </c>
      <c r="C182" s="13" t="s">
        <v>1535</v>
      </c>
      <c r="D182" s="7" t="s">
        <v>4452</v>
      </c>
      <c r="E182" s="18" t="s">
        <v>28</v>
      </c>
      <c r="F182" s="3" t="s">
        <v>466</v>
      </c>
      <c r="G182" s="3" t="s">
        <v>1473</v>
      </c>
      <c r="H182" s="7">
        <f>IFERROR(VLOOKUP(B182,'📊 Problem Tracker'!$B$4:$F$1200,5,FALSE()),"")</f>
        <v>0</v>
      </c>
      <c r="I182" s="7"/>
      <c r="J182" s="7"/>
      <c r="K182" s="3"/>
      <c r="L182" s="228" t="s">
        <v>542</v>
      </c>
      <c r="M182" s="7" t="s">
        <v>24</v>
      </c>
      <c r="N182" s="176" t="s">
        <v>24</v>
      </c>
      <c r="O182" s="191" t="str">
        <f>HYPERLINK("https://leetcode.com/problems/next-greater-element-ii/","https://leetcode.com/problems/next-greater-element-ii/")</f>
        <v>https://leetcode.com/problems/next-greater-element-ii/</v>
      </c>
    </row>
    <row r="183" spans="1:15" ht="31.5" customHeight="1" x14ac:dyDescent="0.2">
      <c r="A183" s="132">
        <v>178</v>
      </c>
      <c r="B183" s="132">
        <v>509</v>
      </c>
      <c r="C183" s="133" t="s">
        <v>1545</v>
      </c>
      <c r="D183" s="132" t="s">
        <v>4668</v>
      </c>
      <c r="E183" s="137" t="s">
        <v>20</v>
      </c>
      <c r="F183" s="135" t="s">
        <v>1258</v>
      </c>
      <c r="G183" s="135" t="s">
        <v>4637</v>
      </c>
      <c r="H183" s="132">
        <f>IFERROR(VLOOKUP(B183,'📊 Problem Tracker'!$B$4:$F$1200,5,FALSE()),"")</f>
        <v>0</v>
      </c>
      <c r="I183" s="132"/>
      <c r="J183" s="132"/>
      <c r="K183" s="135"/>
      <c r="L183" s="273" t="s">
        <v>508</v>
      </c>
      <c r="M183" s="132" t="s">
        <v>24</v>
      </c>
      <c r="N183" s="182" t="s">
        <v>24</v>
      </c>
      <c r="O183" s="195" t="str">
        <f>HYPERLINK("https://leetcode.com/problems/fibonacci-number/","https://leetcode.com/problems/fibonacci-number/")</f>
        <v>https://leetcode.com/problems/fibonacci-number/</v>
      </c>
    </row>
    <row r="184" spans="1:15" ht="31.5" customHeight="1" x14ac:dyDescent="0.2">
      <c r="A184" s="7">
        <v>179</v>
      </c>
      <c r="B184" s="7">
        <v>516</v>
      </c>
      <c r="C184" s="13" t="s">
        <v>1552</v>
      </c>
      <c r="D184" s="7" t="s">
        <v>4893</v>
      </c>
      <c r="E184" s="18" t="s">
        <v>28</v>
      </c>
      <c r="F184" s="3" t="s">
        <v>50</v>
      </c>
      <c r="G184" s="3" t="s">
        <v>4894</v>
      </c>
      <c r="H184" s="7">
        <f>IFERROR(VLOOKUP(B184,'📊 Problem Tracker'!$B$4:$F$1200,5,FALSE()),"")</f>
        <v>0</v>
      </c>
      <c r="I184" s="7"/>
      <c r="J184" s="7"/>
      <c r="K184" s="3"/>
      <c r="L184" s="228" t="s">
        <v>508</v>
      </c>
      <c r="M184" s="7" t="s">
        <v>24</v>
      </c>
      <c r="N184" s="176" t="s">
        <v>24</v>
      </c>
      <c r="O184" s="191" t="str">
        <f>HYPERLINK("https://leetcode.com/problems/longest-palindromic-subsequence/","https://leetcode.com/problems/longest-palindromic-subsequence/")</f>
        <v>https://leetcode.com/problems/longest-palindromic-subsequence/</v>
      </c>
    </row>
    <row r="185" spans="1:15" ht="31.5" customHeight="1" x14ac:dyDescent="0.2">
      <c r="A185" s="132">
        <v>180</v>
      </c>
      <c r="B185" s="132">
        <v>523</v>
      </c>
      <c r="C185" s="133" t="s">
        <v>1558</v>
      </c>
      <c r="D185" s="132" t="s">
        <v>4781</v>
      </c>
      <c r="E185" s="134" t="s">
        <v>28</v>
      </c>
      <c r="F185" s="135" t="s">
        <v>1559</v>
      </c>
      <c r="G185" s="135" t="s">
        <v>4250</v>
      </c>
      <c r="H185" s="132">
        <f>IFERROR(VLOOKUP(B185,'📊 Problem Tracker'!$B$4:$F$1200,5,FALSE()),"")</f>
        <v>0</v>
      </c>
      <c r="I185" s="132"/>
      <c r="J185" s="132"/>
      <c r="K185" s="135"/>
      <c r="L185" s="273" t="s">
        <v>705</v>
      </c>
      <c r="M185" s="132" t="s">
        <v>24</v>
      </c>
      <c r="N185" s="182" t="s">
        <v>24</v>
      </c>
      <c r="O185" s="195" t="str">
        <f>HYPERLINK("https://leetcode.com/problems/continuous-subarray-sum/","https://leetcode.com/problems/continuous-subarray-sum/")</f>
        <v>https://leetcode.com/problems/continuous-subarray-sum/</v>
      </c>
    </row>
    <row r="186" spans="1:15" ht="31.5" customHeight="1" x14ac:dyDescent="0.2">
      <c r="A186" s="7">
        <v>181</v>
      </c>
      <c r="B186" s="7">
        <v>525</v>
      </c>
      <c r="C186" s="13" t="s">
        <v>1561</v>
      </c>
      <c r="D186" s="7" t="s">
        <v>4577</v>
      </c>
      <c r="E186" s="18" t="s">
        <v>28</v>
      </c>
      <c r="F186" s="3" t="s">
        <v>1559</v>
      </c>
      <c r="G186" s="3" t="s">
        <v>4250</v>
      </c>
      <c r="H186" s="7">
        <f>IFERROR(VLOOKUP(B186,'📊 Problem Tracker'!$B$4:$F$1200,5,FALSE()),"")</f>
        <v>0</v>
      </c>
      <c r="I186" s="7"/>
      <c r="J186" s="7"/>
      <c r="K186" s="3"/>
      <c r="L186" s="228" t="s">
        <v>705</v>
      </c>
      <c r="M186" s="7" t="s">
        <v>24</v>
      </c>
      <c r="N186" s="176" t="s">
        <v>24</v>
      </c>
      <c r="O186" s="191" t="str">
        <f>HYPERLINK("https://leetcode.com/problems/contiguous-array/","https://leetcode.com/problems/contiguous-array/")</f>
        <v>https://leetcode.com/problems/contiguous-array/</v>
      </c>
    </row>
    <row r="187" spans="1:15" ht="31.5" customHeight="1" x14ac:dyDescent="0.2">
      <c r="A187" s="132">
        <v>182</v>
      </c>
      <c r="B187" s="132">
        <v>540</v>
      </c>
      <c r="C187" s="133" t="s">
        <v>1577</v>
      </c>
      <c r="D187" s="132" t="s">
        <v>4673</v>
      </c>
      <c r="E187" s="134" t="s">
        <v>28</v>
      </c>
      <c r="F187" s="135" t="s">
        <v>41</v>
      </c>
      <c r="G187" s="135" t="s">
        <v>512</v>
      </c>
      <c r="H187" s="132">
        <f>IFERROR(VLOOKUP(B187,'📊 Problem Tracker'!$B$4:$F$1200,5,FALSE()),"")</f>
        <v>0</v>
      </c>
      <c r="I187" s="132"/>
      <c r="J187" s="132"/>
      <c r="K187" s="135"/>
      <c r="L187" s="273" t="s">
        <v>513</v>
      </c>
      <c r="M187" s="132" t="s">
        <v>65</v>
      </c>
      <c r="N187" s="182" t="s">
        <v>47</v>
      </c>
      <c r="O187" s="195" t="str">
        <f>HYPERLINK("https://leetcode.com/problems/single-element-in-a-sorted-array/","https://leetcode.com/problems/single-element-in-a-sorted-array/")</f>
        <v>https://leetcode.com/problems/single-element-in-a-sorted-array/</v>
      </c>
    </row>
    <row r="188" spans="1:15" ht="31.5" customHeight="1" x14ac:dyDescent="0.2">
      <c r="A188" s="7">
        <v>183</v>
      </c>
      <c r="B188" s="7">
        <v>547</v>
      </c>
      <c r="C188" s="13" t="s">
        <v>1589</v>
      </c>
      <c r="D188" s="7" t="s">
        <v>4675</v>
      </c>
      <c r="E188" s="18" t="s">
        <v>28</v>
      </c>
      <c r="F188" s="3" t="s">
        <v>1213</v>
      </c>
      <c r="G188" s="3" t="s">
        <v>1736</v>
      </c>
      <c r="H188" s="7">
        <f>IFERROR(VLOOKUP(B188,'📊 Problem Tracker'!$B$4:$F$1200,5,FALSE()),"")</f>
        <v>0</v>
      </c>
      <c r="I188" s="7"/>
      <c r="J188" s="7"/>
      <c r="K188" s="3"/>
      <c r="L188" s="228" t="s">
        <v>619</v>
      </c>
      <c r="M188" s="7" t="s">
        <v>648</v>
      </c>
      <c r="N188" s="176" t="s">
        <v>648</v>
      </c>
      <c r="O188" s="191" t="str">
        <f>HYPERLINK("https://leetcode.com/problems/number-of-provinces/","https://leetcode.com/problems/number-of-provinces/")</f>
        <v>https://leetcode.com/problems/number-of-provinces/</v>
      </c>
    </row>
    <row r="189" spans="1:15" ht="31.5" customHeight="1" x14ac:dyDescent="0.2">
      <c r="A189" s="132">
        <v>184</v>
      </c>
      <c r="B189" s="132">
        <v>560</v>
      </c>
      <c r="C189" s="133" t="s">
        <v>1610</v>
      </c>
      <c r="D189" s="132" t="s">
        <v>4510</v>
      </c>
      <c r="E189" s="134" t="s">
        <v>28</v>
      </c>
      <c r="F189" s="135" t="s">
        <v>1559</v>
      </c>
      <c r="G189" s="135" t="s">
        <v>4250</v>
      </c>
      <c r="H189" s="132">
        <f>IFERROR(VLOOKUP(B189,'📊 Problem Tracker'!$B$4:$F$1200,5,FALSE()),"")</f>
        <v>0</v>
      </c>
      <c r="I189" s="132"/>
      <c r="J189" s="132"/>
      <c r="K189" s="135"/>
      <c r="L189" s="273" t="s">
        <v>1612</v>
      </c>
      <c r="M189" s="132" t="s">
        <v>24</v>
      </c>
      <c r="N189" s="182" t="s">
        <v>24</v>
      </c>
      <c r="O189" s="195" t="str">
        <f>HYPERLINK("https://leetcode.com/problems/subarray-sum-equals-k/","https://leetcode.com/problems/subarray-sum-equals-k/")</f>
        <v>https://leetcode.com/problems/subarray-sum-equals-k/</v>
      </c>
    </row>
    <row r="190" spans="1:15" ht="31.5" customHeight="1" x14ac:dyDescent="0.2">
      <c r="A190" s="7">
        <v>185</v>
      </c>
      <c r="B190" s="7">
        <v>567</v>
      </c>
      <c r="C190" s="13" t="s">
        <v>1622</v>
      </c>
      <c r="D190" s="7" t="s">
        <v>4676</v>
      </c>
      <c r="E190" s="18" t="s">
        <v>28</v>
      </c>
      <c r="F190" s="3" t="s">
        <v>427</v>
      </c>
      <c r="G190" s="3" t="s">
        <v>917</v>
      </c>
      <c r="H190" s="7">
        <f>IFERROR(VLOOKUP(B190,'📊 Problem Tracker'!$B$4:$F$1200,5,FALSE()),"")</f>
        <v>0</v>
      </c>
      <c r="I190" s="7"/>
      <c r="J190" s="7"/>
      <c r="K190" s="3"/>
      <c r="L190" s="228" t="s">
        <v>1624</v>
      </c>
      <c r="M190" s="7" t="s">
        <v>24</v>
      </c>
      <c r="N190" s="176" t="s">
        <v>1096</v>
      </c>
      <c r="O190" s="191" t="str">
        <f>HYPERLINK("https://leetcode.com/problems/permutation-in-string/","https://leetcode.com/problems/permutation-in-string/")</f>
        <v>https://leetcode.com/problems/permutation-in-string/</v>
      </c>
    </row>
    <row r="191" spans="1:15" ht="31.5" customHeight="1" x14ac:dyDescent="0.2">
      <c r="A191" s="132">
        <v>186</v>
      </c>
      <c r="B191" s="132">
        <v>588</v>
      </c>
      <c r="C191" s="133" t="s">
        <v>1646</v>
      </c>
      <c r="D191" s="132" t="s">
        <v>4433</v>
      </c>
      <c r="E191" s="136" t="s">
        <v>42</v>
      </c>
      <c r="F191" s="135" t="s">
        <v>909</v>
      </c>
      <c r="G191" s="135" t="s">
        <v>4266</v>
      </c>
      <c r="H191" s="132">
        <f>IFERROR(VLOOKUP(B191,'📊 Problem Tracker'!$B$4:$F$1200,5,FALSE()),"")</f>
        <v>0</v>
      </c>
      <c r="I191" s="132"/>
      <c r="J191" s="132"/>
      <c r="K191" s="135"/>
      <c r="L191" s="273" t="s">
        <v>927</v>
      </c>
      <c r="M191" s="132" t="s">
        <v>912</v>
      </c>
      <c r="N191" s="182" t="s">
        <v>913</v>
      </c>
      <c r="O191" s="195" t="str">
        <f>HYPERLINK("https://leetcode.com/problems/design-in-memory-file-system/","https://leetcode.com/problems/design-in-memory-file-system/")</f>
        <v>https://leetcode.com/problems/design-in-memory-file-system/</v>
      </c>
    </row>
    <row r="192" spans="1:15" ht="31.5" customHeight="1" x14ac:dyDescent="0.2">
      <c r="A192" s="7">
        <v>187</v>
      </c>
      <c r="B192" s="7">
        <v>621</v>
      </c>
      <c r="C192" s="13" t="s">
        <v>1665</v>
      </c>
      <c r="D192" s="7" t="s">
        <v>4680</v>
      </c>
      <c r="E192" s="18" t="s">
        <v>28</v>
      </c>
      <c r="F192" s="3" t="s">
        <v>1531</v>
      </c>
      <c r="G192" s="3" t="s">
        <v>4272</v>
      </c>
      <c r="H192" s="7">
        <f>IFERROR(VLOOKUP(B192,'📊 Problem Tracker'!$B$4:$F$1200,5,FALSE()),"")</f>
        <v>0</v>
      </c>
      <c r="I192" s="7"/>
      <c r="J192" s="7"/>
      <c r="K192" s="3"/>
      <c r="L192" s="228" t="s">
        <v>959</v>
      </c>
      <c r="M192" s="7" t="s">
        <v>24</v>
      </c>
      <c r="N192" s="176" t="s">
        <v>47</v>
      </c>
      <c r="O192" s="191" t="str">
        <f>HYPERLINK("https://leetcode.com/problems/task-scheduler/","https://leetcode.com/problems/task-scheduler/")</f>
        <v>https://leetcode.com/problems/task-scheduler/</v>
      </c>
    </row>
    <row r="193" spans="1:15" ht="31.5" customHeight="1" x14ac:dyDescent="0.2">
      <c r="A193" s="132">
        <v>188</v>
      </c>
      <c r="B193" s="132">
        <v>622</v>
      </c>
      <c r="C193" s="133" t="s">
        <v>1668</v>
      </c>
      <c r="D193" s="132" t="s">
        <v>4566</v>
      </c>
      <c r="E193" s="134" t="s">
        <v>28</v>
      </c>
      <c r="F193" s="135" t="s">
        <v>1298</v>
      </c>
      <c r="G193" s="135" t="s">
        <v>4788</v>
      </c>
      <c r="H193" s="132">
        <f>IFERROR(VLOOKUP(B193,'📊 Problem Tracker'!$B$4:$F$1200,5,FALSE()),"")</f>
        <v>0</v>
      </c>
      <c r="I193" s="132"/>
      <c r="J193" s="132"/>
      <c r="K193" s="135"/>
      <c r="L193" s="273" t="s">
        <v>4239</v>
      </c>
      <c r="M193" s="132" t="s">
        <v>24</v>
      </c>
      <c r="N193" s="182" t="s">
        <v>24</v>
      </c>
      <c r="O193" s="195" t="str">
        <f>HYPERLINK("https://leetcode.com/problems/design-circular-queue/","https://leetcode.com/problems/design-circular-queue/")</f>
        <v>https://leetcode.com/problems/design-circular-queue/</v>
      </c>
    </row>
    <row r="194" spans="1:15" ht="31.5" customHeight="1" x14ac:dyDescent="0.2">
      <c r="A194" s="7">
        <v>189</v>
      </c>
      <c r="B194" s="7">
        <v>647</v>
      </c>
      <c r="C194" s="13" t="s">
        <v>1702</v>
      </c>
      <c r="D194" s="7" t="s">
        <v>4677</v>
      </c>
      <c r="E194" s="18" t="s">
        <v>28</v>
      </c>
      <c r="F194" s="3" t="s">
        <v>4204</v>
      </c>
      <c r="G194" s="3" t="s">
        <v>4731</v>
      </c>
      <c r="H194" s="7">
        <f>IFERROR(VLOOKUP(B194,'📊 Problem Tracker'!$B$4:$F$1200,5,FALSE()),"")</f>
        <v>0</v>
      </c>
      <c r="I194" s="7"/>
      <c r="J194" s="7"/>
      <c r="K194" s="3"/>
      <c r="L194" s="228" t="s">
        <v>690</v>
      </c>
      <c r="M194" s="7" t="s">
        <v>53</v>
      </c>
      <c r="N194" s="176" t="s">
        <v>47</v>
      </c>
      <c r="O194" s="191" t="str">
        <f>HYPERLINK("https://leetcode.com/problems/palindromic-substrings/","https://leetcode.com/problems/palindromic-substrings/")</f>
        <v>https://leetcode.com/problems/palindromic-substrings/</v>
      </c>
    </row>
    <row r="195" spans="1:15" ht="31.5" customHeight="1" x14ac:dyDescent="0.2">
      <c r="A195" s="132">
        <v>190</v>
      </c>
      <c r="B195" s="132">
        <v>658</v>
      </c>
      <c r="C195" s="133" t="s">
        <v>1712</v>
      </c>
      <c r="D195" s="132" t="s">
        <v>4684</v>
      </c>
      <c r="E195" s="134" t="s">
        <v>28</v>
      </c>
      <c r="F195" s="135" t="s">
        <v>4276</v>
      </c>
      <c r="G195" s="135" t="s">
        <v>512</v>
      </c>
      <c r="H195" s="132">
        <f>IFERROR(VLOOKUP(B195,'📊 Problem Tracker'!$B$4:$F$1200,5,FALSE()),"")</f>
        <v>0</v>
      </c>
      <c r="I195" s="132"/>
      <c r="J195" s="132"/>
      <c r="K195" s="135"/>
      <c r="L195" s="273" t="s">
        <v>919</v>
      </c>
      <c r="M195" s="132" t="s">
        <v>1713</v>
      </c>
      <c r="N195" s="182" t="s">
        <v>47</v>
      </c>
      <c r="O195" s="195" t="str">
        <f>HYPERLINK("https://leetcode.com/problems/find-k-closest-elements/","https://leetcode.com/problems/find-k-closest-elements/")</f>
        <v>https://leetcode.com/problems/find-k-closest-elements/</v>
      </c>
    </row>
    <row r="196" spans="1:15" ht="31.5" customHeight="1" x14ac:dyDescent="0.2">
      <c r="A196" s="7">
        <v>191</v>
      </c>
      <c r="B196" s="7">
        <v>662</v>
      </c>
      <c r="C196" s="13" t="s">
        <v>1721</v>
      </c>
      <c r="D196" s="7" t="s">
        <v>4685</v>
      </c>
      <c r="E196" s="18" t="s">
        <v>28</v>
      </c>
      <c r="F196" s="3" t="s">
        <v>534</v>
      </c>
      <c r="G196" s="3"/>
      <c r="H196" s="7">
        <f>IFERROR(VLOOKUP(B196,'📊 Problem Tracker'!$B$4:$F$1200,5,FALSE()),"")</f>
        <v>0</v>
      </c>
      <c r="I196" s="7"/>
      <c r="J196" s="7"/>
      <c r="K196" s="3"/>
      <c r="L196" s="228" t="s">
        <v>571</v>
      </c>
      <c r="M196" s="7" t="s">
        <v>24</v>
      </c>
      <c r="N196" s="176" t="s">
        <v>24</v>
      </c>
      <c r="O196" s="191" t="str">
        <f>HYPERLINK("https://leetcode.com/problems/maximum-width-of-binary-tree/","https://leetcode.com/problems/maximum-width-of-binary-tree/")</f>
        <v>https://leetcode.com/problems/maximum-width-of-binary-tree/</v>
      </c>
    </row>
    <row r="197" spans="1:15" ht="31.5" customHeight="1" x14ac:dyDescent="0.2">
      <c r="A197" s="132">
        <v>192</v>
      </c>
      <c r="B197" s="132">
        <v>678</v>
      </c>
      <c r="C197" s="133" t="s">
        <v>1726</v>
      </c>
      <c r="D197" s="132" t="s">
        <v>4686</v>
      </c>
      <c r="E197" s="134" t="s">
        <v>28</v>
      </c>
      <c r="F197" s="135" t="s">
        <v>1381</v>
      </c>
      <c r="G197" s="135"/>
      <c r="H197" s="132">
        <f>IFERROR(VLOOKUP(B197,'📊 Problem Tracker'!$B$4:$F$1200,5,FALSE()),"")</f>
        <v>0</v>
      </c>
      <c r="I197" s="132"/>
      <c r="J197" s="132"/>
      <c r="K197" s="135"/>
      <c r="L197" s="273" t="s">
        <v>750</v>
      </c>
      <c r="M197" s="132" t="s">
        <v>24</v>
      </c>
      <c r="N197" s="182" t="s">
        <v>24</v>
      </c>
      <c r="O197" s="195" t="str">
        <f>HYPERLINK("https://leetcode.com/problems/valid-parenthesis-string/","https://leetcode.com/problems/valid-parenthesis-string/")</f>
        <v>https://leetcode.com/problems/valid-parenthesis-string/</v>
      </c>
    </row>
    <row r="198" spans="1:15" ht="31.5" customHeight="1" x14ac:dyDescent="0.2">
      <c r="A198" s="7">
        <v>193</v>
      </c>
      <c r="B198" s="7">
        <v>680</v>
      </c>
      <c r="C198" s="13" t="s">
        <v>1728</v>
      </c>
      <c r="D198" s="7" t="s">
        <v>4451</v>
      </c>
      <c r="E198" s="21" t="s">
        <v>20</v>
      </c>
      <c r="F198" s="3" t="s">
        <v>611</v>
      </c>
      <c r="G198" s="3" t="s">
        <v>689</v>
      </c>
      <c r="H198" s="7">
        <f>IFERROR(VLOOKUP(B198,'📊 Problem Tracker'!$B$4:$F$1200,5,FALSE()),"")</f>
        <v>0</v>
      </c>
      <c r="I198" s="7"/>
      <c r="J198" s="7"/>
      <c r="K198" s="3"/>
      <c r="L198" s="228" t="s">
        <v>690</v>
      </c>
      <c r="M198" s="7" t="s">
        <v>24</v>
      </c>
      <c r="N198" s="176" t="s">
        <v>47</v>
      </c>
      <c r="O198" s="191" t="str">
        <f>HYPERLINK("https://leetcode.com/problems/valid-palindrome-ii/","https://leetcode.com/problems/valid-palindrome-ii/")</f>
        <v>https://leetcode.com/problems/valid-palindrome-ii/</v>
      </c>
    </row>
    <row r="199" spans="1:15" ht="31.5" customHeight="1" x14ac:dyDescent="0.2">
      <c r="A199" s="132">
        <v>194</v>
      </c>
      <c r="B199" s="132">
        <v>704</v>
      </c>
      <c r="C199" s="133" t="s">
        <v>512</v>
      </c>
      <c r="D199" s="132" t="s">
        <v>4688</v>
      </c>
      <c r="E199" s="137" t="s">
        <v>20</v>
      </c>
      <c r="F199" s="135" t="s">
        <v>41</v>
      </c>
      <c r="G199" s="135"/>
      <c r="H199" s="132">
        <f>IFERROR(VLOOKUP(B199,'📊 Problem Tracker'!$B$4:$F$1200,5,FALSE()),"")</f>
        <v>0</v>
      </c>
      <c r="I199" s="132"/>
      <c r="J199" s="132"/>
      <c r="K199" s="135"/>
      <c r="L199" s="273" t="s">
        <v>1776</v>
      </c>
      <c r="M199" s="132" t="s">
        <v>65</v>
      </c>
      <c r="N199" s="182" t="s">
        <v>47</v>
      </c>
      <c r="O199" s="195" t="str">
        <f>HYPERLINK("https://leetcode.com/problems/binary-search/","https://leetcode.com/problems/binary-search/")</f>
        <v>https://leetcode.com/problems/binary-search/</v>
      </c>
    </row>
    <row r="200" spans="1:15" ht="31.5" customHeight="1" x14ac:dyDescent="0.2">
      <c r="A200" s="7">
        <v>195</v>
      </c>
      <c r="B200" s="7">
        <v>706</v>
      </c>
      <c r="C200" s="13" t="s">
        <v>1778</v>
      </c>
      <c r="D200" s="7" t="s">
        <v>4444</v>
      </c>
      <c r="E200" s="21" t="s">
        <v>20</v>
      </c>
      <c r="F200" s="3" t="s">
        <v>1295</v>
      </c>
      <c r="G200" s="3" t="s">
        <v>4557</v>
      </c>
      <c r="H200" s="7">
        <f>IFERROR(VLOOKUP(B200,'📊 Problem Tracker'!$B$4:$F$1200,5,FALSE()),"")</f>
        <v>0</v>
      </c>
      <c r="I200" s="7"/>
      <c r="J200" s="7"/>
      <c r="K200" s="3"/>
      <c r="L200" s="228" t="s">
        <v>705</v>
      </c>
      <c r="M200" s="7" t="s">
        <v>24</v>
      </c>
      <c r="N200" s="176" t="s">
        <v>24</v>
      </c>
      <c r="O200" s="191" t="str">
        <f>HYPERLINK("https://leetcode.com/problems/design-hashmap/","https://leetcode.com/problems/design-hashmap/")</f>
        <v>https://leetcode.com/problems/design-hashmap/</v>
      </c>
    </row>
    <row r="201" spans="1:15" ht="31.5" customHeight="1" x14ac:dyDescent="0.2">
      <c r="A201" s="132">
        <v>196</v>
      </c>
      <c r="B201" s="132">
        <v>707</v>
      </c>
      <c r="C201" s="133" t="s">
        <v>1780</v>
      </c>
      <c r="D201" s="132" t="s">
        <v>4689</v>
      </c>
      <c r="E201" s="134" t="s">
        <v>28</v>
      </c>
      <c r="F201" s="135" t="s">
        <v>1781</v>
      </c>
      <c r="G201" s="135" t="s">
        <v>4794</v>
      </c>
      <c r="H201" s="132">
        <f>IFERROR(VLOOKUP(B201,'📊 Problem Tracker'!$B$4:$F$1200,5,FALSE()),"")</f>
        <v>0</v>
      </c>
      <c r="I201" s="132"/>
      <c r="J201" s="132"/>
      <c r="K201" s="135"/>
      <c r="L201" s="273" t="s">
        <v>461</v>
      </c>
      <c r="M201" s="132" t="s">
        <v>24</v>
      </c>
      <c r="N201" s="182" t="s">
        <v>47</v>
      </c>
      <c r="O201" s="195" t="str">
        <f>HYPERLINK("https://leetcode.com/problems/design-linked-list/","https://leetcode.com/problems/design-linked-list/")</f>
        <v>https://leetcode.com/problems/design-linked-list/</v>
      </c>
    </row>
    <row r="202" spans="1:15" ht="31.5" customHeight="1" x14ac:dyDescent="0.2">
      <c r="A202" s="7">
        <v>197</v>
      </c>
      <c r="B202" s="7">
        <v>733</v>
      </c>
      <c r="C202" s="13" t="s">
        <v>1828</v>
      </c>
      <c r="D202" s="7" t="s">
        <v>4496</v>
      </c>
      <c r="E202" s="21" t="s">
        <v>20</v>
      </c>
      <c r="F202" s="3" t="s">
        <v>637</v>
      </c>
      <c r="G202" s="3" t="s">
        <v>4548</v>
      </c>
      <c r="H202" s="7">
        <f>IFERROR(VLOOKUP(B202,'📊 Problem Tracker'!$B$4:$F$1200,5,FALSE()),"")</f>
        <v>0</v>
      </c>
      <c r="I202" s="7"/>
      <c r="J202" s="7"/>
      <c r="K202" s="3"/>
      <c r="L202" s="228" t="s">
        <v>1830</v>
      </c>
      <c r="M202" s="7" t="s">
        <v>81</v>
      </c>
      <c r="N202" s="176" t="s">
        <v>81</v>
      </c>
      <c r="O202" s="191" t="str">
        <f>HYPERLINK("https://leetcode.com/problems/flood-fill/","https://leetcode.com/problems/flood-fill/")</f>
        <v>https://leetcode.com/problems/flood-fill/</v>
      </c>
    </row>
    <row r="203" spans="1:15" ht="31.5" customHeight="1" x14ac:dyDescent="0.2">
      <c r="A203" s="132">
        <v>198</v>
      </c>
      <c r="B203" s="132">
        <v>735</v>
      </c>
      <c r="C203" s="133" t="s">
        <v>1832</v>
      </c>
      <c r="D203" s="132" t="s">
        <v>4692</v>
      </c>
      <c r="E203" s="134" t="s">
        <v>28</v>
      </c>
      <c r="F203" s="135" t="s">
        <v>1472</v>
      </c>
      <c r="G203" s="135" t="s">
        <v>540</v>
      </c>
      <c r="H203" s="132">
        <f>IFERROR(VLOOKUP(B203,'📊 Problem Tracker'!$B$4:$F$1200,5,FALSE()),"")</f>
        <v>0</v>
      </c>
      <c r="I203" s="132"/>
      <c r="J203" s="132"/>
      <c r="K203" s="135"/>
      <c r="L203" s="273" t="s">
        <v>542</v>
      </c>
      <c r="M203" s="132" t="s">
        <v>24</v>
      </c>
      <c r="N203" s="182" t="s">
        <v>24</v>
      </c>
      <c r="O203" s="195" t="str">
        <f>HYPERLINK("https://leetcode.com/problems/asteroid-collision/","https://leetcode.com/problems/asteroid-collision/")</f>
        <v>https://leetcode.com/problems/asteroid-collision/</v>
      </c>
    </row>
    <row r="204" spans="1:15" ht="31.5" customHeight="1" x14ac:dyDescent="0.2">
      <c r="A204" s="7">
        <v>199</v>
      </c>
      <c r="B204" s="7">
        <v>739</v>
      </c>
      <c r="C204" s="13" t="s">
        <v>1836</v>
      </c>
      <c r="D204" s="7" t="s">
        <v>4693</v>
      </c>
      <c r="E204" s="18" t="s">
        <v>28</v>
      </c>
      <c r="F204" s="3" t="s">
        <v>1837</v>
      </c>
      <c r="G204" s="3" t="s">
        <v>1473</v>
      </c>
      <c r="H204" s="7">
        <f>IFERROR(VLOOKUP(B204,'📊 Problem Tracker'!$B$4:$F$1200,5,FALSE()),"")</f>
        <v>0</v>
      </c>
      <c r="I204" s="7"/>
      <c r="J204" s="7"/>
      <c r="K204" s="3"/>
      <c r="L204" s="228" t="s">
        <v>1839</v>
      </c>
      <c r="M204" s="7" t="s">
        <v>24</v>
      </c>
      <c r="N204" s="176" t="s">
        <v>24</v>
      </c>
      <c r="O204" s="191" t="str">
        <f>HYPERLINK("https://leetcode.com/problems/daily-temperatures/","https://leetcode.com/problems/daily-temperatures/")</f>
        <v>https://leetcode.com/problems/daily-temperatures/</v>
      </c>
    </row>
    <row r="205" spans="1:15" ht="31.5" customHeight="1" x14ac:dyDescent="0.2">
      <c r="A205" s="132">
        <v>200</v>
      </c>
      <c r="B205" s="132">
        <v>752</v>
      </c>
      <c r="C205" s="133" t="s">
        <v>1856</v>
      </c>
      <c r="D205" s="132" t="s">
        <v>4515</v>
      </c>
      <c r="E205" s="134" t="s">
        <v>28</v>
      </c>
      <c r="F205" s="135" t="s">
        <v>1857</v>
      </c>
      <c r="G205" s="135" t="s">
        <v>4895</v>
      </c>
      <c r="H205" s="132">
        <f>IFERROR(VLOOKUP(B205,'📊 Problem Tracker'!$B$4:$F$1200,5,FALSE()),"")</f>
        <v>0</v>
      </c>
      <c r="I205" s="132"/>
      <c r="J205" s="132"/>
      <c r="K205" s="135"/>
      <c r="L205" s="273" t="s">
        <v>619</v>
      </c>
      <c r="M205" s="132" t="s">
        <v>648</v>
      </c>
      <c r="N205" s="182" t="s">
        <v>648</v>
      </c>
      <c r="O205" s="195" t="str">
        <f>HYPERLINK("https://leetcode.com/problems/open-the-lock/","https://leetcode.com/problems/open-the-lock/")</f>
        <v>https://leetcode.com/problems/open-the-lock/</v>
      </c>
    </row>
    <row r="206" spans="1:15" ht="31.5" customHeight="1" x14ac:dyDescent="0.2">
      <c r="A206" s="7">
        <v>201</v>
      </c>
      <c r="B206" s="7">
        <v>759</v>
      </c>
      <c r="C206" s="13" t="s">
        <v>1864</v>
      </c>
      <c r="D206" s="7" t="s">
        <v>4694</v>
      </c>
      <c r="E206" s="20" t="s">
        <v>42</v>
      </c>
      <c r="F206" s="3" t="s">
        <v>1037</v>
      </c>
      <c r="G206" s="3" t="s">
        <v>4353</v>
      </c>
      <c r="H206" s="7">
        <f>IFERROR(VLOOKUP(B206,'📊 Problem Tracker'!$B$4:$F$1200,5,FALSE()),"")</f>
        <v>0</v>
      </c>
      <c r="I206" s="7"/>
      <c r="J206" s="7"/>
      <c r="K206" s="3"/>
      <c r="L206" s="228" t="s">
        <v>959</v>
      </c>
      <c r="M206" s="7" t="s">
        <v>960</v>
      </c>
      <c r="N206" s="176" t="s">
        <v>153</v>
      </c>
      <c r="O206" s="191" t="str">
        <f>HYPERLINK("https://leetcode.com/problems/employee-free-time/","https://leetcode.com/problems/employee-free-time/")</f>
        <v>https://leetcode.com/problems/employee-free-time/</v>
      </c>
    </row>
    <row r="207" spans="1:15" ht="31.5" customHeight="1" x14ac:dyDescent="0.2">
      <c r="A207" s="132">
        <v>202</v>
      </c>
      <c r="B207" s="132">
        <v>767</v>
      </c>
      <c r="C207" s="133" t="s">
        <v>1879</v>
      </c>
      <c r="D207" s="132" t="s">
        <v>4659</v>
      </c>
      <c r="E207" s="134" t="s">
        <v>28</v>
      </c>
      <c r="F207" s="135" t="s">
        <v>1880</v>
      </c>
      <c r="G207" s="135"/>
      <c r="H207" s="132">
        <f>IFERROR(VLOOKUP(B207,'📊 Problem Tracker'!$B$4:$F$1200,5,FALSE()),"")</f>
        <v>0</v>
      </c>
      <c r="I207" s="132"/>
      <c r="J207" s="132"/>
      <c r="K207" s="135"/>
      <c r="L207" s="273" t="s">
        <v>750</v>
      </c>
      <c r="M207" s="132" t="s">
        <v>24</v>
      </c>
      <c r="N207" s="182" t="s">
        <v>24</v>
      </c>
      <c r="O207" s="195" t="str">
        <f>HYPERLINK("https://leetcode.com/problems/reorganize-string/","https://leetcode.com/problems/reorganize-string/")</f>
        <v>https://leetcode.com/problems/reorganize-string/</v>
      </c>
    </row>
    <row r="208" spans="1:15" ht="31.5" customHeight="1" x14ac:dyDescent="0.2">
      <c r="A208" s="7">
        <v>203</v>
      </c>
      <c r="B208" s="7">
        <v>778</v>
      </c>
      <c r="C208" s="13" t="s">
        <v>1892</v>
      </c>
      <c r="D208" s="7" t="s">
        <v>4608</v>
      </c>
      <c r="E208" s="20" t="s">
        <v>42</v>
      </c>
      <c r="F208" s="3" t="s">
        <v>4338</v>
      </c>
      <c r="G208" s="3" t="s">
        <v>4874</v>
      </c>
      <c r="H208" s="7">
        <f>IFERROR(VLOOKUP(B208,'📊 Problem Tracker'!$B$4:$F$1200,5,FALSE()),"")</f>
        <v>0</v>
      </c>
      <c r="I208" s="7"/>
      <c r="J208" s="7"/>
      <c r="K208" s="3"/>
      <c r="L208" s="228" t="s">
        <v>513</v>
      </c>
      <c r="M208" s="7" t="s">
        <v>1894</v>
      </c>
      <c r="N208" s="176" t="s">
        <v>341</v>
      </c>
      <c r="O208" s="191" t="str">
        <f>HYPERLINK("https://leetcode.com/problems/swim-in-rising-water/","https://leetcode.com/problems/swim-in-rising-water/")</f>
        <v>https://leetcode.com/problems/swim-in-rising-water/</v>
      </c>
    </row>
    <row r="209" spans="1:15" ht="31.5" customHeight="1" x14ac:dyDescent="0.2">
      <c r="A209" s="132">
        <v>204</v>
      </c>
      <c r="B209" s="132">
        <v>787</v>
      </c>
      <c r="C209" s="133" t="s">
        <v>1898</v>
      </c>
      <c r="D209" s="132" t="s">
        <v>4501</v>
      </c>
      <c r="E209" s="134" t="s">
        <v>28</v>
      </c>
      <c r="F209" s="135" t="s">
        <v>1899</v>
      </c>
      <c r="G209" s="135" t="s">
        <v>4302</v>
      </c>
      <c r="H209" s="132">
        <f>IFERROR(VLOOKUP(B209,'📊 Problem Tracker'!$B$4:$F$1200,5,FALSE()),"")</f>
        <v>0</v>
      </c>
      <c r="I209" s="132"/>
      <c r="J209" s="132"/>
      <c r="K209" s="135"/>
      <c r="L209" s="273" t="s">
        <v>508</v>
      </c>
      <c r="M209" s="132" t="s">
        <v>648</v>
      </c>
      <c r="N209" s="182" t="s">
        <v>648</v>
      </c>
      <c r="O209" s="195" t="str">
        <f>HYPERLINK("https://leetcode.com/problems/cheapest-flights-within-k-stops/","https://leetcode.com/problems/cheapest-flights-within-k-stops/")</f>
        <v>https://leetcode.com/problems/cheapest-flights-within-k-stops/</v>
      </c>
    </row>
    <row r="210" spans="1:15" ht="31.5" customHeight="1" x14ac:dyDescent="0.2">
      <c r="A210" s="7">
        <v>205</v>
      </c>
      <c r="B210" s="7">
        <v>802</v>
      </c>
      <c r="C210" s="13" t="s">
        <v>1930</v>
      </c>
      <c r="D210" s="7" t="s">
        <v>4697</v>
      </c>
      <c r="E210" s="18" t="s">
        <v>28</v>
      </c>
      <c r="F210" s="3" t="s">
        <v>1232</v>
      </c>
      <c r="G210" s="3" t="s">
        <v>4698</v>
      </c>
      <c r="H210" s="7">
        <f>IFERROR(VLOOKUP(B210,'📊 Problem Tracker'!$B$4:$F$1200,5,FALSE()),"")</f>
        <v>0</v>
      </c>
      <c r="I210" s="7"/>
      <c r="J210" s="7"/>
      <c r="K210" s="3"/>
      <c r="L210" s="228" t="s">
        <v>619</v>
      </c>
      <c r="M210" s="7" t="s">
        <v>648</v>
      </c>
      <c r="N210" s="176" t="s">
        <v>648</v>
      </c>
      <c r="O210" s="191" t="str">
        <f>HYPERLINK("https://leetcode.com/problems/find-eventual-safe-states/","https://leetcode.com/problems/find-eventual-safe-states/")</f>
        <v>https://leetcode.com/problems/find-eventual-safe-states/</v>
      </c>
    </row>
    <row r="211" spans="1:15" ht="31.5" customHeight="1" x14ac:dyDescent="0.2">
      <c r="A211" s="132">
        <v>206</v>
      </c>
      <c r="B211" s="132">
        <v>827</v>
      </c>
      <c r="C211" s="133" t="s">
        <v>1951</v>
      </c>
      <c r="D211" s="132" t="s">
        <v>4625</v>
      </c>
      <c r="E211" s="136" t="s">
        <v>42</v>
      </c>
      <c r="F211" s="135" t="s">
        <v>1952</v>
      </c>
      <c r="G211" s="135" t="s">
        <v>4877</v>
      </c>
      <c r="H211" s="132">
        <f>IFERROR(VLOOKUP(B211,'📊 Problem Tracker'!$B$4:$F$1200,5,FALSE()),"")</f>
        <v>0</v>
      </c>
      <c r="I211" s="132"/>
      <c r="J211" s="132"/>
      <c r="K211" s="135"/>
      <c r="L211" s="273" t="s">
        <v>619</v>
      </c>
      <c r="M211" s="132" t="s">
        <v>81</v>
      </c>
      <c r="N211" s="182" t="s">
        <v>81</v>
      </c>
      <c r="O211" s="195" t="str">
        <f>HYPERLINK("https://leetcode.com/problems/making-a-large-island/","https://leetcode.com/problems/making-a-large-island/")</f>
        <v>https://leetcode.com/problems/making-a-large-island/</v>
      </c>
    </row>
    <row r="212" spans="1:15" ht="31.5" customHeight="1" x14ac:dyDescent="0.2">
      <c r="A212" s="7">
        <v>207</v>
      </c>
      <c r="B212" s="7">
        <v>863</v>
      </c>
      <c r="C212" s="13" t="s">
        <v>1994</v>
      </c>
      <c r="D212" s="7" t="s">
        <v>4802</v>
      </c>
      <c r="E212" s="18" t="s">
        <v>28</v>
      </c>
      <c r="F212" s="3" t="s">
        <v>1995</v>
      </c>
      <c r="G212" s="3" t="s">
        <v>4803</v>
      </c>
      <c r="H212" s="7">
        <f>IFERROR(VLOOKUP(B212,'📊 Problem Tracker'!$B$4:$F$1200,5,FALSE()),"")</f>
        <v>0</v>
      </c>
      <c r="I212" s="7"/>
      <c r="J212" s="7"/>
      <c r="K212" s="3"/>
      <c r="L212" s="228" t="s">
        <v>571</v>
      </c>
      <c r="M212" s="7" t="s">
        <v>24</v>
      </c>
      <c r="N212" s="176" t="s">
        <v>24</v>
      </c>
      <c r="O212" s="191" t="str">
        <f>HYPERLINK("https://leetcode.com/problems/all-nodes-distance-k-in-binary-tree/","https://leetcode.com/problems/all-nodes-distance-k-in-binary-tree/")</f>
        <v>https://leetcode.com/problems/all-nodes-distance-k-in-binary-tree/</v>
      </c>
    </row>
    <row r="213" spans="1:15" ht="31.5" customHeight="1" x14ac:dyDescent="0.2">
      <c r="A213" s="132">
        <v>208</v>
      </c>
      <c r="B213" s="132">
        <v>875</v>
      </c>
      <c r="C213" s="133" t="s">
        <v>2014</v>
      </c>
      <c r="D213" s="132" t="s">
        <v>4682</v>
      </c>
      <c r="E213" s="134" t="s">
        <v>28</v>
      </c>
      <c r="F213" s="135" t="s">
        <v>41</v>
      </c>
      <c r="G213" s="135" t="s">
        <v>1801</v>
      </c>
      <c r="H213" s="132">
        <f>IFERROR(VLOOKUP(B213,'📊 Problem Tracker'!$B$4:$F$1200,5,FALSE()),"")</f>
        <v>0</v>
      </c>
      <c r="I213" s="132"/>
      <c r="J213" s="132"/>
      <c r="K213" s="135"/>
      <c r="L213" s="273" t="s">
        <v>513</v>
      </c>
      <c r="M213" s="132" t="s">
        <v>65</v>
      </c>
      <c r="N213" s="182" t="s">
        <v>47</v>
      </c>
      <c r="O213" s="195" t="str">
        <f>HYPERLINK("https://leetcode.com/problems/koko-eating-bananas/","https://leetcode.com/problems/koko-eating-bananas/")</f>
        <v>https://leetcode.com/problems/koko-eating-bananas/</v>
      </c>
    </row>
    <row r="214" spans="1:15" ht="31.5" customHeight="1" x14ac:dyDescent="0.2">
      <c r="A214" s="7">
        <v>209</v>
      </c>
      <c r="B214" s="7">
        <v>876</v>
      </c>
      <c r="C214" s="13" t="s">
        <v>2017</v>
      </c>
      <c r="D214" s="7" t="s">
        <v>4702</v>
      </c>
      <c r="E214" s="21" t="s">
        <v>20</v>
      </c>
      <c r="F214" s="3" t="s">
        <v>679</v>
      </c>
      <c r="G214" s="3" t="s">
        <v>4034</v>
      </c>
      <c r="H214" s="7">
        <f>IFERROR(VLOOKUP(B214,'📊 Problem Tracker'!$B$4:$F$1200,5,FALSE()),"")</f>
        <v>0</v>
      </c>
      <c r="I214" s="7"/>
      <c r="J214" s="7"/>
      <c r="K214" s="3"/>
      <c r="L214" s="228" t="s">
        <v>690</v>
      </c>
      <c r="M214" s="7" t="s">
        <v>24</v>
      </c>
      <c r="N214" s="176" t="s">
        <v>47</v>
      </c>
      <c r="O214" s="191" t="str">
        <f>HYPERLINK("https://leetcode.com/problems/middle-of-the-linked-list/","https://leetcode.com/problems/middle-of-the-linked-list/")</f>
        <v>https://leetcode.com/problems/middle-of-the-linked-list/</v>
      </c>
    </row>
    <row r="215" spans="1:15" ht="31.5" customHeight="1" x14ac:dyDescent="0.2">
      <c r="A215" s="132">
        <v>210</v>
      </c>
      <c r="B215" s="132">
        <v>901</v>
      </c>
      <c r="C215" s="133" t="s">
        <v>2045</v>
      </c>
      <c r="D215" s="132" t="s">
        <v>4703</v>
      </c>
      <c r="E215" s="134" t="s">
        <v>28</v>
      </c>
      <c r="F215" s="135" t="s">
        <v>466</v>
      </c>
      <c r="G215" s="135"/>
      <c r="H215" s="132">
        <f>IFERROR(VLOOKUP(B215,'📊 Problem Tracker'!$B$4:$F$1200,5,FALSE()),"")</f>
        <v>0</v>
      </c>
      <c r="I215" s="132"/>
      <c r="J215" s="132"/>
      <c r="K215" s="135"/>
      <c r="L215" s="273" t="s">
        <v>4239</v>
      </c>
      <c r="M215" s="132" t="s">
        <v>24</v>
      </c>
      <c r="N215" s="182" t="s">
        <v>24</v>
      </c>
      <c r="O215" s="195" t="str">
        <f>HYPERLINK("https://leetcode.com/problems/online-stock-span/","https://leetcode.com/problems/online-stock-span/")</f>
        <v>https://leetcode.com/problems/online-stock-span/</v>
      </c>
    </row>
    <row r="216" spans="1:15" ht="31.5" customHeight="1" x14ac:dyDescent="0.2">
      <c r="A216" s="7">
        <v>211</v>
      </c>
      <c r="B216" s="7">
        <v>947</v>
      </c>
      <c r="C216" s="13" t="s">
        <v>2088</v>
      </c>
      <c r="D216" s="7" t="s">
        <v>4472</v>
      </c>
      <c r="E216" s="18" t="s">
        <v>28</v>
      </c>
      <c r="F216" s="3" t="s">
        <v>4896</v>
      </c>
      <c r="G216" s="3" t="s">
        <v>4897</v>
      </c>
      <c r="H216" s="7">
        <f>IFERROR(VLOOKUP(B216,'📊 Problem Tracker'!$B$4:$F$1200,5,FALSE()),"")</f>
        <v>0</v>
      </c>
      <c r="I216" s="7"/>
      <c r="J216" s="7"/>
      <c r="K216" s="3"/>
      <c r="L216" s="228" t="s">
        <v>619</v>
      </c>
      <c r="M216" s="7" t="s">
        <v>648</v>
      </c>
      <c r="N216" s="176" t="s">
        <v>648</v>
      </c>
      <c r="O216" s="191" t="str">
        <f>HYPERLINK("https://leetcode.com/problems/most-stones-removed-with-same-row-or-column/","https://leetcode.com/problems/most-stones-removed-with-same-row-or-column/")</f>
        <v>https://leetcode.com/problems/most-stones-removed-with-same-row-or-column/</v>
      </c>
    </row>
    <row r="217" spans="1:15" ht="31.5" customHeight="1" x14ac:dyDescent="0.2">
      <c r="A217" s="132">
        <v>212</v>
      </c>
      <c r="B217" s="132">
        <v>981</v>
      </c>
      <c r="C217" s="133" t="s">
        <v>2132</v>
      </c>
      <c r="D217" s="132" t="s">
        <v>4497</v>
      </c>
      <c r="E217" s="134" t="s">
        <v>28</v>
      </c>
      <c r="F217" s="135" t="s">
        <v>2133</v>
      </c>
      <c r="G217" s="135" t="s">
        <v>4706</v>
      </c>
      <c r="H217" s="132">
        <f>IFERROR(VLOOKUP(B217,'📊 Problem Tracker'!$B$4:$F$1200,5,FALSE()),"")</f>
        <v>0</v>
      </c>
      <c r="I217" s="132"/>
      <c r="J217" s="132"/>
      <c r="K217" s="135"/>
      <c r="L217" s="273" t="s">
        <v>513</v>
      </c>
      <c r="M217" s="132" t="s">
        <v>2134</v>
      </c>
      <c r="N217" s="182" t="s">
        <v>24</v>
      </c>
      <c r="O217" s="195" t="str">
        <f>HYPERLINK("https://leetcode.com/problems/time-based-key-value-store/","https://leetcode.com/problems/time-based-key-value-store/")</f>
        <v>https://leetcode.com/problems/time-based-key-value-store/</v>
      </c>
    </row>
    <row r="218" spans="1:15" ht="31.5" customHeight="1" x14ac:dyDescent="0.2">
      <c r="A218" s="7">
        <v>213</v>
      </c>
      <c r="B218" s="7">
        <v>986</v>
      </c>
      <c r="C218" s="13" t="s">
        <v>2138</v>
      </c>
      <c r="D218" s="7" t="s">
        <v>4815</v>
      </c>
      <c r="E218" s="18" t="s">
        <v>28</v>
      </c>
      <c r="F218" s="3" t="s">
        <v>4816</v>
      </c>
      <c r="G218" s="3" t="s">
        <v>4817</v>
      </c>
      <c r="H218" s="7">
        <f>IFERROR(VLOOKUP(B218,'📊 Problem Tracker'!$B$4:$F$1200,5,FALSE()),"")</f>
        <v>0</v>
      </c>
      <c r="I218" s="7"/>
      <c r="J218" s="7"/>
      <c r="K218" s="3"/>
      <c r="L218" s="228" t="s">
        <v>690</v>
      </c>
      <c r="M218" s="7" t="s">
        <v>24</v>
      </c>
      <c r="N218" s="176" t="s">
        <v>47</v>
      </c>
      <c r="O218" s="191" t="str">
        <f>HYPERLINK("https://leetcode.com/problems/interval-list-intersections/","https://leetcode.com/problems/interval-list-intersections/")</f>
        <v>https://leetcode.com/problems/interval-list-intersections/</v>
      </c>
    </row>
    <row r="219" spans="1:15" ht="31.5" customHeight="1" x14ac:dyDescent="0.2">
      <c r="A219" s="132">
        <v>214</v>
      </c>
      <c r="B219" s="132">
        <v>994</v>
      </c>
      <c r="C219" s="133" t="s">
        <v>2153</v>
      </c>
      <c r="D219" s="132" t="s">
        <v>4707</v>
      </c>
      <c r="E219" s="134" t="s">
        <v>28</v>
      </c>
      <c r="F219" s="135" t="s">
        <v>1106</v>
      </c>
      <c r="G219" s="135" t="s">
        <v>4618</v>
      </c>
      <c r="H219" s="132">
        <f>IFERROR(VLOOKUP(B219,'📊 Problem Tracker'!$B$4:$F$1200,5,FALSE()),"")</f>
        <v>0</v>
      </c>
      <c r="I219" s="132"/>
      <c r="J219" s="132"/>
      <c r="K219" s="135"/>
      <c r="L219" s="273" t="s">
        <v>2155</v>
      </c>
      <c r="M219" s="132" t="s">
        <v>81</v>
      </c>
      <c r="N219" s="182" t="s">
        <v>81</v>
      </c>
      <c r="O219" s="195" t="str">
        <f>HYPERLINK("https://leetcode.com/problems/rotting-oranges/","https://leetcode.com/problems/rotting-oranges/")</f>
        <v>https://leetcode.com/problems/rotting-oranges/</v>
      </c>
    </row>
    <row r="220" spans="1:15" ht="31.5" customHeight="1" x14ac:dyDescent="0.2">
      <c r="A220" s="7">
        <v>215</v>
      </c>
      <c r="B220" s="7">
        <v>1011</v>
      </c>
      <c r="C220" s="13" t="s">
        <v>2165</v>
      </c>
      <c r="D220" s="7" t="s">
        <v>4709</v>
      </c>
      <c r="E220" s="18" t="s">
        <v>28</v>
      </c>
      <c r="F220" s="3" t="s">
        <v>41</v>
      </c>
      <c r="G220" s="3" t="s">
        <v>1801</v>
      </c>
      <c r="H220" s="7">
        <f>IFERROR(VLOOKUP(B220,'📊 Problem Tracker'!$B$4:$F$1200,5,FALSE()),"")</f>
        <v>0</v>
      </c>
      <c r="I220" s="7"/>
      <c r="J220" s="7"/>
      <c r="K220" s="3"/>
      <c r="L220" s="228" t="s">
        <v>513</v>
      </c>
      <c r="M220" s="7" t="s">
        <v>65</v>
      </c>
      <c r="N220" s="176" t="s">
        <v>47</v>
      </c>
      <c r="O220" s="191" t="str">
        <f>HYPERLINK("https://leetcode.com/problems/capacity-to-ship-packages-within-d-days/","https://leetcode.com/problems/capacity-to-ship-packages-within-d-days/")</f>
        <v>https://leetcode.com/problems/capacity-to-ship-packages-within-d-days/</v>
      </c>
    </row>
    <row r="221" spans="1:15" ht="31.5" customHeight="1" x14ac:dyDescent="0.2">
      <c r="A221" s="132">
        <v>216</v>
      </c>
      <c r="B221" s="132">
        <v>1094</v>
      </c>
      <c r="C221" s="133" t="s">
        <v>2225</v>
      </c>
      <c r="D221" s="132" t="s">
        <v>4563</v>
      </c>
      <c r="E221" s="134" t="s">
        <v>28</v>
      </c>
      <c r="F221" s="135" t="s">
        <v>4710</v>
      </c>
      <c r="G221" s="135" t="s">
        <v>4711</v>
      </c>
      <c r="H221" s="132">
        <f>IFERROR(VLOOKUP(B221,'📊 Problem Tracker'!$B$4:$F$1200,5,FALSE()),"")</f>
        <v>0</v>
      </c>
      <c r="I221" s="132"/>
      <c r="J221" s="132"/>
      <c r="K221" s="135"/>
      <c r="L221" s="273" t="s">
        <v>1077</v>
      </c>
      <c r="M221" s="132" t="s">
        <v>24</v>
      </c>
      <c r="N221" s="182" t="s">
        <v>47</v>
      </c>
      <c r="O221" s="195" t="str">
        <f>HYPERLINK("https://leetcode.com/problems/car-pooling/","https://leetcode.com/problems/car-pooling/")</f>
        <v>https://leetcode.com/problems/car-pooling/</v>
      </c>
    </row>
    <row r="222" spans="1:15" ht="31.5" customHeight="1" x14ac:dyDescent="0.2">
      <c r="A222" s="7">
        <v>217</v>
      </c>
      <c r="B222" s="7">
        <v>1143</v>
      </c>
      <c r="C222" s="13" t="s">
        <v>2237</v>
      </c>
      <c r="D222" s="7" t="s">
        <v>4712</v>
      </c>
      <c r="E222" s="18" t="s">
        <v>28</v>
      </c>
      <c r="F222" s="3" t="s">
        <v>50</v>
      </c>
      <c r="G222" s="3" t="s">
        <v>4713</v>
      </c>
      <c r="H222" s="7">
        <f>IFERROR(VLOOKUP(B222,'📊 Problem Tracker'!$B$4:$F$1200,5,FALSE()),"")</f>
        <v>0</v>
      </c>
      <c r="I222" s="7"/>
      <c r="J222" s="7"/>
      <c r="K222" s="3"/>
      <c r="L222" s="228" t="s">
        <v>2240</v>
      </c>
      <c r="M222" s="7" t="s">
        <v>24</v>
      </c>
      <c r="N222" s="176" t="s">
        <v>24</v>
      </c>
      <c r="O222" s="191" t="str">
        <f>HYPERLINK("https://leetcode.com/problems/longest-common-subsequence/","https://leetcode.com/problems/longest-common-subsequence/")</f>
        <v>https://leetcode.com/problems/longest-common-subsequence/</v>
      </c>
    </row>
    <row r="223" spans="1:15" ht="31.5" customHeight="1" x14ac:dyDescent="0.2">
      <c r="A223" s="132">
        <v>218</v>
      </c>
      <c r="B223" s="132">
        <v>1235</v>
      </c>
      <c r="C223" s="133" t="s">
        <v>2313</v>
      </c>
      <c r="D223" s="132" t="s">
        <v>4566</v>
      </c>
      <c r="E223" s="136" t="s">
        <v>42</v>
      </c>
      <c r="F223" s="135" t="s">
        <v>1136</v>
      </c>
      <c r="G223" s="135" t="s">
        <v>4300</v>
      </c>
      <c r="H223" s="132">
        <f>IFERROR(VLOOKUP(B223,'📊 Problem Tracker'!$B$4:$F$1200,5,FALSE()),"")</f>
        <v>0</v>
      </c>
      <c r="I223" s="132"/>
      <c r="J223" s="132"/>
      <c r="K223" s="135"/>
      <c r="L223" s="273" t="s">
        <v>513</v>
      </c>
      <c r="M223" s="132" t="s">
        <v>65</v>
      </c>
      <c r="N223" s="182" t="s">
        <v>47</v>
      </c>
      <c r="O223" s="195" t="str">
        <f>HYPERLINK("https://leetcode.com/problems/maximum-profit-in-job-scheduling/","https://leetcode.com/problems/maximum-profit-in-job-scheduling/")</f>
        <v>https://leetcode.com/problems/maximum-profit-in-job-scheduling/</v>
      </c>
    </row>
  </sheetData>
  <autoFilter ref="A5:O5" xr:uid="{00000000-0001-0000-1100-000000000000}"/>
  <mergeCells count="3">
    <mergeCell ref="A1:K2"/>
    <mergeCell ref="A4:K4"/>
    <mergeCell ref="A3:K3"/>
  </mergeCells>
  <hyperlinks>
    <hyperlink ref="O6" r:id="rId1" display="https://leetcode.com/problems/two-sum/" xr:uid="{00000000-0004-0000-1100-000000000000}"/>
    <hyperlink ref="O7" r:id="rId2" display="https://leetcode.com/problems/add-two-numbers/" xr:uid="{00000000-0004-0000-1100-000001000000}"/>
    <hyperlink ref="O8" r:id="rId3" display="https://leetcode.com/problems/longest-substring-without-repeating-characters/" xr:uid="{00000000-0004-0000-1100-000002000000}"/>
    <hyperlink ref="O9" r:id="rId4" display="https://leetcode.com/problems/median-of-two-sorted-arrays/" xr:uid="{00000000-0004-0000-1100-000003000000}"/>
    <hyperlink ref="O10" r:id="rId5" display="https://leetcode.com/problems/longest-palindromic-substring/" xr:uid="{00000000-0004-0000-1100-000004000000}"/>
    <hyperlink ref="O11" r:id="rId6" display="https://leetcode.com/problems/reverse-integer/" xr:uid="{00000000-0004-0000-1100-000005000000}"/>
    <hyperlink ref="O12" r:id="rId7" display="https://leetcode.com/problems/string-to-integer-atoi/" xr:uid="{00000000-0004-0000-1100-000006000000}"/>
    <hyperlink ref="O13" r:id="rId8" display="https://leetcode.com/problems/palindrome-number/" xr:uid="{00000000-0004-0000-1100-000007000000}"/>
    <hyperlink ref="O14" r:id="rId9" display="https://leetcode.com/problems/regular-expression-matching/" xr:uid="{00000000-0004-0000-1100-000008000000}"/>
    <hyperlink ref="O15" r:id="rId10" display="https://leetcode.com/problems/container-with-most-water/" xr:uid="{00000000-0004-0000-1100-000009000000}"/>
    <hyperlink ref="O16" r:id="rId11" display="https://leetcode.com/problems/integer-to-roman/" xr:uid="{00000000-0004-0000-1100-00000A000000}"/>
    <hyperlink ref="O17" r:id="rId12" display="https://leetcode.com/problems/roman-to-integer/" xr:uid="{00000000-0004-0000-1100-00000B000000}"/>
    <hyperlink ref="O18" r:id="rId13" display="https://leetcode.com/problems/longest-common-prefix/" xr:uid="{00000000-0004-0000-1100-00000C000000}"/>
    <hyperlink ref="O19" r:id="rId14" display="https://leetcode.com/problems/3sum/" xr:uid="{00000000-0004-0000-1100-00000D000000}"/>
    <hyperlink ref="O20" r:id="rId15" display="https://leetcode.com/problems/letter-combinations-of-a-phone-number/" xr:uid="{00000000-0004-0000-1100-00000E000000}"/>
    <hyperlink ref="O21" r:id="rId16" display="https://leetcode.com/problems/4sum/" xr:uid="{00000000-0004-0000-1100-00000F000000}"/>
    <hyperlink ref="O22" r:id="rId17" display="https://leetcode.com/problems/remove-nth-node-from-end-of-list/" xr:uid="{00000000-0004-0000-1100-000010000000}"/>
    <hyperlink ref="O23" r:id="rId18" display="https://leetcode.com/problems/valid-parentheses/" xr:uid="{00000000-0004-0000-1100-000011000000}"/>
    <hyperlink ref="O24" r:id="rId19" display="https://leetcode.com/problems/merge-two-sorted-lists/" xr:uid="{00000000-0004-0000-1100-000012000000}"/>
    <hyperlink ref="O25" r:id="rId20" display="https://leetcode.com/problems/generate-parentheses/" xr:uid="{00000000-0004-0000-1100-000013000000}"/>
    <hyperlink ref="O26" r:id="rId21" display="https://leetcode.com/problems/merge-k-sorted-lists/" xr:uid="{00000000-0004-0000-1100-000014000000}"/>
    <hyperlink ref="O27" r:id="rId22" display="https://leetcode.com/problems/reverse-nodes-in-k-group/" xr:uid="{00000000-0004-0000-1100-000015000000}"/>
    <hyperlink ref="O28" r:id="rId23" display="https://leetcode.com/problems/remove-duplicates-from-sorted-array/" xr:uid="{00000000-0004-0000-1100-000016000000}"/>
    <hyperlink ref="O29" r:id="rId24" display="https://leetcode.com/problems/remove-element/" xr:uid="{00000000-0004-0000-1100-000017000000}"/>
    <hyperlink ref="O30" r:id="rId25" display="https://leetcode.com/problems/find-the-index-of-the-first-occurrence-in-a-string/" xr:uid="{00000000-0004-0000-1100-000018000000}"/>
    <hyperlink ref="O31" r:id="rId26" display="https://leetcode.com/problems/next-permutation/" xr:uid="{00000000-0004-0000-1100-000019000000}"/>
    <hyperlink ref="O32" r:id="rId27" display="https://leetcode.com/problems/longest-valid-parentheses/" xr:uid="{00000000-0004-0000-1100-00001A000000}"/>
    <hyperlink ref="O33" r:id="rId28" display="https://leetcode.com/problems/search-in-rotated-sorted-array/" xr:uid="{00000000-0004-0000-1100-00001B000000}"/>
    <hyperlink ref="O34" r:id="rId29" display="https://leetcode.com/problems/find-first-and-last-position-of-element-in-sorted-array/" xr:uid="{00000000-0004-0000-1100-00001C000000}"/>
    <hyperlink ref="O35" r:id="rId30" display="https://leetcode.com/problems/search-insert-position/" xr:uid="{00000000-0004-0000-1100-00001D000000}"/>
    <hyperlink ref="O36" r:id="rId31" display="https://leetcode.com/problems/combination-sum-ii/" xr:uid="{00000000-0004-0000-1100-00001E000000}"/>
    <hyperlink ref="O37" r:id="rId32" display="https://leetcode.com/problems/first-missing-positive/" xr:uid="{00000000-0004-0000-1100-00001F000000}"/>
    <hyperlink ref="O38" r:id="rId33" display="https://leetcode.com/problems/trapping-rain-water/" xr:uid="{00000000-0004-0000-1100-000020000000}"/>
    <hyperlink ref="O39" r:id="rId34" display="https://leetcode.com/problems/wildcard-matching/" xr:uid="{00000000-0004-0000-1100-000021000000}"/>
    <hyperlink ref="O40" r:id="rId35" display="https://leetcode.com/problems/jump-game-ii/" xr:uid="{00000000-0004-0000-1100-000022000000}"/>
    <hyperlink ref="O41" r:id="rId36" display="https://leetcode.com/problems/permutations/" xr:uid="{00000000-0004-0000-1100-000023000000}"/>
    <hyperlink ref="O42" r:id="rId37" display="https://leetcode.com/problems/permutations-ii/" xr:uid="{00000000-0004-0000-1100-000024000000}"/>
    <hyperlink ref="O43" r:id="rId38" display="https://leetcode.com/problems/rotate-image/" xr:uid="{00000000-0004-0000-1100-000025000000}"/>
    <hyperlink ref="O44" r:id="rId39" display="https://leetcode.com/problems/group-anagrams/" xr:uid="{00000000-0004-0000-1100-000026000000}"/>
    <hyperlink ref="O45" r:id="rId40" display="https://leetcode.com/problems/powx-n/" xr:uid="{00000000-0004-0000-1100-000027000000}"/>
    <hyperlink ref="O46" r:id="rId41" display="https://leetcode.com/problems/n-queens/" xr:uid="{00000000-0004-0000-1100-000028000000}"/>
    <hyperlink ref="O47" r:id="rId42" display="https://leetcode.com/problems/maximum-subarray/" xr:uid="{00000000-0004-0000-1100-000029000000}"/>
    <hyperlink ref="O48" r:id="rId43" display="https://leetcode.com/problems/spiral-matrix/" xr:uid="{00000000-0004-0000-1100-00002A000000}"/>
    <hyperlink ref="O49" r:id="rId44" display="https://leetcode.com/problems/jump-game/" xr:uid="{00000000-0004-0000-1100-00002B000000}"/>
    <hyperlink ref="O50" r:id="rId45" display="https://leetcode.com/problems/merge-intervals/" xr:uid="{00000000-0004-0000-1100-00002C000000}"/>
    <hyperlink ref="O51" r:id="rId46" display="https://leetcode.com/problems/insert-interval/" xr:uid="{00000000-0004-0000-1100-00002D000000}"/>
    <hyperlink ref="O52" r:id="rId47" display="https://leetcode.com/problems/length-of-last-word/" xr:uid="{00000000-0004-0000-1100-00002E000000}"/>
    <hyperlink ref="O53" r:id="rId48" display="https://leetcode.com/problems/unique-paths/" xr:uid="{00000000-0004-0000-1100-00002F000000}"/>
    <hyperlink ref="O54" r:id="rId49" display="https://leetcode.com/problems/minimum-path-sum/" xr:uid="{00000000-0004-0000-1100-000030000000}"/>
    <hyperlink ref="O55" r:id="rId50" display="https://leetcode.com/problems/plus-one/" xr:uid="{00000000-0004-0000-1100-000031000000}"/>
    <hyperlink ref="O56" r:id="rId51" display="https://leetcode.com/problems/add-binary/" xr:uid="{00000000-0004-0000-1100-000032000000}"/>
    <hyperlink ref="O57" r:id="rId52" display="https://leetcode.com/problems/sqrtx/" xr:uid="{00000000-0004-0000-1100-000033000000}"/>
    <hyperlink ref="O58" r:id="rId53" display="https://leetcode.com/problems/climbing-stairs/" xr:uid="{00000000-0004-0000-1100-000034000000}"/>
    <hyperlink ref="O59" r:id="rId54" display="https://leetcode.com/problems/simplify-path/" xr:uid="{00000000-0004-0000-1100-000035000000}"/>
    <hyperlink ref="O60" r:id="rId55" display="https://leetcode.com/problems/edit-distance/" xr:uid="{00000000-0004-0000-1100-000036000000}"/>
    <hyperlink ref="O61" r:id="rId56" display="https://leetcode.com/problems/set-matrix-zeroes/" xr:uid="{00000000-0004-0000-1100-000037000000}"/>
    <hyperlink ref="O62" r:id="rId57" display="https://leetcode.com/problems/search-a-2d-matrix/" xr:uid="{00000000-0004-0000-1100-000038000000}"/>
    <hyperlink ref="O63" r:id="rId58" display="https://leetcode.com/problems/sort-colors/" xr:uid="{00000000-0004-0000-1100-000039000000}"/>
    <hyperlink ref="O64" r:id="rId59" display="https://leetcode.com/problems/subsets/" xr:uid="{00000000-0004-0000-1100-00003A000000}"/>
    <hyperlink ref="O65" r:id="rId60" display="https://leetcode.com/problems/word-search/" xr:uid="{00000000-0004-0000-1100-00003B000000}"/>
    <hyperlink ref="O66" r:id="rId61" display="https://leetcode.com/problems/largest-rectangle-in-histogram/" xr:uid="{00000000-0004-0000-1100-00003C000000}"/>
    <hyperlink ref="O67" r:id="rId62" display="https://leetcode.com/problems/maximal-rectangle/" xr:uid="{00000000-0004-0000-1100-00003D000000}"/>
    <hyperlink ref="O68" r:id="rId63" display="https://leetcode.com/problems/merge-sorted-array/" xr:uid="{00000000-0004-0000-1100-00003E000000}"/>
    <hyperlink ref="O69" r:id="rId64" display="https://leetcode.com/problems/decode-ways/" xr:uid="{00000000-0004-0000-1100-00003F000000}"/>
    <hyperlink ref="O70" r:id="rId65" display="https://leetcode.com/problems/reverse-linked-list-ii/" xr:uid="{00000000-0004-0000-1100-000040000000}"/>
    <hyperlink ref="O71" r:id="rId66" display="https://leetcode.com/problems/restore-ip-addresses/" xr:uid="{00000000-0004-0000-1100-000041000000}"/>
    <hyperlink ref="O72" r:id="rId67" display="https://leetcode.com/problems/interleaving-string/" xr:uid="{00000000-0004-0000-1100-000042000000}"/>
    <hyperlink ref="O73" r:id="rId68" display="https://leetcode.com/problems/validate-binary-search-tree/" xr:uid="{00000000-0004-0000-1100-000043000000}"/>
    <hyperlink ref="O74" r:id="rId69" display="https://leetcode.com/problems/recover-binary-search-tree/" xr:uid="{00000000-0004-0000-1100-000044000000}"/>
    <hyperlink ref="O75" r:id="rId70" display="https://leetcode.com/problems/same-tree/" xr:uid="{00000000-0004-0000-1100-000045000000}"/>
    <hyperlink ref="O76" r:id="rId71" display="https://leetcode.com/problems/symmetric-tree/" xr:uid="{00000000-0004-0000-1100-000046000000}"/>
    <hyperlink ref="O77" r:id="rId72" display="https://leetcode.com/problems/binary-tree-level-order-traversal/" xr:uid="{00000000-0004-0000-1100-000047000000}"/>
    <hyperlink ref="O78" r:id="rId73" display="https://leetcode.com/problems/binary-tree-zigzag-level-order-traversal/" xr:uid="{00000000-0004-0000-1100-000048000000}"/>
    <hyperlink ref="O79" r:id="rId74" display="https://leetcode.com/problems/maximum-depth-of-binary-tree/" xr:uid="{00000000-0004-0000-1100-000049000000}"/>
    <hyperlink ref="O80" r:id="rId75" display="https://leetcode.com/problems/construct-binary-tree-from-preorder-and-inorder-traversal/" xr:uid="{00000000-0004-0000-1100-00004A000000}"/>
    <hyperlink ref="O81" r:id="rId76" display="https://leetcode.com/problems/balanced-binary-tree/" xr:uid="{00000000-0004-0000-1100-00004B000000}"/>
    <hyperlink ref="O82" r:id="rId77" display="https://leetcode.com/problems/path-sum/" xr:uid="{00000000-0004-0000-1100-00004C000000}"/>
    <hyperlink ref="O83" r:id="rId78" display="https://leetcode.com/problems/flatten-binary-tree-to-linked-list/" xr:uid="{00000000-0004-0000-1100-00004D000000}"/>
    <hyperlink ref="O84" r:id="rId79" display="https://leetcode.com/problems/distinct-subsequences/" xr:uid="{00000000-0004-0000-1100-00004E000000}"/>
    <hyperlink ref="O85" r:id="rId80" display="https://leetcode.com/problems/populating-next-right-pointers-in-each-node/" xr:uid="{00000000-0004-0000-1100-00004F000000}"/>
    <hyperlink ref="O86" r:id="rId81" display="https://leetcode.com/problems/pascals-triangle/" xr:uid="{00000000-0004-0000-1100-000050000000}"/>
    <hyperlink ref="O87" r:id="rId82" display="https://leetcode.com/problems/best-time-to-buy-and-sell-stock/" xr:uid="{00000000-0004-0000-1100-000051000000}"/>
    <hyperlink ref="O88" r:id="rId83" display="https://leetcode.com/problems/best-time-to-buy-and-sell-stock-ii/" xr:uid="{00000000-0004-0000-1100-000052000000}"/>
    <hyperlink ref="O89" r:id="rId84" display="https://leetcode.com/problems/binary-tree-maximum-path-sum/" xr:uid="{00000000-0004-0000-1100-000053000000}"/>
    <hyperlink ref="O90" r:id="rId85" display="https://leetcode.com/problems/valid-palindrome/" xr:uid="{00000000-0004-0000-1100-000054000000}"/>
    <hyperlink ref="O91" r:id="rId86" display="https://leetcode.com/problems/word-ladder/" xr:uid="{00000000-0004-0000-1100-000055000000}"/>
    <hyperlink ref="O92" r:id="rId87" display="https://leetcode.com/problems/longest-consecutive-sequence/" xr:uid="{00000000-0004-0000-1100-000056000000}"/>
    <hyperlink ref="O93" r:id="rId88" display="https://leetcode.com/problems/palindrome-partitioning/" xr:uid="{00000000-0004-0000-1100-000057000000}"/>
    <hyperlink ref="O94" r:id="rId89" display="https://leetcode.com/problems/clone-graph/" xr:uid="{00000000-0004-0000-1100-000058000000}"/>
    <hyperlink ref="O95" r:id="rId90" display="https://leetcode.com/problems/candy/" xr:uid="{00000000-0004-0000-1100-000059000000}"/>
    <hyperlink ref="O96" r:id="rId91" display="https://leetcode.com/problems/single-number-ii/" xr:uid="{00000000-0004-0000-1100-00005A000000}"/>
    <hyperlink ref="O97" r:id="rId92" display="https://leetcode.com/problems/copy-list-with-random-pointer/" xr:uid="{00000000-0004-0000-1100-00005B000000}"/>
    <hyperlink ref="O98" r:id="rId93" display="https://leetcode.com/problems/word-break/" xr:uid="{00000000-0004-0000-1100-00005C000000}"/>
    <hyperlink ref="O99" r:id="rId94" display="https://leetcode.com/problems/linked-list-cycle/" xr:uid="{00000000-0004-0000-1100-00005D000000}"/>
    <hyperlink ref="O100" r:id="rId95" display="https://leetcode.com/problems/reorder-list/" xr:uid="{00000000-0004-0000-1100-00005E000000}"/>
    <hyperlink ref="O101" r:id="rId96" display="https://leetcode.com/problems/lru-cache/" xr:uid="{00000000-0004-0000-1100-00005F000000}"/>
    <hyperlink ref="O102" r:id="rId97" display="https://leetcode.com/problems/sort-list/" xr:uid="{00000000-0004-0000-1100-000060000000}"/>
    <hyperlink ref="O103" r:id="rId98" display="https://leetcode.com/problems/evaluate-reverse-polish-notation/" xr:uid="{00000000-0004-0000-1100-000061000000}"/>
    <hyperlink ref="O104" r:id="rId99" display="https://leetcode.com/problems/reverse-words-in-a-string/" xr:uid="{00000000-0004-0000-1100-000062000000}"/>
    <hyperlink ref="O105" r:id="rId100" display="https://leetcode.com/problems/maximum-product-subarray/" xr:uid="{00000000-0004-0000-1100-000063000000}"/>
    <hyperlink ref="O106" r:id="rId101" display="https://leetcode.com/problems/find-minimum-in-rotated-sorted-array/" xr:uid="{00000000-0004-0000-1100-000064000000}"/>
    <hyperlink ref="O107" r:id="rId102" display="https://leetcode.com/problems/min-stack/" xr:uid="{00000000-0004-0000-1100-000065000000}"/>
    <hyperlink ref="O108" r:id="rId103" display="https://leetcode.com/problems/find-peak-element/" xr:uid="{00000000-0004-0000-1100-000066000000}"/>
    <hyperlink ref="O109" r:id="rId104" display="https://leetcode.com/problems/majority-element/" xr:uid="{00000000-0004-0000-1100-000067000000}"/>
    <hyperlink ref="O110" r:id="rId105" display="https://leetcode.com/problems/binary-search-tree-iterator/" xr:uid="{00000000-0004-0000-1100-000068000000}"/>
    <hyperlink ref="O111" r:id="rId106" display="https://leetcode.com/problems/largest-number/" xr:uid="{00000000-0004-0000-1100-000069000000}"/>
    <hyperlink ref="O112" r:id="rId107" display="https://leetcode.com/problems/rotate-array/" xr:uid="{00000000-0004-0000-1100-00006A000000}"/>
    <hyperlink ref="O113" r:id="rId108" display="https://leetcode.com/problems/house-robber/" xr:uid="{00000000-0004-0000-1100-00006B000000}"/>
    <hyperlink ref="O114" r:id="rId109" display="https://leetcode.com/problems/binary-tree-right-side-view/" xr:uid="{00000000-0004-0000-1100-00006C000000}"/>
    <hyperlink ref="O115" r:id="rId110" display="https://leetcode.com/problems/number-of-islands/" xr:uid="{00000000-0004-0000-1100-00006D000000}"/>
    <hyperlink ref="O116" r:id="rId111" display="https://leetcode.com/problems/happy-number/" xr:uid="{00000000-0004-0000-1100-00006E000000}"/>
    <hyperlink ref="O117" r:id="rId112" display="https://leetcode.com/problems/isomorphic-strings/" xr:uid="{00000000-0004-0000-1100-00006F000000}"/>
    <hyperlink ref="O118" r:id="rId113" display="https://leetcode.com/problems/reverse-linked-list/" xr:uid="{00000000-0004-0000-1100-000070000000}"/>
    <hyperlink ref="O119" r:id="rId114" display="https://leetcode.com/problems/course-schedule/" xr:uid="{00000000-0004-0000-1100-000071000000}"/>
    <hyperlink ref="O120" r:id="rId115" display="https://leetcode.com/problems/implement-trie-prefix-tree/" xr:uid="{00000000-0004-0000-1100-000072000000}"/>
    <hyperlink ref="O121" r:id="rId116" display="https://leetcode.com/problems/minimum-size-subarray-sum/" xr:uid="{00000000-0004-0000-1100-000073000000}"/>
    <hyperlink ref="O122" r:id="rId117" display="https://leetcode.com/problems/course-schedule-ii/" xr:uid="{00000000-0004-0000-1100-000074000000}"/>
    <hyperlink ref="O123" r:id="rId118" display="https://leetcode.com/problems/add-and-search-word-data-structure-design/" xr:uid="{00000000-0004-0000-1100-000075000000}"/>
    <hyperlink ref="O124" r:id="rId119" display="https://leetcode.com/problems/word-search-ii/" xr:uid="{00000000-0004-0000-1100-000076000000}"/>
    <hyperlink ref="O125" r:id="rId120" display="https://leetcode.com/problems/kth-largest-element-in-an-array/" xr:uid="{00000000-0004-0000-1100-000077000000}"/>
    <hyperlink ref="O126" r:id="rId121" display="https://leetcode.com/problems/maximal-square/" xr:uid="{00000000-0004-0000-1100-000078000000}"/>
    <hyperlink ref="O127" r:id="rId122" display="https://leetcode.com/problems/basic-calculator/" xr:uid="{00000000-0004-0000-1100-000079000000}"/>
    <hyperlink ref="O128" r:id="rId123" display="https://leetcode.com/problems/implement-stack-using-queues/" xr:uid="{00000000-0004-0000-1100-00007A000000}"/>
    <hyperlink ref="O129" r:id="rId124" display="https://leetcode.com/problems/invert-binary-tree/" xr:uid="{00000000-0004-0000-1100-00007B000000}"/>
    <hyperlink ref="O130" r:id="rId125" display="https://leetcode.com/problems/kth-smallest-element-in-a-bst/" xr:uid="{00000000-0004-0000-1100-00007C000000}"/>
    <hyperlink ref="O131" r:id="rId126" display="https://leetcode.com/problems/implement-queue-using-stacks/" xr:uid="{00000000-0004-0000-1100-00007D000000}"/>
    <hyperlink ref="O132" r:id="rId127" display="https://leetcode.com/problems/palindrome-linked-list/" xr:uid="{00000000-0004-0000-1100-00007E000000}"/>
    <hyperlink ref="O133" r:id="rId128" display="https://leetcode.com/problems/lowest-common-ancestor-of-a-binary-search-tree/" xr:uid="{00000000-0004-0000-1100-00007F000000}"/>
    <hyperlink ref="O134" r:id="rId129" display="https://leetcode.com/problems/lowest-common-ancestor-of-a-binary-tree/" xr:uid="{00000000-0004-0000-1100-000080000000}"/>
    <hyperlink ref="O135" r:id="rId130" display="https://leetcode.com/problems/product-of-array-except-self/" xr:uid="{00000000-0004-0000-1100-000081000000}"/>
    <hyperlink ref="O136" r:id="rId131" display="https://leetcode.com/problems/sliding-window-maximum/" xr:uid="{00000000-0004-0000-1100-000082000000}"/>
    <hyperlink ref="O137" r:id="rId132" display="https://leetcode.com/problems/search-a-2d-matrix-ii/" xr:uid="{00000000-0004-0000-1100-000083000000}"/>
    <hyperlink ref="O138" r:id="rId133" display="https://leetcode.com/problems/valid-anagram/" xr:uid="{00000000-0004-0000-1100-000084000000}"/>
    <hyperlink ref="O139" r:id="rId134" display="https://leetcode.com/problems/meeting-rooms-ii/" xr:uid="{00000000-0004-0000-1100-000085000000}"/>
    <hyperlink ref="O140" r:id="rId135" display="https://leetcode.com/problems/integer-to-english-words/" xr:uid="{00000000-0004-0000-1100-000086000000}"/>
    <hyperlink ref="O141" r:id="rId136" display="https://leetcode.com/problems/h-index/" xr:uid="{00000000-0004-0000-1100-000087000000}"/>
    <hyperlink ref="O142" r:id="rId137" display="https://leetcode.com/problems/perfect-squares/" xr:uid="{00000000-0004-0000-1100-000088000000}"/>
    <hyperlink ref="O143" r:id="rId138" display="https://leetcode.com/problems/move-zeroes/" xr:uid="{00000000-0004-0000-1100-000089000000}"/>
    <hyperlink ref="O144" r:id="rId139" display="https://leetcode.com/problems/walls-and-gates/" xr:uid="{00000000-0004-0000-1100-00008A000000}"/>
    <hyperlink ref="O145" r:id="rId140" display="https://leetcode.com/problems/find-the-duplicate-number/" xr:uid="{00000000-0004-0000-1100-00008B000000}"/>
    <hyperlink ref="O146" r:id="rId141" display="https://leetcode.com/problems/find-median-from-data-stream/" xr:uid="{00000000-0004-0000-1100-00008C000000}"/>
    <hyperlink ref="O147" r:id="rId142" display="https://leetcode.com/problems/serialize-and-deserialize-binary-tree/" xr:uid="{00000000-0004-0000-1100-00008D000000}"/>
    <hyperlink ref="O148" r:id="rId143" display="https://leetcode.com/problems/longest-increasing-subsequence/" xr:uid="{00000000-0004-0000-1100-00008E000000}"/>
    <hyperlink ref="O149" r:id="rId144" display="https://leetcode.com/problems/minimum-height-trees/" xr:uid="{00000000-0004-0000-1100-00008F000000}"/>
    <hyperlink ref="O150" r:id="rId145" display="https://leetcode.com/problems/burst-balloons/" xr:uid="{00000000-0004-0000-1100-000090000000}"/>
    <hyperlink ref="O151" r:id="rId146" display="https://leetcode.com/problems/count-of-smaller-numbers-after-self/" xr:uid="{00000000-0004-0000-1100-000091000000}"/>
    <hyperlink ref="O152" r:id="rId147" display="https://leetcode.com/problems/shortest-distance-from-all-buildings/" xr:uid="{00000000-0004-0000-1100-000092000000}"/>
    <hyperlink ref="O153" r:id="rId148" display="https://leetcode.com/problems/coin-change/" xr:uid="{00000000-0004-0000-1100-000093000000}"/>
    <hyperlink ref="O154" r:id="rId149" display="https://leetcode.com/problems/odd-even-linked-list/" xr:uid="{00000000-0004-0000-1100-000094000000}"/>
    <hyperlink ref="O155" r:id="rId150" display="https://leetcode.com/problems/longest-increasing-path-in-a-matrix/" xr:uid="{00000000-0004-0000-1100-000095000000}"/>
    <hyperlink ref="O156" r:id="rId151" display="https://leetcode.com/problems/increasing-triplet-subsequence/" xr:uid="{00000000-0004-0000-1100-000096000000}"/>
    <hyperlink ref="O157" r:id="rId152" display="https://leetcode.com/problems/reverse-string/" xr:uid="{00000000-0004-0000-1100-000097000000}"/>
    <hyperlink ref="O158" r:id="rId153" display="https://leetcode.com/problems/top-k-frequent-elements/" xr:uid="{00000000-0004-0000-1100-000098000000}"/>
    <hyperlink ref="O159" r:id="rId154" display="https://leetcode.com/problems/intersection-of-two-arrays/" xr:uid="{00000000-0004-0000-1100-000099000000}"/>
    <hyperlink ref="O160" r:id="rId155" display="https://leetcode.com/problems/design-twitter/" xr:uid="{00000000-0004-0000-1100-00009A000000}"/>
    <hyperlink ref="O161" r:id="rId156" display="https://leetcode.com/problems/sum-of-two-integers/" xr:uid="{00000000-0004-0000-1100-00009B000000}"/>
    <hyperlink ref="O162" r:id="rId157" display="https://leetcode.com/problems/kth-smallest-element-in-a-sorted-matrix/" xr:uid="{00000000-0004-0000-1100-00009C000000}"/>
    <hyperlink ref="O163" r:id="rId158" display="https://leetcode.com/problems/insert-delete-getrandom-o1/" xr:uid="{00000000-0004-0000-1100-00009D000000}"/>
    <hyperlink ref="O164" r:id="rId159" display="https://leetcode.com/problems/first-unique-character-in-a-string/" xr:uid="{00000000-0004-0000-1100-00009E000000}"/>
    <hyperlink ref="O165" r:id="rId160" display="https://leetcode.com/problems/decode-string/" xr:uid="{00000000-0004-0000-1100-00009F000000}"/>
    <hyperlink ref="O166" r:id="rId161" display="https://leetcode.com/problems/evaluate-division/" xr:uid="{00000000-0004-0000-1100-0000A0000000}"/>
    <hyperlink ref="O167" r:id="rId162" display="https://leetcode.com/problems/longest-palindrome/" xr:uid="{00000000-0004-0000-1100-0000A1000000}"/>
    <hyperlink ref="O168" r:id="rId163" display="https://leetcode.com/problems/split-array-largest-sum/" xr:uid="{00000000-0004-0000-1100-0000A2000000}"/>
    <hyperlink ref="O169" r:id="rId164" display="https://leetcode.com/problems/fizz-buzz/" xr:uid="{00000000-0004-0000-1100-0000A3000000}"/>
    <hyperlink ref="O170" r:id="rId165" display="https://leetcode.com/problems/pacific-atlantic-water-flow/" xr:uid="{00000000-0004-0000-1100-0000A4000000}"/>
    <hyperlink ref="O171" r:id="rId166" display="https://leetcode.com/problems/longest-repeating-character-replacement/" xr:uid="{00000000-0004-0000-1100-0000A5000000}"/>
    <hyperlink ref="O172" r:id="rId167" display="https://leetcode.com/problems/path-sum-iii/" xr:uid="{00000000-0004-0000-1100-0000A6000000}"/>
    <hyperlink ref="O173" r:id="rId168" display="https://leetcode.com/problems/find-all-anagrams-in-a-string/" xr:uid="{00000000-0004-0000-1100-0000A7000000}"/>
    <hyperlink ref="O174" r:id="rId169" display="https://leetcode.com/problems/add-two-numbers-ii/" xr:uid="{00000000-0004-0000-1100-0000A8000000}"/>
    <hyperlink ref="O175" r:id="rId170" display="https://leetcode.com/problems/sort-characters-by-frequency/" xr:uid="{00000000-0004-0000-1100-0000A9000000}"/>
    <hyperlink ref="O176" r:id="rId171" display="https://leetcode.com/problems/lfu-cache/" xr:uid="{00000000-0004-0000-1100-0000AA000000}"/>
    <hyperlink ref="O177" r:id="rId172" display="https://leetcode.com/problems/sliding-window-median/" xr:uid="{00000000-0004-0000-1100-0000AB000000}"/>
    <hyperlink ref="O178" r:id="rId173" display="https://leetcode.com/problems/max-consecutive-ones/" xr:uid="{00000000-0004-0000-1100-0000AC000000}"/>
    <hyperlink ref="O179" r:id="rId174" display="https://leetcode.com/problems/target-sum/" xr:uid="{00000000-0004-0000-1100-0000AD000000}"/>
    <hyperlink ref="O180" r:id="rId175" display="https://leetcode.com/problems/next-greater-element-i/" xr:uid="{00000000-0004-0000-1100-0000AE000000}"/>
    <hyperlink ref="O181" r:id="rId176" display="https://leetcode.com/problems/diagonal-traverse/" xr:uid="{00000000-0004-0000-1100-0000AF000000}"/>
    <hyperlink ref="O182" r:id="rId177" display="https://leetcode.com/problems/next-greater-element-ii/" xr:uid="{00000000-0004-0000-1100-0000B0000000}"/>
    <hyperlink ref="O183" r:id="rId178" display="https://leetcode.com/problems/fibonacci-number/" xr:uid="{00000000-0004-0000-1100-0000B1000000}"/>
    <hyperlink ref="O184" r:id="rId179" display="https://leetcode.com/problems/longest-palindromic-subsequence/" xr:uid="{00000000-0004-0000-1100-0000B2000000}"/>
    <hyperlink ref="O185" r:id="rId180" display="https://leetcode.com/problems/continuous-subarray-sum/" xr:uid="{00000000-0004-0000-1100-0000B3000000}"/>
    <hyperlink ref="O186" r:id="rId181" display="https://leetcode.com/problems/contiguous-array/" xr:uid="{00000000-0004-0000-1100-0000B4000000}"/>
    <hyperlink ref="O187" r:id="rId182" display="https://leetcode.com/problems/single-element-in-a-sorted-array/" xr:uid="{00000000-0004-0000-1100-0000B5000000}"/>
    <hyperlink ref="O188" r:id="rId183" display="https://leetcode.com/problems/number-of-provinces/" xr:uid="{00000000-0004-0000-1100-0000B6000000}"/>
    <hyperlink ref="O189" r:id="rId184" display="https://leetcode.com/problems/subarray-sum-equals-k/" xr:uid="{00000000-0004-0000-1100-0000B7000000}"/>
    <hyperlink ref="O190" r:id="rId185" display="https://leetcode.com/problems/permutation-in-string/" xr:uid="{00000000-0004-0000-1100-0000B8000000}"/>
    <hyperlink ref="O191" r:id="rId186" display="https://leetcode.com/problems/design-in-memory-file-system/" xr:uid="{00000000-0004-0000-1100-0000B9000000}"/>
    <hyperlink ref="O192" r:id="rId187" display="https://leetcode.com/problems/task-scheduler/" xr:uid="{00000000-0004-0000-1100-0000BA000000}"/>
    <hyperlink ref="O193" r:id="rId188" display="https://leetcode.com/problems/design-circular-queue/" xr:uid="{00000000-0004-0000-1100-0000BB000000}"/>
    <hyperlink ref="O194" r:id="rId189" display="https://leetcode.com/problems/palindromic-substrings/" xr:uid="{00000000-0004-0000-1100-0000BC000000}"/>
    <hyperlink ref="O195" r:id="rId190" display="https://leetcode.com/problems/find-k-closest-elements/" xr:uid="{00000000-0004-0000-1100-0000BD000000}"/>
    <hyperlink ref="O196" r:id="rId191" display="https://leetcode.com/problems/maximum-width-of-binary-tree/" xr:uid="{00000000-0004-0000-1100-0000BE000000}"/>
    <hyperlink ref="O197" r:id="rId192" display="https://leetcode.com/problems/valid-parenthesis-string/" xr:uid="{00000000-0004-0000-1100-0000BF000000}"/>
    <hyperlink ref="O198" r:id="rId193" display="https://leetcode.com/problems/valid-palindrome-ii/" xr:uid="{00000000-0004-0000-1100-0000C0000000}"/>
    <hyperlink ref="O199" r:id="rId194" display="https://leetcode.com/problems/binary-search/" xr:uid="{00000000-0004-0000-1100-0000C1000000}"/>
    <hyperlink ref="O200" r:id="rId195" display="https://leetcode.com/problems/design-hashmap/" xr:uid="{00000000-0004-0000-1100-0000C2000000}"/>
    <hyperlink ref="O201" r:id="rId196" display="https://leetcode.com/problems/design-linked-list/" xr:uid="{00000000-0004-0000-1100-0000C3000000}"/>
    <hyperlink ref="O202" r:id="rId197" display="https://leetcode.com/problems/flood-fill/" xr:uid="{00000000-0004-0000-1100-0000C4000000}"/>
    <hyperlink ref="O203" r:id="rId198" display="https://leetcode.com/problems/asteroid-collision/" xr:uid="{00000000-0004-0000-1100-0000C5000000}"/>
    <hyperlink ref="O204" r:id="rId199" display="https://leetcode.com/problems/daily-temperatures/" xr:uid="{00000000-0004-0000-1100-0000C6000000}"/>
    <hyperlink ref="O205" r:id="rId200" display="https://leetcode.com/problems/open-the-lock/" xr:uid="{00000000-0004-0000-1100-0000C7000000}"/>
    <hyperlink ref="O206" r:id="rId201" display="https://leetcode.com/problems/employee-free-time/" xr:uid="{00000000-0004-0000-1100-0000C8000000}"/>
    <hyperlink ref="O207" r:id="rId202" display="https://leetcode.com/problems/reorganize-string/" xr:uid="{00000000-0004-0000-1100-0000C9000000}"/>
    <hyperlink ref="O208" r:id="rId203" display="https://leetcode.com/problems/swim-in-rising-water/" xr:uid="{00000000-0004-0000-1100-0000CA000000}"/>
    <hyperlink ref="O209" r:id="rId204" display="https://leetcode.com/problems/cheapest-flights-within-k-stops/" xr:uid="{00000000-0004-0000-1100-0000CB000000}"/>
    <hyperlink ref="O210" r:id="rId205" display="https://leetcode.com/problems/find-eventual-safe-states/" xr:uid="{00000000-0004-0000-1100-0000CC000000}"/>
    <hyperlink ref="O211" r:id="rId206" display="https://leetcode.com/problems/making-a-large-island/" xr:uid="{00000000-0004-0000-1100-0000CD000000}"/>
    <hyperlink ref="O212" r:id="rId207" display="https://leetcode.com/problems/all-nodes-distance-k-in-binary-tree/" xr:uid="{00000000-0004-0000-1100-0000CE000000}"/>
    <hyperlink ref="O213" r:id="rId208" display="https://leetcode.com/problems/koko-eating-bananas/" xr:uid="{00000000-0004-0000-1100-0000CF000000}"/>
    <hyperlink ref="O214" r:id="rId209" display="https://leetcode.com/problems/middle-of-the-linked-list/" xr:uid="{00000000-0004-0000-1100-0000D0000000}"/>
    <hyperlink ref="O215" r:id="rId210" display="https://leetcode.com/problems/online-stock-span/" xr:uid="{00000000-0004-0000-1100-0000D1000000}"/>
    <hyperlink ref="O216" r:id="rId211" display="https://leetcode.com/problems/most-stones-removed-with-same-row-or-column/" xr:uid="{00000000-0004-0000-1100-0000D2000000}"/>
    <hyperlink ref="O217" r:id="rId212" display="https://leetcode.com/problems/time-based-key-value-store/" xr:uid="{00000000-0004-0000-1100-0000D3000000}"/>
    <hyperlink ref="O218" r:id="rId213" display="https://leetcode.com/problems/interval-list-intersections/" xr:uid="{00000000-0004-0000-1100-0000D4000000}"/>
    <hyperlink ref="O219" r:id="rId214" display="https://leetcode.com/problems/rotting-oranges/" xr:uid="{00000000-0004-0000-1100-0000D5000000}"/>
    <hyperlink ref="O220" r:id="rId215" display="https://leetcode.com/problems/capacity-to-ship-packages-within-d-days/" xr:uid="{00000000-0004-0000-1100-0000D6000000}"/>
    <hyperlink ref="O221" r:id="rId216" display="https://leetcode.com/problems/car-pooling/" xr:uid="{00000000-0004-0000-1100-0000D7000000}"/>
    <hyperlink ref="O222" r:id="rId217" display="https://leetcode.com/problems/longest-common-subsequence/" xr:uid="{00000000-0004-0000-1100-0000D8000000}"/>
    <hyperlink ref="O223" r:id="rId218" display="https://leetcode.com/problems/maximum-profit-in-job-scheduling/" xr:uid="{00000000-0004-0000-1100-0000D9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88"/>
  <sheetViews>
    <sheetView showGridLines="0" topLeftCell="G1" zoomScaleNormal="100" workbookViewId="0">
      <pane ySplit="5" topLeftCell="A6" activePane="bottomLeft" state="frozen"/>
      <selection pane="bottomLeft" activeCell="A6" sqref="A6"/>
    </sheetView>
  </sheetViews>
  <sheetFormatPr baseColWidth="10" defaultColWidth="8.6640625" defaultRowHeight="15" x14ac:dyDescent="0.2"/>
  <cols>
    <col min="1" max="1" width="4" customWidth="1"/>
    <col min="2" max="2" width="6" customWidth="1"/>
    <col min="3" max="3" width="42" style="52" customWidth="1"/>
    <col min="4" max="5" width="10" customWidth="1"/>
    <col min="6" max="6" width="40" customWidth="1"/>
    <col min="7" max="7" width="28" customWidth="1"/>
    <col min="8" max="9" width="14" customWidth="1"/>
    <col min="10" max="10" width="12" customWidth="1"/>
    <col min="11" max="11" width="30" customWidth="1"/>
    <col min="12" max="12" width="52" style="52" customWidth="1"/>
    <col min="13" max="13" width="26.6640625" customWidth="1"/>
    <col min="14" max="14" width="14" customWidth="1"/>
    <col min="15" max="15" width="80" customWidth="1"/>
  </cols>
  <sheetData>
    <row r="1" spans="1:15" ht="27.75" customHeight="1" x14ac:dyDescent="0.2">
      <c r="A1" s="354" t="s">
        <v>4898</v>
      </c>
      <c r="B1" s="292"/>
      <c r="C1" s="292"/>
      <c r="D1" s="292"/>
      <c r="E1" s="292"/>
      <c r="F1" s="292"/>
      <c r="G1" s="292"/>
      <c r="H1" s="292"/>
      <c r="I1" s="292"/>
      <c r="J1" s="292"/>
      <c r="K1" s="292"/>
    </row>
    <row r="2" spans="1:15" ht="4.5" customHeight="1" x14ac:dyDescent="0.2">
      <c r="A2" s="292"/>
      <c r="B2" s="292"/>
      <c r="C2" s="292"/>
      <c r="D2" s="292"/>
      <c r="E2" s="292"/>
      <c r="F2" s="292"/>
      <c r="G2" s="292"/>
      <c r="H2" s="292"/>
      <c r="I2" s="292"/>
      <c r="J2" s="292"/>
      <c r="K2" s="292"/>
    </row>
    <row r="3" spans="1:15" ht="15.75" customHeight="1" x14ac:dyDescent="0.2">
      <c r="A3" s="352" t="s">
        <v>4899</v>
      </c>
      <c r="B3" s="292"/>
      <c r="C3" s="292"/>
      <c r="D3" s="292"/>
      <c r="E3" s="292"/>
      <c r="F3" s="292"/>
      <c r="G3" s="292"/>
      <c r="H3" s="292"/>
      <c r="I3" s="292"/>
      <c r="J3" s="292"/>
      <c r="K3" s="292"/>
    </row>
    <row r="4" spans="1:15" ht="15.75" customHeight="1" x14ac:dyDescent="0.2">
      <c r="A4" s="291" t="s">
        <v>5125</v>
      </c>
      <c r="B4" s="292"/>
      <c r="C4" s="292"/>
      <c r="D4" s="292"/>
      <c r="E4" s="292"/>
      <c r="F4" s="292"/>
      <c r="G4" s="292"/>
      <c r="H4" s="292"/>
      <c r="I4" s="292"/>
      <c r="J4" s="292"/>
      <c r="K4" s="292"/>
    </row>
    <row r="5" spans="1:15" ht="31.5" customHeight="1" x14ac:dyDescent="0.2">
      <c r="A5" s="138" t="s">
        <v>1</v>
      </c>
      <c r="B5" s="138" t="s">
        <v>2</v>
      </c>
      <c r="C5" s="274" t="s">
        <v>3</v>
      </c>
      <c r="D5" s="138" t="s">
        <v>4430</v>
      </c>
      <c r="E5" s="138" t="s">
        <v>5</v>
      </c>
      <c r="F5" s="138" t="s">
        <v>4122</v>
      </c>
      <c r="G5" s="138" t="s">
        <v>4242</v>
      </c>
      <c r="H5" s="138" t="s">
        <v>4120</v>
      </c>
      <c r="I5" s="138" t="s">
        <v>7</v>
      </c>
      <c r="J5" s="138" t="s">
        <v>8</v>
      </c>
      <c r="K5" s="138" t="s">
        <v>13</v>
      </c>
      <c r="L5" s="274" t="s">
        <v>14</v>
      </c>
      <c r="M5" s="138" t="s">
        <v>15</v>
      </c>
      <c r="N5" s="138" t="s">
        <v>16</v>
      </c>
      <c r="O5" s="212" t="s">
        <v>17</v>
      </c>
    </row>
    <row r="6" spans="1:15" ht="31.5" customHeight="1" x14ac:dyDescent="0.2">
      <c r="A6" s="7">
        <v>1</v>
      </c>
      <c r="B6" s="7">
        <v>1</v>
      </c>
      <c r="C6" s="231" t="s">
        <v>18</v>
      </c>
      <c r="D6" s="7" t="s">
        <v>4432</v>
      </c>
      <c r="E6" s="21" t="s">
        <v>20</v>
      </c>
      <c r="F6" s="3" t="s">
        <v>19</v>
      </c>
      <c r="G6" s="3" t="s">
        <v>4244</v>
      </c>
      <c r="H6" s="7">
        <f>IFERROR(VLOOKUP(B6,'📊 Problem Tracker'!$B$4:$F$1200,5,FALSE()),"")</f>
        <v>0</v>
      </c>
      <c r="I6" s="7"/>
      <c r="J6" s="7"/>
      <c r="K6" s="3"/>
      <c r="L6" s="228" t="s">
        <v>23</v>
      </c>
      <c r="M6" s="7" t="s">
        <v>24</v>
      </c>
      <c r="N6" s="176" t="s">
        <v>24</v>
      </c>
      <c r="O6" s="191" t="str">
        <f>HYPERLINK("https://leetcode.com/problems/two-sum/","https://leetcode.com/problems/two-sum/")</f>
        <v>https://leetcode.com/problems/two-sum/</v>
      </c>
    </row>
    <row r="7" spans="1:15" ht="31.5" customHeight="1" x14ac:dyDescent="0.2">
      <c r="A7" s="139">
        <v>2</v>
      </c>
      <c r="B7" s="139">
        <v>2</v>
      </c>
      <c r="C7" s="275" t="s">
        <v>26</v>
      </c>
      <c r="D7" s="139" t="s">
        <v>4433</v>
      </c>
      <c r="E7" s="140" t="s">
        <v>28</v>
      </c>
      <c r="F7" s="141" t="s">
        <v>27</v>
      </c>
      <c r="G7" s="141" t="s">
        <v>127</v>
      </c>
      <c r="H7" s="139">
        <f>IFERROR(VLOOKUP(B7,'📊 Problem Tracker'!$B$4:$F$1200,5,FALSE()),"")</f>
        <v>0</v>
      </c>
      <c r="I7" s="139"/>
      <c r="J7" s="139"/>
      <c r="K7" s="141"/>
      <c r="L7" s="276" t="s">
        <v>31</v>
      </c>
      <c r="M7" s="139" t="s">
        <v>32</v>
      </c>
      <c r="N7" s="183" t="s">
        <v>32</v>
      </c>
      <c r="O7" s="196" t="str">
        <f>HYPERLINK("https://leetcode.com/problems/add-two-numbers/","https://leetcode.com/problems/add-two-numbers/")</f>
        <v>https://leetcode.com/problems/add-two-numbers/</v>
      </c>
    </row>
    <row r="8" spans="1:15" ht="31.5" customHeight="1" x14ac:dyDescent="0.2">
      <c r="A8" s="7">
        <v>3</v>
      </c>
      <c r="B8" s="7">
        <v>3</v>
      </c>
      <c r="C8" s="231" t="s">
        <v>34</v>
      </c>
      <c r="D8" s="7" t="s">
        <v>4434</v>
      </c>
      <c r="E8" s="18" t="s">
        <v>28</v>
      </c>
      <c r="F8" s="3" t="s">
        <v>427</v>
      </c>
      <c r="G8" s="3" t="s">
        <v>917</v>
      </c>
      <c r="H8" s="7">
        <f>IFERROR(VLOOKUP(B8,'📊 Problem Tracker'!$B$4:$F$1200,5,FALSE()),"")</f>
        <v>0</v>
      </c>
      <c r="I8" s="7"/>
      <c r="J8" s="7"/>
      <c r="K8" s="3"/>
      <c r="L8" s="228" t="s">
        <v>37</v>
      </c>
      <c r="M8" s="7" t="s">
        <v>24</v>
      </c>
      <c r="N8" s="176" t="s">
        <v>38</v>
      </c>
      <c r="O8" s="191" t="str">
        <f>HYPERLINK("https://leetcode.com/problems/longest-substring-without-repeating-characters/","https://leetcode.com/problems/longest-substring-without-repeating-characters/")</f>
        <v>https://leetcode.com/problems/longest-substring-without-repeating-characters/</v>
      </c>
    </row>
    <row r="9" spans="1:15" ht="31.5" customHeight="1" x14ac:dyDescent="0.2">
      <c r="A9" s="139">
        <v>4</v>
      </c>
      <c r="B9" s="139">
        <v>4</v>
      </c>
      <c r="C9" s="275" t="s">
        <v>40</v>
      </c>
      <c r="D9" s="139" t="s">
        <v>4435</v>
      </c>
      <c r="E9" s="142" t="s">
        <v>42</v>
      </c>
      <c r="F9" s="141" t="s">
        <v>41</v>
      </c>
      <c r="G9" s="141" t="s">
        <v>512</v>
      </c>
      <c r="H9" s="139">
        <f>IFERROR(VLOOKUP(B9,'📊 Problem Tracker'!$B$4:$F$1200,5,FALSE()),"")</f>
        <v>0</v>
      </c>
      <c r="I9" s="139"/>
      <c r="J9" s="139"/>
      <c r="K9" s="141"/>
      <c r="L9" s="276" t="s">
        <v>4238</v>
      </c>
      <c r="M9" s="139" t="s">
        <v>46</v>
      </c>
      <c r="N9" s="183" t="s">
        <v>47</v>
      </c>
      <c r="O9" s="196" t="str">
        <f>HYPERLINK("https://leetcode.com/problems/median-of-two-sorted-arrays/","https://leetcode.com/problems/median-of-two-sorted-arrays/")</f>
        <v>https://leetcode.com/problems/median-of-two-sorted-arrays/</v>
      </c>
    </row>
    <row r="10" spans="1:15" ht="31.5" customHeight="1" x14ac:dyDescent="0.2">
      <c r="A10" s="7">
        <v>5</v>
      </c>
      <c r="B10" s="7">
        <v>5</v>
      </c>
      <c r="C10" s="231" t="s">
        <v>49</v>
      </c>
      <c r="D10" s="7" t="s">
        <v>4436</v>
      </c>
      <c r="E10" s="18" t="s">
        <v>28</v>
      </c>
      <c r="F10" s="3" t="s">
        <v>50</v>
      </c>
      <c r="G10" s="3" t="s">
        <v>4731</v>
      </c>
      <c r="H10" s="7">
        <f>IFERROR(VLOOKUP(B10,'📊 Problem Tracker'!$B$4:$F$1200,5,FALSE()),"")</f>
        <v>0</v>
      </c>
      <c r="I10" s="7"/>
      <c r="J10" s="7"/>
      <c r="K10" s="3"/>
      <c r="L10" s="228" t="s">
        <v>52</v>
      </c>
      <c r="M10" s="7" t="s">
        <v>53</v>
      </c>
      <c r="N10" s="176" t="s">
        <v>47</v>
      </c>
      <c r="O10" s="191" t="str">
        <f>HYPERLINK("https://leetcode.com/problems/longest-palindromic-substring/","https://leetcode.com/problems/longest-palindromic-substring/")</f>
        <v>https://leetcode.com/problems/longest-palindromic-substring/</v>
      </c>
    </row>
    <row r="11" spans="1:15" ht="31.5" customHeight="1" x14ac:dyDescent="0.2">
      <c r="A11" s="139">
        <v>6</v>
      </c>
      <c r="B11" s="139">
        <v>7</v>
      </c>
      <c r="C11" s="275" t="s">
        <v>61</v>
      </c>
      <c r="D11" s="139" t="s">
        <v>4438</v>
      </c>
      <c r="E11" s="140" t="s">
        <v>28</v>
      </c>
      <c r="F11" s="141" t="s">
        <v>62</v>
      </c>
      <c r="G11" s="141" t="s">
        <v>62</v>
      </c>
      <c r="H11" s="139">
        <f>IFERROR(VLOOKUP(B11,'📊 Problem Tracker'!$B$4:$F$1200,5,FALSE()),"")</f>
        <v>0</v>
      </c>
      <c r="I11" s="139"/>
      <c r="J11" s="139"/>
      <c r="K11" s="141"/>
      <c r="L11" s="276" t="s">
        <v>64</v>
      </c>
      <c r="M11" s="139" t="s">
        <v>65</v>
      </c>
      <c r="N11" s="183" t="s">
        <v>47</v>
      </c>
      <c r="O11" s="196" t="str">
        <f>HYPERLINK("https://leetcode.com/problems/reverse-integer/","https://leetcode.com/problems/reverse-integer/")</f>
        <v>https://leetcode.com/problems/reverse-integer/</v>
      </c>
    </row>
    <row r="12" spans="1:15" ht="31.5" customHeight="1" x14ac:dyDescent="0.2">
      <c r="A12" s="7">
        <v>7</v>
      </c>
      <c r="B12" s="7">
        <v>8</v>
      </c>
      <c r="C12" s="231" t="s">
        <v>67</v>
      </c>
      <c r="D12" s="7" t="s">
        <v>4439</v>
      </c>
      <c r="E12" s="18" t="s">
        <v>28</v>
      </c>
      <c r="F12" s="3" t="s">
        <v>56</v>
      </c>
      <c r="G12" s="3" t="s">
        <v>4246</v>
      </c>
      <c r="H12" s="7">
        <f>IFERROR(VLOOKUP(B12,'📊 Problem Tracker'!$B$4:$F$1200,5,FALSE()),"")</f>
        <v>0</v>
      </c>
      <c r="I12" s="7"/>
      <c r="J12" s="7"/>
      <c r="K12" s="3"/>
      <c r="L12" s="228" t="s">
        <v>70</v>
      </c>
      <c r="M12" s="7" t="s">
        <v>24</v>
      </c>
      <c r="N12" s="176" t="s">
        <v>47</v>
      </c>
      <c r="O12" s="191" t="str">
        <f>HYPERLINK("https://leetcode.com/problems/string-to-integer-atoi/","https://leetcode.com/problems/string-to-integer-atoi/")</f>
        <v>https://leetcode.com/problems/string-to-integer-atoi/</v>
      </c>
    </row>
    <row r="13" spans="1:15" ht="31.5" customHeight="1" x14ac:dyDescent="0.2">
      <c r="A13" s="139">
        <v>8</v>
      </c>
      <c r="B13" s="139">
        <v>10</v>
      </c>
      <c r="C13" s="275" t="s">
        <v>77</v>
      </c>
      <c r="D13" s="139" t="s">
        <v>4441</v>
      </c>
      <c r="E13" s="142" t="s">
        <v>42</v>
      </c>
      <c r="F13" s="141" t="s">
        <v>675</v>
      </c>
      <c r="G13" s="141" t="s">
        <v>1042</v>
      </c>
      <c r="H13" s="139">
        <f>IFERROR(VLOOKUP(B13,'📊 Problem Tracker'!$B$4:$F$1200,5,FALSE()),"")</f>
        <v>0</v>
      </c>
      <c r="I13" s="139"/>
      <c r="J13" s="139"/>
      <c r="K13" s="141"/>
      <c r="L13" s="276" t="s">
        <v>80</v>
      </c>
      <c r="M13" s="139" t="s">
        <v>81</v>
      </c>
      <c r="N13" s="183" t="s">
        <v>81</v>
      </c>
      <c r="O13" s="196" t="str">
        <f>HYPERLINK("https://leetcode.com/problems/regular-expression-matching/","https://leetcode.com/problems/regular-expression-matching/")</f>
        <v>https://leetcode.com/problems/regular-expression-matching/</v>
      </c>
    </row>
    <row r="14" spans="1:15" ht="31.5" customHeight="1" x14ac:dyDescent="0.2">
      <c r="A14" s="7">
        <v>9</v>
      </c>
      <c r="B14" s="7">
        <v>11</v>
      </c>
      <c r="C14" s="231" t="s">
        <v>83</v>
      </c>
      <c r="D14" s="7" t="s">
        <v>4442</v>
      </c>
      <c r="E14" s="18" t="s">
        <v>28</v>
      </c>
      <c r="F14" s="3" t="s">
        <v>84</v>
      </c>
      <c r="G14" s="3" t="s">
        <v>689</v>
      </c>
      <c r="H14" s="7">
        <f>IFERROR(VLOOKUP(B14,'📊 Problem Tracker'!$B$4:$F$1200,5,FALSE()),"")</f>
        <v>0</v>
      </c>
      <c r="I14" s="7"/>
      <c r="J14" s="7"/>
      <c r="K14" s="3"/>
      <c r="L14" s="228" t="s">
        <v>86</v>
      </c>
      <c r="M14" s="7" t="s">
        <v>24</v>
      </c>
      <c r="N14" s="176" t="s">
        <v>47</v>
      </c>
      <c r="O14" s="191" t="str">
        <f>HYPERLINK("https://leetcode.com/problems/container-with-most-water/","https://leetcode.com/problems/container-with-most-water/")</f>
        <v>https://leetcode.com/problems/container-with-most-water/</v>
      </c>
    </row>
    <row r="15" spans="1:15" ht="31.5" customHeight="1" x14ac:dyDescent="0.2">
      <c r="A15" s="139">
        <v>10</v>
      </c>
      <c r="B15" s="139">
        <v>13</v>
      </c>
      <c r="C15" s="275" t="s">
        <v>93</v>
      </c>
      <c r="D15" s="139" t="s">
        <v>4444</v>
      </c>
      <c r="E15" s="143" t="s">
        <v>20</v>
      </c>
      <c r="F15" s="141" t="s">
        <v>56</v>
      </c>
      <c r="G15" s="141" t="s">
        <v>62</v>
      </c>
      <c r="H15" s="139">
        <f>IFERROR(VLOOKUP(B15,'📊 Problem Tracker'!$B$4:$F$1200,5,FALSE()),"")</f>
        <v>0</v>
      </c>
      <c r="I15" s="139"/>
      <c r="J15" s="139"/>
      <c r="K15" s="141"/>
      <c r="L15" s="276" t="s">
        <v>95</v>
      </c>
      <c r="M15" s="139" t="s">
        <v>24</v>
      </c>
      <c r="N15" s="183" t="s">
        <v>47</v>
      </c>
      <c r="O15" s="196" t="str">
        <f>HYPERLINK("https://leetcode.com/problems/roman-to-integer/","https://leetcode.com/problems/roman-to-integer/")</f>
        <v>https://leetcode.com/problems/roman-to-integer/</v>
      </c>
    </row>
    <row r="16" spans="1:15" ht="31.5" customHeight="1" x14ac:dyDescent="0.2">
      <c r="A16" s="7">
        <v>11</v>
      </c>
      <c r="B16" s="7">
        <v>14</v>
      </c>
      <c r="C16" s="231" t="s">
        <v>97</v>
      </c>
      <c r="D16" s="7" t="s">
        <v>4445</v>
      </c>
      <c r="E16" s="21" t="s">
        <v>20</v>
      </c>
      <c r="F16" s="3" t="s">
        <v>98</v>
      </c>
      <c r="G16" s="3" t="s">
        <v>98</v>
      </c>
      <c r="H16" s="7">
        <f>IFERROR(VLOOKUP(B16,'📊 Problem Tracker'!$B$4:$F$1200,5,FALSE()),"")</f>
        <v>0</v>
      </c>
      <c r="I16" s="7"/>
      <c r="J16" s="7"/>
      <c r="K16" s="3"/>
      <c r="L16" s="228" t="s">
        <v>100</v>
      </c>
      <c r="M16" s="7" t="s">
        <v>101</v>
      </c>
      <c r="N16" s="176" t="s">
        <v>47</v>
      </c>
      <c r="O16" s="191" t="str">
        <f>HYPERLINK("https://leetcode.com/problems/longest-common-prefix/","https://leetcode.com/problems/longest-common-prefix/")</f>
        <v>https://leetcode.com/problems/longest-common-prefix/</v>
      </c>
    </row>
    <row r="17" spans="1:15" ht="31.5" customHeight="1" x14ac:dyDescent="0.2">
      <c r="A17" s="139">
        <v>12</v>
      </c>
      <c r="B17" s="139">
        <v>17</v>
      </c>
      <c r="C17" s="275" t="s">
        <v>113</v>
      </c>
      <c r="D17" s="139" t="s">
        <v>4448</v>
      </c>
      <c r="E17" s="140" t="s">
        <v>28</v>
      </c>
      <c r="F17" s="141" t="s">
        <v>114</v>
      </c>
      <c r="G17" s="141" t="s">
        <v>300</v>
      </c>
      <c r="H17" s="139">
        <f>IFERROR(VLOOKUP(B17,'📊 Problem Tracker'!$B$4:$F$1200,5,FALSE()),"")</f>
        <v>0</v>
      </c>
      <c r="I17" s="139"/>
      <c r="J17" s="139"/>
      <c r="K17" s="141"/>
      <c r="L17" s="276" t="s">
        <v>117</v>
      </c>
      <c r="M17" s="139" t="s">
        <v>118</v>
      </c>
      <c r="N17" s="183" t="s">
        <v>24</v>
      </c>
      <c r="O17" s="196" t="str">
        <f>HYPERLINK("https://leetcode.com/problems/letter-combinations-of-a-phone-number/","https://leetcode.com/problems/letter-combinations-of-a-phone-number/")</f>
        <v>https://leetcode.com/problems/letter-combinations-of-a-phone-number/</v>
      </c>
    </row>
    <row r="18" spans="1:15" ht="31.5" customHeight="1" x14ac:dyDescent="0.2">
      <c r="A18" s="7">
        <v>13</v>
      </c>
      <c r="B18" s="7">
        <v>20</v>
      </c>
      <c r="C18" s="231" t="s">
        <v>132</v>
      </c>
      <c r="D18" s="7" t="s">
        <v>4451</v>
      </c>
      <c r="E18" s="21" t="s">
        <v>20</v>
      </c>
      <c r="F18" s="3" t="s">
        <v>133</v>
      </c>
      <c r="G18" s="3" t="s">
        <v>540</v>
      </c>
      <c r="H18" s="7">
        <f>IFERROR(VLOOKUP(B18,'📊 Problem Tracker'!$B$4:$F$1200,5,FALSE()),"")</f>
        <v>0</v>
      </c>
      <c r="I18" s="7"/>
      <c r="J18" s="7"/>
      <c r="K18" s="3"/>
      <c r="L18" s="228" t="s">
        <v>135</v>
      </c>
      <c r="M18" s="7" t="s">
        <v>24</v>
      </c>
      <c r="N18" s="176" t="s">
        <v>24</v>
      </c>
      <c r="O18" s="191" t="str">
        <f>HYPERLINK("https://leetcode.com/problems/valid-parentheses/","https://leetcode.com/problems/valid-parentheses/")</f>
        <v>https://leetcode.com/problems/valid-parentheses/</v>
      </c>
    </row>
    <row r="19" spans="1:15" ht="31.5" customHeight="1" x14ac:dyDescent="0.2">
      <c r="A19" s="139">
        <v>14</v>
      </c>
      <c r="B19" s="139">
        <v>22</v>
      </c>
      <c r="C19" s="275" t="s">
        <v>143</v>
      </c>
      <c r="D19" s="139" t="s">
        <v>4453</v>
      </c>
      <c r="E19" s="140" t="s">
        <v>28</v>
      </c>
      <c r="F19" s="141" t="s">
        <v>4251</v>
      </c>
      <c r="G19" s="141" t="s">
        <v>300</v>
      </c>
      <c r="H19" s="139">
        <f>IFERROR(VLOOKUP(B19,'📊 Problem Tracker'!$B$4:$F$1200,5,FALSE()),"")</f>
        <v>0</v>
      </c>
      <c r="I19" s="139"/>
      <c r="J19" s="139"/>
      <c r="K19" s="141"/>
      <c r="L19" s="276" t="s">
        <v>145</v>
      </c>
      <c r="M19" s="139" t="s">
        <v>146</v>
      </c>
      <c r="N19" s="183" t="s">
        <v>24</v>
      </c>
      <c r="O19" s="196" t="str">
        <f>HYPERLINK("https://leetcode.com/problems/generate-parentheses/","https://leetcode.com/problems/generate-parentheses/")</f>
        <v>https://leetcode.com/problems/generate-parentheses/</v>
      </c>
    </row>
    <row r="20" spans="1:15" ht="31.5" customHeight="1" x14ac:dyDescent="0.2">
      <c r="A20" s="7">
        <v>15</v>
      </c>
      <c r="B20" s="7">
        <v>23</v>
      </c>
      <c r="C20" s="231" t="s">
        <v>148</v>
      </c>
      <c r="D20" s="7" t="s">
        <v>4454</v>
      </c>
      <c r="E20" s="20" t="s">
        <v>42</v>
      </c>
      <c r="F20" s="3" t="s">
        <v>149</v>
      </c>
      <c r="G20" s="3" t="s">
        <v>4455</v>
      </c>
      <c r="H20" s="7">
        <f>IFERROR(VLOOKUP(B20,'📊 Problem Tracker'!$B$4:$F$1200,5,FALSE()),"")</f>
        <v>0</v>
      </c>
      <c r="I20" s="7"/>
      <c r="J20" s="7"/>
      <c r="K20" s="3"/>
      <c r="L20" s="228" t="s">
        <v>151</v>
      </c>
      <c r="M20" s="7" t="s">
        <v>152</v>
      </c>
      <c r="N20" s="176" t="s">
        <v>153</v>
      </c>
      <c r="O20" s="191" t="str">
        <f>HYPERLINK("https://leetcode.com/problems/merge-k-sorted-lists/","https://leetcode.com/problems/merge-k-sorted-lists/")</f>
        <v>https://leetcode.com/problems/merge-k-sorted-lists/</v>
      </c>
    </row>
    <row r="21" spans="1:15" ht="31.5" customHeight="1" x14ac:dyDescent="0.2">
      <c r="A21" s="139">
        <v>16</v>
      </c>
      <c r="B21" s="139">
        <v>24</v>
      </c>
      <c r="C21" s="275" t="s">
        <v>155</v>
      </c>
      <c r="D21" s="139" t="s">
        <v>4456</v>
      </c>
      <c r="E21" s="140" t="s">
        <v>28</v>
      </c>
      <c r="F21" s="141" t="s">
        <v>127</v>
      </c>
      <c r="G21" s="141" t="s">
        <v>127</v>
      </c>
      <c r="H21" s="139">
        <f>IFERROR(VLOOKUP(B21,'📊 Problem Tracker'!$B$4:$F$1200,5,FALSE()),"")</f>
        <v>0</v>
      </c>
      <c r="I21" s="139"/>
      <c r="J21" s="139"/>
      <c r="K21" s="141"/>
      <c r="L21" s="276" t="s">
        <v>158</v>
      </c>
      <c r="M21" s="139" t="s">
        <v>24</v>
      </c>
      <c r="N21" s="183" t="s">
        <v>47</v>
      </c>
      <c r="O21" s="196" t="str">
        <f>HYPERLINK("https://leetcode.com/problems/swap-nodes-in-pairs/","https://leetcode.com/problems/swap-nodes-in-pairs/")</f>
        <v>https://leetcode.com/problems/swap-nodes-in-pairs/</v>
      </c>
    </row>
    <row r="22" spans="1:15" ht="31.5" customHeight="1" x14ac:dyDescent="0.2">
      <c r="A22" s="7">
        <v>17</v>
      </c>
      <c r="B22" s="7">
        <v>25</v>
      </c>
      <c r="C22" s="231" t="s">
        <v>160</v>
      </c>
      <c r="D22" s="7" t="s">
        <v>4457</v>
      </c>
      <c r="E22" s="20" t="s">
        <v>42</v>
      </c>
      <c r="F22" s="3" t="s">
        <v>127</v>
      </c>
      <c r="G22" s="3" t="s">
        <v>4458</v>
      </c>
      <c r="H22" s="7">
        <f>IFERROR(VLOOKUP(B22,'📊 Problem Tracker'!$B$4:$F$1200,5,FALSE()),"")</f>
        <v>0</v>
      </c>
      <c r="I22" s="7"/>
      <c r="J22" s="7"/>
      <c r="K22" s="3"/>
      <c r="L22" s="228" t="s">
        <v>163</v>
      </c>
      <c r="M22" s="7" t="s">
        <v>24</v>
      </c>
      <c r="N22" s="176" t="s">
        <v>47</v>
      </c>
      <c r="O22" s="191" t="str">
        <f>HYPERLINK("https://leetcode.com/problems/reverse-nodes-in-k-group/","https://leetcode.com/problems/reverse-nodes-in-k-group/")</f>
        <v>https://leetcode.com/problems/reverse-nodes-in-k-group/</v>
      </c>
    </row>
    <row r="23" spans="1:15" ht="31.5" customHeight="1" x14ac:dyDescent="0.2">
      <c r="A23" s="139">
        <v>18</v>
      </c>
      <c r="B23" s="139">
        <v>26</v>
      </c>
      <c r="C23" s="275" t="s">
        <v>165</v>
      </c>
      <c r="D23" s="139" t="s">
        <v>4459</v>
      </c>
      <c r="E23" s="143" t="s">
        <v>20</v>
      </c>
      <c r="F23" s="141" t="s">
        <v>84</v>
      </c>
      <c r="G23" s="141" t="s">
        <v>689</v>
      </c>
      <c r="H23" s="139">
        <f>IFERROR(VLOOKUP(B23,'📊 Problem Tracker'!$B$4:$F$1200,5,FALSE()),"")</f>
        <v>0</v>
      </c>
      <c r="I23" s="139"/>
      <c r="J23" s="139"/>
      <c r="K23" s="141"/>
      <c r="L23" s="276" t="s">
        <v>169</v>
      </c>
      <c r="M23" s="139" t="s">
        <v>24</v>
      </c>
      <c r="N23" s="183" t="s">
        <v>47</v>
      </c>
      <c r="O23" s="196" t="str">
        <f>HYPERLINK("https://leetcode.com/problems/remove-duplicates-from-sorted-array/","https://leetcode.com/problems/remove-duplicates-from-sorted-array/")</f>
        <v>https://leetcode.com/problems/remove-duplicates-from-sorted-array/</v>
      </c>
    </row>
    <row r="24" spans="1:15" ht="31.5" customHeight="1" x14ac:dyDescent="0.2">
      <c r="A24" s="7">
        <v>19</v>
      </c>
      <c r="B24" s="7">
        <v>27</v>
      </c>
      <c r="C24" s="231" t="s">
        <v>171</v>
      </c>
      <c r="D24" s="7" t="s">
        <v>4460</v>
      </c>
      <c r="E24" s="21" t="s">
        <v>20</v>
      </c>
      <c r="F24" s="3" t="s">
        <v>166</v>
      </c>
      <c r="G24" s="3" t="s">
        <v>166</v>
      </c>
      <c r="H24" s="7">
        <f>IFERROR(VLOOKUP(B24,'📊 Problem Tracker'!$B$4:$F$1200,5,FALSE()),"")</f>
        <v>0</v>
      </c>
      <c r="I24" s="7"/>
      <c r="J24" s="7"/>
      <c r="K24" s="3"/>
      <c r="L24" s="228" t="s">
        <v>173</v>
      </c>
      <c r="M24" s="7" t="s">
        <v>24</v>
      </c>
      <c r="N24" s="176" t="s">
        <v>47</v>
      </c>
      <c r="O24" s="191" t="str">
        <f>HYPERLINK("https://leetcode.com/problems/remove-element/","https://leetcode.com/problems/remove-element/")</f>
        <v>https://leetcode.com/problems/remove-element/</v>
      </c>
    </row>
    <row r="25" spans="1:15" ht="31.5" customHeight="1" x14ac:dyDescent="0.2">
      <c r="A25" s="139">
        <v>20</v>
      </c>
      <c r="B25" s="139">
        <v>31</v>
      </c>
      <c r="C25" s="275" t="s">
        <v>192</v>
      </c>
      <c r="D25" s="139" t="s">
        <v>4463</v>
      </c>
      <c r="E25" s="140" t="s">
        <v>28</v>
      </c>
      <c r="F25" s="141" t="s">
        <v>84</v>
      </c>
      <c r="G25" s="141" t="s">
        <v>689</v>
      </c>
      <c r="H25" s="139">
        <f>IFERROR(VLOOKUP(B25,'📊 Problem Tracker'!$B$4:$F$1200,5,FALSE()),"")</f>
        <v>0</v>
      </c>
      <c r="I25" s="139"/>
      <c r="J25" s="139"/>
      <c r="K25" s="141"/>
      <c r="L25" s="276" t="s">
        <v>195</v>
      </c>
      <c r="M25" s="139" t="s">
        <v>24</v>
      </c>
      <c r="N25" s="183" t="s">
        <v>47</v>
      </c>
      <c r="O25" s="196" t="str">
        <f>HYPERLINK("https://leetcode.com/problems/next-permutation/","https://leetcode.com/problems/next-permutation/")</f>
        <v>https://leetcode.com/problems/next-permutation/</v>
      </c>
    </row>
    <row r="26" spans="1:15" ht="31.5" customHeight="1" x14ac:dyDescent="0.2">
      <c r="A26" s="7">
        <v>21</v>
      </c>
      <c r="B26" s="7">
        <v>32</v>
      </c>
      <c r="C26" s="231" t="s">
        <v>197</v>
      </c>
      <c r="D26" s="7" t="s">
        <v>4464</v>
      </c>
      <c r="E26" s="20" t="s">
        <v>42</v>
      </c>
      <c r="F26" s="3" t="s">
        <v>198</v>
      </c>
      <c r="G26" s="3" t="s">
        <v>4465</v>
      </c>
      <c r="H26" s="7">
        <f>IFERROR(VLOOKUP(B26,'📊 Problem Tracker'!$B$4:$F$1200,5,FALSE()),"")</f>
        <v>0</v>
      </c>
      <c r="I26" s="7"/>
      <c r="J26" s="7"/>
      <c r="K26" s="3"/>
      <c r="L26" s="228" t="s">
        <v>200</v>
      </c>
      <c r="M26" s="7" t="s">
        <v>24</v>
      </c>
      <c r="N26" s="176" t="s">
        <v>24</v>
      </c>
      <c r="O26" s="191" t="str">
        <f>HYPERLINK("https://leetcode.com/problems/longest-valid-parentheses/","https://leetcode.com/problems/longest-valid-parentheses/")</f>
        <v>https://leetcode.com/problems/longest-valid-parentheses/</v>
      </c>
    </row>
    <row r="27" spans="1:15" ht="31.5" customHeight="1" x14ac:dyDescent="0.2">
      <c r="A27" s="139">
        <v>22</v>
      </c>
      <c r="B27" s="139">
        <v>33</v>
      </c>
      <c r="C27" s="275" t="s">
        <v>202</v>
      </c>
      <c r="D27" s="139" t="s">
        <v>4466</v>
      </c>
      <c r="E27" s="140" t="s">
        <v>28</v>
      </c>
      <c r="F27" s="141" t="s">
        <v>41</v>
      </c>
      <c r="G27" s="141" t="s">
        <v>4255</v>
      </c>
      <c r="H27" s="139">
        <f>IFERROR(VLOOKUP(B27,'📊 Problem Tracker'!$B$4:$F$1200,5,FALSE()),"")</f>
        <v>0</v>
      </c>
      <c r="I27" s="139"/>
      <c r="J27" s="139"/>
      <c r="K27" s="141"/>
      <c r="L27" s="276" t="s">
        <v>204</v>
      </c>
      <c r="M27" s="139" t="s">
        <v>65</v>
      </c>
      <c r="N27" s="183" t="s">
        <v>47</v>
      </c>
      <c r="O27" s="196" t="str">
        <f>HYPERLINK("https://leetcode.com/problems/search-in-rotated-sorted-array/","https://leetcode.com/problems/search-in-rotated-sorted-array/")</f>
        <v>https://leetcode.com/problems/search-in-rotated-sorted-array/</v>
      </c>
    </row>
    <row r="28" spans="1:15" ht="31.5" customHeight="1" x14ac:dyDescent="0.2">
      <c r="A28" s="7">
        <v>23</v>
      </c>
      <c r="B28" s="7">
        <v>34</v>
      </c>
      <c r="C28" s="231" t="s">
        <v>206</v>
      </c>
      <c r="D28" s="7" t="s">
        <v>4467</v>
      </c>
      <c r="E28" s="18" t="s">
        <v>28</v>
      </c>
      <c r="F28" s="3" t="s">
        <v>41</v>
      </c>
      <c r="G28" s="3" t="s">
        <v>512</v>
      </c>
      <c r="H28" s="7">
        <f>IFERROR(VLOOKUP(B28,'📊 Problem Tracker'!$B$4:$F$1200,5,FALSE()),"")</f>
        <v>0</v>
      </c>
      <c r="I28" s="7"/>
      <c r="J28" s="7"/>
      <c r="K28" s="3"/>
      <c r="L28" s="228" t="s">
        <v>208</v>
      </c>
      <c r="M28" s="7" t="s">
        <v>65</v>
      </c>
      <c r="N28" s="176" t="s">
        <v>47</v>
      </c>
      <c r="O28" s="191" t="str">
        <f>HYPERLINK("https://leetcode.com/problems/find-first-and-last-position-of-element-in-sorted-array/","https://leetcode.com/problems/find-first-and-last-position-of-element-in-sorted-array/")</f>
        <v>https://leetcode.com/problems/find-first-and-last-position-of-element-in-sorted-array/</v>
      </c>
    </row>
    <row r="29" spans="1:15" ht="31.5" customHeight="1" x14ac:dyDescent="0.2">
      <c r="A29" s="139">
        <v>24</v>
      </c>
      <c r="B29" s="139">
        <v>36</v>
      </c>
      <c r="C29" s="275" t="s">
        <v>214</v>
      </c>
      <c r="D29" s="139" t="s">
        <v>4469</v>
      </c>
      <c r="E29" s="140" t="s">
        <v>28</v>
      </c>
      <c r="F29" s="141" t="s">
        <v>215</v>
      </c>
      <c r="G29" s="141" t="s">
        <v>4470</v>
      </c>
      <c r="H29" s="139">
        <f>IFERROR(VLOOKUP(B29,'📊 Problem Tracker'!$B$4:$F$1200,5,FALSE()),"")</f>
        <v>0</v>
      </c>
      <c r="I29" s="139"/>
      <c r="J29" s="139"/>
      <c r="K29" s="141"/>
      <c r="L29" s="276" t="s">
        <v>218</v>
      </c>
      <c r="M29" s="139" t="s">
        <v>47</v>
      </c>
      <c r="N29" s="183" t="s">
        <v>47</v>
      </c>
      <c r="O29" s="196" t="str">
        <f>HYPERLINK("https://leetcode.com/problems/valid-sudoku/","https://leetcode.com/problems/valid-sudoku/")</f>
        <v>https://leetcode.com/problems/valid-sudoku/</v>
      </c>
    </row>
    <row r="30" spans="1:15" ht="31.5" customHeight="1" x14ac:dyDescent="0.2">
      <c r="A30" s="7">
        <v>25</v>
      </c>
      <c r="B30" s="7">
        <v>37</v>
      </c>
      <c r="C30" s="231" t="s">
        <v>220</v>
      </c>
      <c r="D30" s="7" t="s">
        <v>4471</v>
      </c>
      <c r="E30" s="20" t="s">
        <v>42</v>
      </c>
      <c r="F30" s="3" t="s">
        <v>221</v>
      </c>
      <c r="G30" s="3" t="s">
        <v>300</v>
      </c>
      <c r="H30" s="7">
        <f>IFERROR(VLOOKUP(B30,'📊 Problem Tracker'!$B$4:$F$1200,5,FALSE()),"")</f>
        <v>0</v>
      </c>
      <c r="I30" s="7"/>
      <c r="J30" s="7"/>
      <c r="K30" s="3"/>
      <c r="L30" s="228" t="s">
        <v>224</v>
      </c>
      <c r="M30" s="7" t="s">
        <v>225</v>
      </c>
      <c r="N30" s="176" t="s">
        <v>226</v>
      </c>
      <c r="O30" s="191" t="str">
        <f>HYPERLINK("https://leetcode.com/problems/sudoku-solver/","https://leetcode.com/problems/sudoku-solver/")</f>
        <v>https://leetcode.com/problems/sudoku-solver/</v>
      </c>
    </row>
    <row r="31" spans="1:15" ht="31.5" customHeight="1" x14ac:dyDescent="0.2">
      <c r="A31" s="139">
        <v>26</v>
      </c>
      <c r="B31" s="139">
        <v>39</v>
      </c>
      <c r="C31" s="275" t="s">
        <v>233</v>
      </c>
      <c r="D31" s="139" t="s">
        <v>4473</v>
      </c>
      <c r="E31" s="140" t="s">
        <v>28</v>
      </c>
      <c r="F31" s="141" t="s">
        <v>234</v>
      </c>
      <c r="G31" s="141" t="s">
        <v>300</v>
      </c>
      <c r="H31" s="139">
        <f>IFERROR(VLOOKUP(B31,'📊 Problem Tracker'!$B$4:$F$1200,5,FALSE()),"")</f>
        <v>0</v>
      </c>
      <c r="I31" s="139"/>
      <c r="J31" s="139"/>
      <c r="K31" s="141"/>
      <c r="L31" s="276" t="s">
        <v>237</v>
      </c>
      <c r="M31" s="139" t="s">
        <v>238</v>
      </c>
      <c r="N31" s="183" t="s">
        <v>239</v>
      </c>
      <c r="O31" s="196" t="str">
        <f>HYPERLINK("https://leetcode.com/problems/combination-sum/","https://leetcode.com/problems/combination-sum/")</f>
        <v>https://leetcode.com/problems/combination-sum/</v>
      </c>
    </row>
    <row r="32" spans="1:15" ht="31.5" customHeight="1" x14ac:dyDescent="0.2">
      <c r="A32" s="7">
        <v>27</v>
      </c>
      <c r="B32" s="7">
        <v>42</v>
      </c>
      <c r="C32" s="231" t="s">
        <v>251</v>
      </c>
      <c r="D32" s="7" t="s">
        <v>4476</v>
      </c>
      <c r="E32" s="20" t="s">
        <v>42</v>
      </c>
      <c r="F32" s="3" t="s">
        <v>4259</v>
      </c>
      <c r="G32" s="3" t="s">
        <v>4477</v>
      </c>
      <c r="H32" s="7">
        <f>IFERROR(VLOOKUP(B32,'📊 Problem Tracker'!$B$4:$F$1200,5,FALSE()),"")</f>
        <v>0</v>
      </c>
      <c r="I32" s="7"/>
      <c r="J32" s="7"/>
      <c r="K32" s="3"/>
      <c r="L32" s="228" t="s">
        <v>254</v>
      </c>
      <c r="M32" s="7" t="s">
        <v>24</v>
      </c>
      <c r="N32" s="176" t="s">
        <v>47</v>
      </c>
      <c r="O32" s="191" t="str">
        <f>HYPERLINK("https://leetcode.com/problems/trapping-rain-water/","https://leetcode.com/problems/trapping-rain-water/")</f>
        <v>https://leetcode.com/problems/trapping-rain-water/</v>
      </c>
    </row>
    <row r="33" spans="1:15" ht="31.5" customHeight="1" x14ac:dyDescent="0.2">
      <c r="A33" s="139">
        <v>28</v>
      </c>
      <c r="B33" s="139">
        <v>46</v>
      </c>
      <c r="C33" s="275" t="s">
        <v>272</v>
      </c>
      <c r="D33" s="139" t="s">
        <v>4480</v>
      </c>
      <c r="E33" s="140" t="s">
        <v>28</v>
      </c>
      <c r="F33" s="141" t="s">
        <v>234</v>
      </c>
      <c r="G33" s="141" t="s">
        <v>300</v>
      </c>
      <c r="H33" s="139">
        <f>IFERROR(VLOOKUP(B33,'📊 Problem Tracker'!$B$4:$F$1200,5,FALSE()),"")</f>
        <v>0</v>
      </c>
      <c r="I33" s="139"/>
      <c r="J33" s="139"/>
      <c r="K33" s="141"/>
      <c r="L33" s="276" t="s">
        <v>274</v>
      </c>
      <c r="M33" s="139" t="s">
        <v>275</v>
      </c>
      <c r="N33" s="183" t="s">
        <v>24</v>
      </c>
      <c r="O33" s="196" t="str">
        <f>HYPERLINK("https://leetcode.com/problems/permutations/","https://leetcode.com/problems/permutations/")</f>
        <v>https://leetcode.com/problems/permutations/</v>
      </c>
    </row>
    <row r="34" spans="1:15" ht="31.5" customHeight="1" x14ac:dyDescent="0.2">
      <c r="A34" s="7">
        <v>29</v>
      </c>
      <c r="B34" s="7">
        <v>48</v>
      </c>
      <c r="C34" s="231" t="s">
        <v>282</v>
      </c>
      <c r="D34" s="7" t="s">
        <v>4481</v>
      </c>
      <c r="E34" s="18" t="s">
        <v>28</v>
      </c>
      <c r="F34" s="3" t="s">
        <v>283</v>
      </c>
      <c r="G34" s="3" t="s">
        <v>4187</v>
      </c>
      <c r="H34" s="7">
        <f>IFERROR(VLOOKUP(B34,'📊 Problem Tracker'!$B$4:$F$1200,5,FALSE()),"")</f>
        <v>0</v>
      </c>
      <c r="I34" s="7"/>
      <c r="J34" s="7"/>
      <c r="K34" s="3"/>
      <c r="L34" s="228" t="s">
        <v>286</v>
      </c>
      <c r="M34" s="7" t="s">
        <v>53</v>
      </c>
      <c r="N34" s="176" t="s">
        <v>47</v>
      </c>
      <c r="O34" s="191" t="str">
        <f>HYPERLINK("https://leetcode.com/problems/rotate-image/","https://leetcode.com/problems/rotate-image/")</f>
        <v>https://leetcode.com/problems/rotate-image/</v>
      </c>
    </row>
    <row r="35" spans="1:15" ht="31.5" customHeight="1" x14ac:dyDescent="0.2">
      <c r="A35" s="139">
        <v>30</v>
      </c>
      <c r="B35" s="139">
        <v>49</v>
      </c>
      <c r="C35" s="275" t="s">
        <v>288</v>
      </c>
      <c r="D35" s="139" t="s">
        <v>4482</v>
      </c>
      <c r="E35" s="140" t="s">
        <v>28</v>
      </c>
      <c r="F35" s="141" t="s">
        <v>289</v>
      </c>
      <c r="G35" s="141" t="s">
        <v>4244</v>
      </c>
      <c r="H35" s="139">
        <f>IFERROR(VLOOKUP(B35,'📊 Problem Tracker'!$B$4:$F$1200,5,FALSE()),"")</f>
        <v>0</v>
      </c>
      <c r="I35" s="139"/>
      <c r="J35" s="139"/>
      <c r="K35" s="141"/>
      <c r="L35" s="276" t="s">
        <v>291</v>
      </c>
      <c r="M35" s="139" t="s">
        <v>292</v>
      </c>
      <c r="N35" s="183" t="s">
        <v>292</v>
      </c>
      <c r="O35" s="196" t="str">
        <f>HYPERLINK("https://leetcode.com/problems/group-anagrams/","https://leetcode.com/problems/group-anagrams/")</f>
        <v>https://leetcode.com/problems/group-anagrams/</v>
      </c>
    </row>
    <row r="36" spans="1:15" ht="31.5" customHeight="1" x14ac:dyDescent="0.2">
      <c r="A36" s="7">
        <v>31</v>
      </c>
      <c r="B36" s="7">
        <v>53</v>
      </c>
      <c r="C36" s="231" t="s">
        <v>308</v>
      </c>
      <c r="D36" s="7" t="s">
        <v>4486</v>
      </c>
      <c r="E36" s="18" t="s">
        <v>28</v>
      </c>
      <c r="F36" s="3" t="s">
        <v>309</v>
      </c>
      <c r="G36" s="3" t="s">
        <v>4261</v>
      </c>
      <c r="H36" s="7">
        <f>IFERROR(VLOOKUP(B36,'📊 Problem Tracker'!$B$4:$F$1200,5,FALSE()),"")</f>
        <v>0</v>
      </c>
      <c r="I36" s="7"/>
      <c r="J36" s="7"/>
      <c r="K36" s="3"/>
      <c r="L36" s="228" t="s">
        <v>311</v>
      </c>
      <c r="M36" s="7" t="s">
        <v>24</v>
      </c>
      <c r="N36" s="176" t="s">
        <v>47</v>
      </c>
      <c r="O36" s="191" t="str">
        <f>HYPERLINK("https://leetcode.com/problems/maximum-subarray/","https://leetcode.com/problems/maximum-subarray/")</f>
        <v>https://leetcode.com/problems/maximum-subarray/</v>
      </c>
    </row>
    <row r="37" spans="1:15" ht="31.5" customHeight="1" x14ac:dyDescent="0.2">
      <c r="A37" s="139">
        <v>32</v>
      </c>
      <c r="B37" s="139">
        <v>54</v>
      </c>
      <c r="C37" s="275" t="s">
        <v>313</v>
      </c>
      <c r="D37" s="139" t="s">
        <v>4487</v>
      </c>
      <c r="E37" s="140" t="s">
        <v>28</v>
      </c>
      <c r="F37" s="141" t="s">
        <v>283</v>
      </c>
      <c r="G37" s="141" t="s">
        <v>4488</v>
      </c>
      <c r="H37" s="139">
        <f>IFERROR(VLOOKUP(B37,'📊 Problem Tracker'!$B$4:$F$1200,5,FALSE()),"")</f>
        <v>0</v>
      </c>
      <c r="I37" s="139"/>
      <c r="J37" s="139"/>
      <c r="K37" s="141"/>
      <c r="L37" s="276" t="s">
        <v>315</v>
      </c>
      <c r="M37" s="139" t="s">
        <v>81</v>
      </c>
      <c r="N37" s="183" t="s">
        <v>47</v>
      </c>
      <c r="O37" s="196" t="str">
        <f>HYPERLINK("https://leetcode.com/problems/spiral-matrix/","https://leetcode.com/problems/spiral-matrix/")</f>
        <v>https://leetcode.com/problems/spiral-matrix/</v>
      </c>
    </row>
    <row r="38" spans="1:15" ht="31.5" customHeight="1" x14ac:dyDescent="0.2">
      <c r="A38" s="7">
        <v>33</v>
      </c>
      <c r="B38" s="7">
        <v>56</v>
      </c>
      <c r="C38" s="231" t="s">
        <v>322</v>
      </c>
      <c r="D38" s="7" t="s">
        <v>4490</v>
      </c>
      <c r="E38" s="18" t="s">
        <v>28</v>
      </c>
      <c r="F38" s="3" t="s">
        <v>323</v>
      </c>
      <c r="G38" s="3" t="s">
        <v>322</v>
      </c>
      <c r="H38" s="7">
        <f>IFERROR(VLOOKUP(B38,'📊 Problem Tracker'!$B$4:$F$1200,5,FALSE()),"")</f>
        <v>0</v>
      </c>
      <c r="I38" s="7"/>
      <c r="J38" s="7"/>
      <c r="K38" s="3"/>
      <c r="L38" s="228" t="s">
        <v>325</v>
      </c>
      <c r="M38" s="7" t="s">
        <v>326</v>
      </c>
      <c r="N38" s="176" t="s">
        <v>24</v>
      </c>
      <c r="O38" s="191" t="str">
        <f>HYPERLINK("https://leetcode.com/problems/merge-intervals/","https://leetcode.com/problems/merge-intervals/")</f>
        <v>https://leetcode.com/problems/merge-intervals/</v>
      </c>
    </row>
    <row r="39" spans="1:15" ht="31.5" customHeight="1" x14ac:dyDescent="0.2">
      <c r="A39" s="139">
        <v>34</v>
      </c>
      <c r="B39" s="139">
        <v>57</v>
      </c>
      <c r="C39" s="275" t="s">
        <v>328</v>
      </c>
      <c r="D39" s="139" t="s">
        <v>4463</v>
      </c>
      <c r="E39" s="140" t="s">
        <v>28</v>
      </c>
      <c r="F39" s="141" t="s">
        <v>323</v>
      </c>
      <c r="G39" s="141" t="s">
        <v>322</v>
      </c>
      <c r="H39" s="139">
        <f>IFERROR(VLOOKUP(B39,'📊 Problem Tracker'!$B$4:$F$1200,5,FALSE()),"")</f>
        <v>0</v>
      </c>
      <c r="I39" s="139"/>
      <c r="J39" s="139"/>
      <c r="K39" s="141"/>
      <c r="L39" s="276" t="s">
        <v>331</v>
      </c>
      <c r="M39" s="139" t="s">
        <v>24</v>
      </c>
      <c r="N39" s="183" t="s">
        <v>24</v>
      </c>
      <c r="O39" s="196" t="str">
        <f>HYPERLINK("https://leetcode.com/problems/insert-interval/","https://leetcode.com/problems/insert-interval/")</f>
        <v>https://leetcode.com/problems/insert-interval/</v>
      </c>
    </row>
    <row r="40" spans="1:15" ht="31.5" customHeight="1" x14ac:dyDescent="0.2">
      <c r="A40" s="7">
        <v>35</v>
      </c>
      <c r="B40" s="7">
        <v>64</v>
      </c>
      <c r="C40" s="231" t="s">
        <v>365</v>
      </c>
      <c r="D40" s="7" t="s">
        <v>4496</v>
      </c>
      <c r="E40" s="18" t="s">
        <v>28</v>
      </c>
      <c r="F40" s="3" t="s">
        <v>360</v>
      </c>
      <c r="G40" s="3" t="s">
        <v>1042</v>
      </c>
      <c r="H40" s="7">
        <f>IFERROR(VLOOKUP(B40,'📊 Problem Tracker'!$B$4:$F$1200,5,FALSE()),"")</f>
        <v>0</v>
      </c>
      <c r="I40" s="7"/>
      <c r="J40" s="7"/>
      <c r="K40" s="3"/>
      <c r="L40" s="228" t="s">
        <v>368</v>
      </c>
      <c r="M40" s="7" t="s">
        <v>81</v>
      </c>
      <c r="N40" s="176" t="s">
        <v>24</v>
      </c>
      <c r="O40" s="191" t="str">
        <f>HYPERLINK("https://leetcode.com/problems/minimum-path-sum/","https://leetcode.com/problems/minimum-path-sum/")</f>
        <v>https://leetcode.com/problems/minimum-path-sum/</v>
      </c>
    </row>
    <row r="41" spans="1:15" ht="31.5" customHeight="1" x14ac:dyDescent="0.2">
      <c r="A41" s="139">
        <v>36</v>
      </c>
      <c r="B41" s="139">
        <v>68</v>
      </c>
      <c r="C41" s="275" t="s">
        <v>386</v>
      </c>
      <c r="D41" s="139" t="s">
        <v>4499</v>
      </c>
      <c r="E41" s="142" t="s">
        <v>42</v>
      </c>
      <c r="F41" s="141" t="s">
        <v>387</v>
      </c>
      <c r="G41" s="141" t="s">
        <v>4500</v>
      </c>
      <c r="H41" s="139">
        <f>IFERROR(VLOOKUP(B41,'📊 Problem Tracker'!$B$4:$F$1200,5,FALSE()),"")</f>
        <v>0</v>
      </c>
      <c r="I41" s="139"/>
      <c r="J41" s="139"/>
      <c r="K41" s="141"/>
      <c r="L41" s="276" t="s">
        <v>390</v>
      </c>
      <c r="M41" s="139" t="s">
        <v>391</v>
      </c>
      <c r="N41" s="183" t="s">
        <v>392</v>
      </c>
      <c r="O41" s="196" t="str">
        <f>HYPERLINK("https://leetcode.com/problems/text-justification/","https://leetcode.com/problems/text-justification/")</f>
        <v>https://leetcode.com/problems/text-justification/</v>
      </c>
    </row>
    <row r="42" spans="1:15" ht="31.5" customHeight="1" x14ac:dyDescent="0.2">
      <c r="A42" s="7">
        <v>37</v>
      </c>
      <c r="B42" s="7">
        <v>69</v>
      </c>
      <c r="C42" s="231" t="s">
        <v>394</v>
      </c>
      <c r="D42" s="7" t="s">
        <v>4501</v>
      </c>
      <c r="E42" s="21" t="s">
        <v>20</v>
      </c>
      <c r="F42" s="3" t="s">
        <v>295</v>
      </c>
      <c r="G42" s="3" t="s">
        <v>512</v>
      </c>
      <c r="H42" s="7">
        <f>IFERROR(VLOOKUP(B42,'📊 Problem Tracker'!$B$4:$F$1200,5,FALSE()),"")</f>
        <v>0</v>
      </c>
      <c r="I42" s="7"/>
      <c r="J42" s="7"/>
      <c r="K42" s="3"/>
      <c r="L42" s="228" t="s">
        <v>396</v>
      </c>
      <c r="M42" s="7" t="s">
        <v>65</v>
      </c>
      <c r="N42" s="176" t="s">
        <v>47</v>
      </c>
      <c r="O42" s="191" t="str">
        <f>HYPERLINK("https://leetcode.com/problems/sqrtx/","https://leetcode.com/problems/sqrtx/")</f>
        <v>https://leetcode.com/problems/sqrtx/</v>
      </c>
    </row>
    <row r="43" spans="1:15" ht="31.5" customHeight="1" x14ac:dyDescent="0.2">
      <c r="A43" s="139">
        <v>38</v>
      </c>
      <c r="B43" s="139">
        <v>70</v>
      </c>
      <c r="C43" s="275" t="s">
        <v>398</v>
      </c>
      <c r="D43" s="139" t="s">
        <v>4437</v>
      </c>
      <c r="E43" s="143" t="s">
        <v>20</v>
      </c>
      <c r="F43" s="141" t="s">
        <v>1314</v>
      </c>
      <c r="G43" s="141" t="s">
        <v>4264</v>
      </c>
      <c r="H43" s="139">
        <f>IFERROR(VLOOKUP(B43,'📊 Problem Tracker'!$B$4:$F$1200,5,FALSE()),"")</f>
        <v>0</v>
      </c>
      <c r="I43" s="139"/>
      <c r="J43" s="139"/>
      <c r="K43" s="141"/>
      <c r="L43" s="276" t="s">
        <v>400</v>
      </c>
      <c r="M43" s="139" t="s">
        <v>24</v>
      </c>
      <c r="N43" s="183" t="s">
        <v>47</v>
      </c>
      <c r="O43" s="196" t="str">
        <f>HYPERLINK("https://leetcode.com/problems/climbing-stairs/","https://leetcode.com/problems/climbing-stairs/")</f>
        <v>https://leetcode.com/problems/climbing-stairs/</v>
      </c>
    </row>
    <row r="44" spans="1:15" ht="31.5" customHeight="1" x14ac:dyDescent="0.2">
      <c r="A44" s="7">
        <v>39</v>
      </c>
      <c r="B44" s="7">
        <v>73</v>
      </c>
      <c r="C44" s="231" t="s">
        <v>411</v>
      </c>
      <c r="D44" s="7" t="s">
        <v>4472</v>
      </c>
      <c r="E44" s="18" t="s">
        <v>28</v>
      </c>
      <c r="F44" s="3" t="s">
        <v>283</v>
      </c>
      <c r="G44" s="3" t="s">
        <v>4187</v>
      </c>
      <c r="H44" s="7">
        <f>IFERROR(VLOOKUP(B44,'📊 Problem Tracker'!$B$4:$F$1200,5,FALSE()),"")</f>
        <v>0</v>
      </c>
      <c r="I44" s="7"/>
      <c r="J44" s="7"/>
      <c r="K44" s="3"/>
      <c r="L44" s="228" t="s">
        <v>413</v>
      </c>
      <c r="M44" s="7" t="s">
        <v>81</v>
      </c>
      <c r="N44" s="176" t="s">
        <v>47</v>
      </c>
      <c r="O44" s="191" t="str">
        <f>HYPERLINK("https://leetcode.com/problems/set-matrix-zeroes/","https://leetcode.com/problems/set-matrix-zeroes/")</f>
        <v>https://leetcode.com/problems/set-matrix-zeroes/</v>
      </c>
    </row>
    <row r="45" spans="1:15" ht="31.5" customHeight="1" x14ac:dyDescent="0.2">
      <c r="A45" s="139">
        <v>40</v>
      </c>
      <c r="B45" s="139">
        <v>76</v>
      </c>
      <c r="C45" s="275" t="s">
        <v>426</v>
      </c>
      <c r="D45" s="139" t="s">
        <v>4445</v>
      </c>
      <c r="E45" s="142" t="s">
        <v>42</v>
      </c>
      <c r="F45" s="141" t="s">
        <v>427</v>
      </c>
      <c r="G45" s="141" t="s">
        <v>917</v>
      </c>
      <c r="H45" s="139">
        <f>IFERROR(VLOOKUP(B45,'📊 Problem Tracker'!$B$4:$F$1200,5,FALSE()),"")</f>
        <v>0</v>
      </c>
      <c r="I45" s="139"/>
      <c r="J45" s="139"/>
      <c r="K45" s="141"/>
      <c r="L45" s="276" t="s">
        <v>430</v>
      </c>
      <c r="M45" s="139" t="s">
        <v>178</v>
      </c>
      <c r="N45" s="183" t="s">
        <v>153</v>
      </c>
      <c r="O45" s="196" t="str">
        <f>HYPERLINK("https://leetcode.com/problems/minimum-window-substring/","https://leetcode.com/problems/minimum-window-substring/")</f>
        <v>https://leetcode.com/problems/minimum-window-substring/</v>
      </c>
    </row>
    <row r="46" spans="1:15" ht="31.5" customHeight="1" x14ac:dyDescent="0.2">
      <c r="A46" s="7">
        <v>41</v>
      </c>
      <c r="B46" s="7">
        <v>78</v>
      </c>
      <c r="C46" s="231" t="s">
        <v>436</v>
      </c>
      <c r="D46" s="7" t="s">
        <v>4508</v>
      </c>
      <c r="E46" s="18" t="s">
        <v>28</v>
      </c>
      <c r="F46" s="3" t="s">
        <v>234</v>
      </c>
      <c r="G46" s="3" t="s">
        <v>4509</v>
      </c>
      <c r="H46" s="7">
        <f>IFERROR(VLOOKUP(B46,'📊 Problem Tracker'!$B$4:$F$1200,5,FALSE()),"")</f>
        <v>0</v>
      </c>
      <c r="I46" s="7"/>
      <c r="J46" s="7"/>
      <c r="K46" s="3"/>
      <c r="L46" s="228" t="s">
        <v>439</v>
      </c>
      <c r="M46" s="7" t="s">
        <v>440</v>
      </c>
      <c r="N46" s="176" t="s">
        <v>24</v>
      </c>
      <c r="O46" s="191" t="str">
        <f>HYPERLINK("https://leetcode.com/problems/subsets/","https://leetcode.com/problems/subsets/")</f>
        <v>https://leetcode.com/problems/subsets/</v>
      </c>
    </row>
    <row r="47" spans="1:15" ht="31.5" customHeight="1" x14ac:dyDescent="0.2">
      <c r="A47" s="139">
        <v>42</v>
      </c>
      <c r="B47" s="139">
        <v>79</v>
      </c>
      <c r="C47" s="275" t="s">
        <v>442</v>
      </c>
      <c r="D47" s="139" t="s">
        <v>4510</v>
      </c>
      <c r="E47" s="140" t="s">
        <v>28</v>
      </c>
      <c r="F47" s="141" t="s">
        <v>4192</v>
      </c>
      <c r="G47" s="141" t="s">
        <v>4268</v>
      </c>
      <c r="H47" s="139">
        <f>IFERROR(VLOOKUP(B47,'📊 Problem Tracker'!$B$4:$F$1200,5,FALSE()),"")</f>
        <v>0</v>
      </c>
      <c r="I47" s="139"/>
      <c r="J47" s="139"/>
      <c r="K47" s="141"/>
      <c r="L47" s="276" t="s">
        <v>445</v>
      </c>
      <c r="M47" s="139" t="s">
        <v>446</v>
      </c>
      <c r="N47" s="183" t="s">
        <v>392</v>
      </c>
      <c r="O47" s="196" t="str">
        <f>HYPERLINK("https://leetcode.com/problems/word-search/","https://leetcode.com/problems/word-search/")</f>
        <v>https://leetcode.com/problems/word-search/</v>
      </c>
    </row>
    <row r="48" spans="1:15" ht="31.5" customHeight="1" x14ac:dyDescent="0.2">
      <c r="A48" s="7">
        <v>43</v>
      </c>
      <c r="B48" s="7">
        <v>81</v>
      </c>
      <c r="C48" s="231" t="s">
        <v>452</v>
      </c>
      <c r="D48" s="7" t="s">
        <v>4900</v>
      </c>
      <c r="E48" s="18" t="s">
        <v>28</v>
      </c>
      <c r="F48" s="3" t="s">
        <v>41</v>
      </c>
      <c r="G48" s="3" t="s">
        <v>4255</v>
      </c>
      <c r="H48" s="7">
        <f>IFERROR(VLOOKUP(B48,'📊 Problem Tracker'!$B$4:$F$1200,5,FALSE()),"")</f>
        <v>0</v>
      </c>
      <c r="I48" s="7"/>
      <c r="J48" s="7"/>
      <c r="K48" s="3"/>
      <c r="L48" s="228" t="s">
        <v>455</v>
      </c>
      <c r="M48" s="7" t="s">
        <v>456</v>
      </c>
      <c r="N48" s="176" t="s">
        <v>47</v>
      </c>
      <c r="O48" s="191" t="str">
        <f>HYPERLINK("https://leetcode.com/problems/search-in-rotated-sorted-array-ii/","https://leetcode.com/problems/search-in-rotated-sorted-array-ii/")</f>
        <v>https://leetcode.com/problems/search-in-rotated-sorted-array-ii/</v>
      </c>
    </row>
    <row r="49" spans="1:15" ht="31.5" customHeight="1" x14ac:dyDescent="0.2">
      <c r="A49" s="139">
        <v>44</v>
      </c>
      <c r="B49" s="139">
        <v>84</v>
      </c>
      <c r="C49" s="275" t="s">
        <v>465</v>
      </c>
      <c r="D49" s="139" t="s">
        <v>4497</v>
      </c>
      <c r="E49" s="142" t="s">
        <v>42</v>
      </c>
      <c r="F49" s="141" t="s">
        <v>466</v>
      </c>
      <c r="G49" s="141" t="s">
        <v>1473</v>
      </c>
      <c r="H49" s="139">
        <f>IFERROR(VLOOKUP(B49,'📊 Problem Tracker'!$B$4:$F$1200,5,FALSE()),"")</f>
        <v>0</v>
      </c>
      <c r="I49" s="139"/>
      <c r="J49" s="139"/>
      <c r="K49" s="141"/>
      <c r="L49" s="276" t="s">
        <v>468</v>
      </c>
      <c r="M49" s="139" t="s">
        <v>24</v>
      </c>
      <c r="N49" s="183" t="s">
        <v>24</v>
      </c>
      <c r="O49" s="196" t="str">
        <f>HYPERLINK("https://leetcode.com/problems/largest-rectangle-in-histogram/","https://leetcode.com/problems/largest-rectangle-in-histogram/")</f>
        <v>https://leetcode.com/problems/largest-rectangle-in-histogram/</v>
      </c>
    </row>
    <row r="50" spans="1:15" ht="31.5" customHeight="1" x14ac:dyDescent="0.2">
      <c r="A50" s="7">
        <v>45</v>
      </c>
      <c r="B50" s="7">
        <v>91</v>
      </c>
      <c r="C50" s="231" t="s">
        <v>490</v>
      </c>
      <c r="D50" s="7" t="s">
        <v>4516</v>
      </c>
      <c r="E50" s="18" t="s">
        <v>28</v>
      </c>
      <c r="F50" s="3" t="s">
        <v>50</v>
      </c>
      <c r="G50" s="3" t="s">
        <v>1042</v>
      </c>
      <c r="H50" s="7">
        <f>IFERROR(VLOOKUP(B50,'📊 Problem Tracker'!$B$4:$F$1200,5,FALSE()),"")</f>
        <v>0</v>
      </c>
      <c r="I50" s="7"/>
      <c r="J50" s="7"/>
      <c r="K50" s="3"/>
      <c r="L50" s="228" t="s">
        <v>492</v>
      </c>
      <c r="M50" s="7" t="s">
        <v>24</v>
      </c>
      <c r="N50" s="176" t="s">
        <v>47</v>
      </c>
      <c r="O50" s="191" t="str">
        <f>HYPERLINK("https://leetcode.com/problems/decode-ways/","https://leetcode.com/problems/decode-ways/")</f>
        <v>https://leetcode.com/problems/decode-ways/</v>
      </c>
    </row>
    <row r="51" spans="1:15" ht="31.5" customHeight="1" x14ac:dyDescent="0.2">
      <c r="A51" s="139">
        <v>46</v>
      </c>
      <c r="B51" s="139">
        <v>104</v>
      </c>
      <c r="C51" s="275" t="s">
        <v>544</v>
      </c>
      <c r="D51" s="139" t="s">
        <v>4526</v>
      </c>
      <c r="E51" s="143" t="s">
        <v>20</v>
      </c>
      <c r="F51" s="141" t="s">
        <v>500</v>
      </c>
      <c r="G51" s="141" t="s">
        <v>4256</v>
      </c>
      <c r="H51" s="139">
        <f>IFERROR(VLOOKUP(B51,'📊 Problem Tracker'!$B$4:$F$1200,5,FALSE()),"")</f>
        <v>0</v>
      </c>
      <c r="I51" s="139"/>
      <c r="J51" s="139"/>
      <c r="K51" s="141"/>
      <c r="L51" s="276" t="s">
        <v>546</v>
      </c>
      <c r="M51" s="139" t="s">
        <v>24</v>
      </c>
      <c r="N51" s="183" t="s">
        <v>503</v>
      </c>
      <c r="O51" s="196" t="str">
        <f>HYPERLINK("https://leetcode.com/problems/maximum-depth-of-binary-tree/","https://leetcode.com/problems/maximum-depth-of-binary-tree/")</f>
        <v>https://leetcode.com/problems/maximum-depth-of-binary-tree/</v>
      </c>
    </row>
    <row r="52" spans="1:15" ht="31.5" customHeight="1" x14ac:dyDescent="0.2">
      <c r="A52" s="7">
        <v>47</v>
      </c>
      <c r="B52" s="7">
        <v>121</v>
      </c>
      <c r="C52" s="231" t="s">
        <v>595</v>
      </c>
      <c r="D52" s="7" t="s">
        <v>4536</v>
      </c>
      <c r="E52" s="21" t="s">
        <v>20</v>
      </c>
      <c r="F52" s="3" t="s">
        <v>318</v>
      </c>
      <c r="G52" s="3" t="s">
        <v>3091</v>
      </c>
      <c r="H52" s="7">
        <f>IFERROR(VLOOKUP(B52,'📊 Problem Tracker'!$B$4:$F$1200,5,FALSE()),"")</f>
        <v>0</v>
      </c>
      <c r="I52" s="7"/>
      <c r="J52" s="7"/>
      <c r="K52" s="3"/>
      <c r="L52" s="228" t="s">
        <v>597</v>
      </c>
      <c r="M52" s="7" t="s">
        <v>24</v>
      </c>
      <c r="N52" s="176" t="s">
        <v>47</v>
      </c>
      <c r="O52" s="191" t="str">
        <f>HYPERLINK("https://leetcode.com/problems/best-time-to-buy-and-sell-stock/","https://leetcode.com/problems/best-time-to-buy-and-sell-stock/")</f>
        <v>https://leetcode.com/problems/best-time-to-buy-and-sell-stock/</v>
      </c>
    </row>
    <row r="53" spans="1:15" ht="31.5" customHeight="1" x14ac:dyDescent="0.2">
      <c r="A53" s="139">
        <v>48</v>
      </c>
      <c r="B53" s="139">
        <v>124</v>
      </c>
      <c r="C53" s="275" t="s">
        <v>605</v>
      </c>
      <c r="D53" s="139" t="s">
        <v>4540</v>
      </c>
      <c r="E53" s="142" t="s">
        <v>42</v>
      </c>
      <c r="F53" s="141" t="s">
        <v>606</v>
      </c>
      <c r="G53" s="141" t="s">
        <v>4256</v>
      </c>
      <c r="H53" s="139">
        <f>IFERROR(VLOOKUP(B53,'📊 Problem Tracker'!$B$4:$F$1200,5,FALSE()),"")</f>
        <v>0</v>
      </c>
      <c r="I53" s="139"/>
      <c r="J53" s="139"/>
      <c r="K53" s="141"/>
      <c r="L53" s="276" t="s">
        <v>608</v>
      </c>
      <c r="M53" s="139" t="s">
        <v>24</v>
      </c>
      <c r="N53" s="183" t="s">
        <v>503</v>
      </c>
      <c r="O53" s="196" t="str">
        <f>HYPERLINK("https://leetcode.com/problems/binary-tree-maximum-path-sum/","https://leetcode.com/problems/binary-tree-maximum-path-sum/")</f>
        <v>https://leetcode.com/problems/binary-tree-maximum-path-sum/</v>
      </c>
    </row>
    <row r="54" spans="1:15" ht="31.5" customHeight="1" x14ac:dyDescent="0.2">
      <c r="A54" s="7">
        <v>49</v>
      </c>
      <c r="B54" s="7">
        <v>125</v>
      </c>
      <c r="C54" s="231" t="s">
        <v>610</v>
      </c>
      <c r="D54" s="7" t="s">
        <v>4486</v>
      </c>
      <c r="E54" s="21" t="s">
        <v>20</v>
      </c>
      <c r="F54" s="3" t="s">
        <v>611</v>
      </c>
      <c r="G54" s="3" t="s">
        <v>689</v>
      </c>
      <c r="H54" s="7">
        <f>IFERROR(VLOOKUP(B54,'📊 Problem Tracker'!$B$4:$F$1200,5,FALSE()),"")</f>
        <v>0</v>
      </c>
      <c r="I54" s="7"/>
      <c r="J54" s="7"/>
      <c r="K54" s="3"/>
      <c r="L54" s="228" t="s">
        <v>613</v>
      </c>
      <c r="M54" s="7" t="s">
        <v>24</v>
      </c>
      <c r="N54" s="176" t="s">
        <v>47</v>
      </c>
      <c r="O54" s="191" t="str">
        <f>HYPERLINK("https://leetcode.com/problems/valid-palindrome/","https://leetcode.com/problems/valid-palindrome/")</f>
        <v>https://leetcode.com/problems/valid-palindrome/</v>
      </c>
    </row>
    <row r="55" spans="1:15" ht="31.5" customHeight="1" x14ac:dyDescent="0.2">
      <c r="A55" s="139">
        <v>50</v>
      </c>
      <c r="B55" s="139">
        <v>127</v>
      </c>
      <c r="C55" s="275" t="s">
        <v>623</v>
      </c>
      <c r="D55" s="139" t="s">
        <v>4543</v>
      </c>
      <c r="E55" s="142" t="s">
        <v>42</v>
      </c>
      <c r="F55" s="141" t="s">
        <v>624</v>
      </c>
      <c r="G55" s="141" t="s">
        <v>4258</v>
      </c>
      <c r="H55" s="139">
        <f>IFERROR(VLOOKUP(B55,'📊 Problem Tracker'!$B$4:$F$1200,5,FALSE()),"")</f>
        <v>0</v>
      </c>
      <c r="I55" s="139"/>
      <c r="J55" s="139"/>
      <c r="K55" s="141"/>
      <c r="L55" s="276" t="s">
        <v>619</v>
      </c>
      <c r="M55" s="139" t="s">
        <v>625</v>
      </c>
      <c r="N55" s="183" t="s">
        <v>626</v>
      </c>
      <c r="O55" s="196" t="str">
        <f>HYPERLINK("https://leetcode.com/problems/word-ladder/","https://leetcode.com/problems/word-ladder/")</f>
        <v>https://leetcode.com/problems/word-ladder/</v>
      </c>
    </row>
    <row r="56" spans="1:15" ht="31.5" customHeight="1" x14ac:dyDescent="0.2">
      <c r="A56" s="7">
        <v>51</v>
      </c>
      <c r="B56" s="7">
        <v>128</v>
      </c>
      <c r="C56" s="231" t="s">
        <v>628</v>
      </c>
      <c r="D56" s="7" t="s">
        <v>4544</v>
      </c>
      <c r="E56" s="18" t="s">
        <v>28</v>
      </c>
      <c r="F56" s="3" t="s">
        <v>629</v>
      </c>
      <c r="G56" s="3" t="s">
        <v>4545</v>
      </c>
      <c r="H56" s="7">
        <f>IFERROR(VLOOKUP(B56,'📊 Problem Tracker'!$B$4:$F$1200,5,FALSE()),"")</f>
        <v>0</v>
      </c>
      <c r="I56" s="7"/>
      <c r="J56" s="7"/>
      <c r="K56" s="3"/>
      <c r="L56" s="228" t="s">
        <v>631</v>
      </c>
      <c r="M56" s="7" t="s">
        <v>24</v>
      </c>
      <c r="N56" s="176" t="s">
        <v>24</v>
      </c>
      <c r="O56" s="191" t="str">
        <f>HYPERLINK("https://leetcode.com/problems/longest-consecutive-sequence/","https://leetcode.com/problems/longest-consecutive-sequence/")</f>
        <v>https://leetcode.com/problems/longest-consecutive-sequence/</v>
      </c>
    </row>
    <row r="57" spans="1:15" ht="31.5" customHeight="1" x14ac:dyDescent="0.2">
      <c r="A57" s="139">
        <v>52</v>
      </c>
      <c r="B57" s="139">
        <v>133</v>
      </c>
      <c r="C57" s="275" t="s">
        <v>645</v>
      </c>
      <c r="D57" s="139" t="s">
        <v>4737</v>
      </c>
      <c r="E57" s="140" t="s">
        <v>28</v>
      </c>
      <c r="F57" s="141" t="s">
        <v>646</v>
      </c>
      <c r="G57" s="141" t="s">
        <v>4274</v>
      </c>
      <c r="H57" s="139">
        <f>IFERROR(VLOOKUP(B57,'📊 Problem Tracker'!$B$4:$F$1200,5,FALSE()),"")</f>
        <v>0</v>
      </c>
      <c r="I57" s="139"/>
      <c r="J57" s="139"/>
      <c r="K57" s="141"/>
      <c r="L57" s="276" t="s">
        <v>619</v>
      </c>
      <c r="M57" s="139" t="s">
        <v>648</v>
      </c>
      <c r="N57" s="183" t="s">
        <v>649</v>
      </c>
      <c r="O57" s="196" t="str">
        <f>HYPERLINK("https://leetcode.com/problems/clone-graph/","https://leetcode.com/problems/clone-graph/")</f>
        <v>https://leetcode.com/problems/clone-graph/</v>
      </c>
    </row>
    <row r="58" spans="1:15" ht="31.5" customHeight="1" x14ac:dyDescent="0.2">
      <c r="A58" s="7">
        <v>53</v>
      </c>
      <c r="B58" s="7">
        <v>135</v>
      </c>
      <c r="C58" s="231" t="s">
        <v>656</v>
      </c>
      <c r="D58" s="7" t="s">
        <v>4433</v>
      </c>
      <c r="E58" s="20" t="s">
        <v>42</v>
      </c>
      <c r="F58" s="3" t="s">
        <v>318</v>
      </c>
      <c r="G58" s="3" t="s">
        <v>3091</v>
      </c>
      <c r="H58" s="7">
        <f>IFERROR(VLOOKUP(B58,'📊 Problem Tracker'!$B$4:$F$1200,5,FALSE()),"")</f>
        <v>0</v>
      </c>
      <c r="I58" s="7"/>
      <c r="J58" s="7"/>
      <c r="K58" s="3"/>
      <c r="L58" s="228" t="s">
        <v>654</v>
      </c>
      <c r="M58" s="7" t="s">
        <v>24</v>
      </c>
      <c r="N58" s="176" t="s">
        <v>24</v>
      </c>
      <c r="O58" s="191" t="str">
        <f>HYPERLINK("https://leetcode.com/problems/candy/","https://leetcode.com/problems/candy/")</f>
        <v>https://leetcode.com/problems/candy/</v>
      </c>
    </row>
    <row r="59" spans="1:15" ht="31.5" customHeight="1" x14ac:dyDescent="0.2">
      <c r="A59" s="139">
        <v>54</v>
      </c>
      <c r="B59" s="139">
        <v>138</v>
      </c>
      <c r="C59" s="275" t="s">
        <v>668</v>
      </c>
      <c r="D59" s="139" t="s">
        <v>4472</v>
      </c>
      <c r="E59" s="140" t="s">
        <v>28</v>
      </c>
      <c r="F59" s="141" t="s">
        <v>669</v>
      </c>
      <c r="G59" s="141" t="s">
        <v>4552</v>
      </c>
      <c r="H59" s="139">
        <f>IFERROR(VLOOKUP(B59,'📊 Problem Tracker'!$B$4:$F$1200,5,FALSE()),"")</f>
        <v>0</v>
      </c>
      <c r="I59" s="139"/>
      <c r="J59" s="139"/>
      <c r="K59" s="141"/>
      <c r="L59" s="276" t="s">
        <v>461</v>
      </c>
      <c r="M59" s="139" t="s">
        <v>24</v>
      </c>
      <c r="N59" s="183" t="s">
        <v>24</v>
      </c>
      <c r="O59" s="196" t="str">
        <f>HYPERLINK("https://leetcode.com/problems/copy-list-with-random-pointer/","https://leetcode.com/problems/copy-list-with-random-pointer/")</f>
        <v>https://leetcode.com/problems/copy-list-with-random-pointer/</v>
      </c>
    </row>
    <row r="60" spans="1:15" ht="31.5" customHeight="1" x14ac:dyDescent="0.2">
      <c r="A60" s="7">
        <v>55</v>
      </c>
      <c r="B60" s="7">
        <v>139</v>
      </c>
      <c r="C60" s="231" t="s">
        <v>671</v>
      </c>
      <c r="D60" s="7" t="s">
        <v>4553</v>
      </c>
      <c r="E60" s="18" t="s">
        <v>28</v>
      </c>
      <c r="F60" s="3" t="s">
        <v>672</v>
      </c>
      <c r="G60" s="3" t="s">
        <v>1042</v>
      </c>
      <c r="H60" s="7">
        <f>IFERROR(VLOOKUP(B60,'📊 Problem Tracker'!$B$4:$F$1200,5,FALSE()),"")</f>
        <v>0</v>
      </c>
      <c r="I60" s="7"/>
      <c r="J60" s="7"/>
      <c r="K60" s="3"/>
      <c r="L60" s="228" t="s">
        <v>508</v>
      </c>
      <c r="M60" s="7" t="s">
        <v>53</v>
      </c>
      <c r="N60" s="176" t="s">
        <v>24</v>
      </c>
      <c r="O60" s="191" t="str">
        <f>HYPERLINK("https://leetcode.com/problems/word-break/","https://leetcode.com/problems/word-break/")</f>
        <v>https://leetcode.com/problems/word-break/</v>
      </c>
    </row>
    <row r="61" spans="1:15" ht="31.5" customHeight="1" x14ac:dyDescent="0.2">
      <c r="A61" s="139">
        <v>56</v>
      </c>
      <c r="B61" s="139">
        <v>140</v>
      </c>
      <c r="C61" s="275" t="s">
        <v>674</v>
      </c>
      <c r="D61" s="139" t="s">
        <v>4585</v>
      </c>
      <c r="E61" s="142" t="s">
        <v>42</v>
      </c>
      <c r="F61" s="141" t="s">
        <v>675</v>
      </c>
      <c r="G61" s="141" t="s">
        <v>4345</v>
      </c>
      <c r="H61" s="139">
        <f>IFERROR(VLOOKUP(B61,'📊 Problem Tracker'!$B$4:$F$1200,5,FALSE()),"")</f>
        <v>0</v>
      </c>
      <c r="I61" s="139"/>
      <c r="J61" s="139"/>
      <c r="K61" s="141"/>
      <c r="L61" s="276" t="s">
        <v>508</v>
      </c>
      <c r="M61" s="139" t="s">
        <v>676</v>
      </c>
      <c r="N61" s="183" t="s">
        <v>676</v>
      </c>
      <c r="O61" s="196" t="str">
        <f>HYPERLINK("https://leetcode.com/problems/word-break-ii/","https://leetcode.com/problems/word-break-ii/")</f>
        <v>https://leetcode.com/problems/word-break-ii/</v>
      </c>
    </row>
    <row r="62" spans="1:15" ht="31.5" customHeight="1" x14ac:dyDescent="0.2">
      <c r="A62" s="7">
        <v>57</v>
      </c>
      <c r="B62" s="7">
        <v>146</v>
      </c>
      <c r="C62" s="231" t="s">
        <v>692</v>
      </c>
      <c r="D62" s="7" t="s">
        <v>4510</v>
      </c>
      <c r="E62" s="18" t="s">
        <v>28</v>
      </c>
      <c r="F62" s="3" t="s">
        <v>693</v>
      </c>
      <c r="G62" s="3" t="s">
        <v>4557</v>
      </c>
      <c r="H62" s="7">
        <f>IFERROR(VLOOKUP(B62,'📊 Problem Tracker'!$B$4:$F$1200,5,FALSE()),"")</f>
        <v>0</v>
      </c>
      <c r="I62" s="7"/>
      <c r="J62" s="7"/>
      <c r="K62" s="3"/>
      <c r="L62" s="228" t="s">
        <v>695</v>
      </c>
      <c r="M62" s="7" t="s">
        <v>696</v>
      </c>
      <c r="N62" s="176" t="s">
        <v>697</v>
      </c>
      <c r="O62" s="191" t="str">
        <f>HYPERLINK("https://leetcode.com/problems/lru-cache/","https://leetcode.com/problems/lru-cache/")</f>
        <v>https://leetcode.com/problems/lru-cache/</v>
      </c>
    </row>
    <row r="63" spans="1:15" ht="31.5" customHeight="1" x14ac:dyDescent="0.2">
      <c r="A63" s="139">
        <v>58</v>
      </c>
      <c r="B63" s="139">
        <v>153</v>
      </c>
      <c r="C63" s="275" t="s">
        <v>720</v>
      </c>
      <c r="D63" s="139" t="s">
        <v>4566</v>
      </c>
      <c r="E63" s="140" t="s">
        <v>28</v>
      </c>
      <c r="F63" s="141" t="s">
        <v>41</v>
      </c>
      <c r="G63" s="141" t="s">
        <v>512</v>
      </c>
      <c r="H63" s="139">
        <f>IFERROR(VLOOKUP(B63,'📊 Problem Tracker'!$B$4:$F$1200,5,FALSE()),"")</f>
        <v>0</v>
      </c>
      <c r="I63" s="139"/>
      <c r="J63" s="139"/>
      <c r="K63" s="141"/>
      <c r="L63" s="276" t="s">
        <v>722</v>
      </c>
      <c r="M63" s="139" t="s">
        <v>65</v>
      </c>
      <c r="N63" s="183" t="s">
        <v>47</v>
      </c>
      <c r="O63" s="196" t="str">
        <f>HYPERLINK("https://leetcode.com/problems/find-minimum-in-rotated-sorted-array/","https://leetcode.com/problems/find-minimum-in-rotated-sorted-array/")</f>
        <v>https://leetcode.com/problems/find-minimum-in-rotated-sorted-array/</v>
      </c>
    </row>
    <row r="64" spans="1:15" ht="31.5" customHeight="1" x14ac:dyDescent="0.2">
      <c r="A64" s="7">
        <v>59</v>
      </c>
      <c r="B64" s="7">
        <v>155</v>
      </c>
      <c r="C64" s="231" t="s">
        <v>728</v>
      </c>
      <c r="D64" s="7" t="s">
        <v>4567</v>
      </c>
      <c r="E64" s="18" t="s">
        <v>28</v>
      </c>
      <c r="F64" s="3" t="s">
        <v>729</v>
      </c>
      <c r="G64" s="3" t="s">
        <v>4568</v>
      </c>
      <c r="H64" s="7">
        <f>IFERROR(VLOOKUP(B64,'📊 Problem Tracker'!$B$4:$F$1200,5,FALSE()),"")</f>
        <v>0</v>
      </c>
      <c r="I64" s="7"/>
      <c r="J64" s="7"/>
      <c r="K64" s="3"/>
      <c r="L64" s="228" t="s">
        <v>731</v>
      </c>
      <c r="M64" s="7" t="s">
        <v>732</v>
      </c>
      <c r="N64" s="176" t="s">
        <v>24</v>
      </c>
      <c r="O64" s="191" t="str">
        <f>HYPERLINK("https://leetcode.com/problems/min-stack/","https://leetcode.com/problems/min-stack/")</f>
        <v>https://leetcode.com/problems/min-stack/</v>
      </c>
    </row>
    <row r="65" spans="1:15" ht="31.5" customHeight="1" x14ac:dyDescent="0.2">
      <c r="A65" s="139">
        <v>60</v>
      </c>
      <c r="B65" s="139">
        <v>161</v>
      </c>
      <c r="C65" s="275" t="s">
        <v>747</v>
      </c>
      <c r="D65" s="139" t="s">
        <v>4739</v>
      </c>
      <c r="E65" s="140" t="s">
        <v>28</v>
      </c>
      <c r="F65" s="141" t="s">
        <v>98</v>
      </c>
      <c r="G65" s="141" t="s">
        <v>98</v>
      </c>
      <c r="H65" s="139">
        <f>IFERROR(VLOOKUP(B65,'📊 Problem Tracker'!$B$4:$F$1200,5,FALSE()),"")</f>
        <v>0</v>
      </c>
      <c r="I65" s="139"/>
      <c r="J65" s="139"/>
      <c r="K65" s="141"/>
      <c r="L65" s="276" t="s">
        <v>750</v>
      </c>
      <c r="M65" s="139" t="s">
        <v>24</v>
      </c>
      <c r="N65" s="183" t="s">
        <v>24</v>
      </c>
      <c r="O65" s="196" t="str">
        <f>HYPERLINK("https://leetcode.com/problems/one-edit-distance/","https://leetcode.com/problems/one-edit-distance/")</f>
        <v>https://leetcode.com/problems/one-edit-distance/</v>
      </c>
    </row>
    <row r="66" spans="1:15" ht="31.5" customHeight="1" x14ac:dyDescent="0.2">
      <c r="A66" s="7">
        <v>61</v>
      </c>
      <c r="B66" s="7">
        <v>162</v>
      </c>
      <c r="C66" s="231" t="s">
        <v>752</v>
      </c>
      <c r="D66" s="7" t="s">
        <v>4569</v>
      </c>
      <c r="E66" s="18" t="s">
        <v>28</v>
      </c>
      <c r="F66" s="3" t="s">
        <v>41</v>
      </c>
      <c r="G66" s="3" t="s">
        <v>512</v>
      </c>
      <c r="H66" s="7">
        <f>IFERROR(VLOOKUP(B66,'📊 Problem Tracker'!$B$4:$F$1200,5,FALSE()),"")</f>
        <v>0</v>
      </c>
      <c r="I66" s="7"/>
      <c r="J66" s="7"/>
      <c r="K66" s="3"/>
      <c r="L66" s="228" t="s">
        <v>513</v>
      </c>
      <c r="M66" s="7" t="s">
        <v>65</v>
      </c>
      <c r="N66" s="176" t="s">
        <v>47</v>
      </c>
      <c r="O66" s="191" t="str">
        <f>HYPERLINK("https://leetcode.com/problems/find-peak-element/","https://leetcode.com/problems/find-peak-element/")</f>
        <v>https://leetcode.com/problems/find-peak-element/</v>
      </c>
    </row>
    <row r="67" spans="1:15" ht="31.5" customHeight="1" x14ac:dyDescent="0.2">
      <c r="A67" s="139">
        <v>62</v>
      </c>
      <c r="B67" s="139">
        <v>171</v>
      </c>
      <c r="C67" s="275" t="s">
        <v>778</v>
      </c>
      <c r="D67" s="139" t="s">
        <v>4708</v>
      </c>
      <c r="E67" s="143" t="s">
        <v>20</v>
      </c>
      <c r="F67" s="141" t="s">
        <v>56</v>
      </c>
      <c r="G67" s="141" t="s">
        <v>4655</v>
      </c>
      <c r="H67" s="139">
        <f>IFERROR(VLOOKUP(B67,'📊 Problem Tracker'!$B$4:$F$1200,5,FALSE()),"")</f>
        <v>0</v>
      </c>
      <c r="I67" s="139"/>
      <c r="J67" s="139"/>
      <c r="K67" s="141"/>
      <c r="L67" s="276" t="s">
        <v>230</v>
      </c>
      <c r="M67" s="139" t="s">
        <v>24</v>
      </c>
      <c r="N67" s="183" t="s">
        <v>47</v>
      </c>
      <c r="O67" s="196" t="str">
        <f>HYPERLINK("https://leetcode.com/problems/excel-sheet-column-number/","https://leetcode.com/problems/excel-sheet-column-number/")</f>
        <v>https://leetcode.com/problems/excel-sheet-column-number/</v>
      </c>
    </row>
    <row r="68" spans="1:15" ht="31.5" customHeight="1" x14ac:dyDescent="0.2">
      <c r="A68" s="7">
        <v>63</v>
      </c>
      <c r="B68" s="7">
        <v>174</v>
      </c>
      <c r="C68" s="231" t="s">
        <v>790</v>
      </c>
      <c r="D68" s="7" t="s">
        <v>4901</v>
      </c>
      <c r="E68" s="20" t="s">
        <v>42</v>
      </c>
      <c r="F68" s="3" t="s">
        <v>309</v>
      </c>
      <c r="G68" s="3" t="s">
        <v>1042</v>
      </c>
      <c r="H68" s="7">
        <f>IFERROR(VLOOKUP(B68,'📊 Problem Tracker'!$B$4:$F$1200,5,FALSE()),"")</f>
        <v>0</v>
      </c>
      <c r="I68" s="7"/>
      <c r="J68" s="7"/>
      <c r="K68" s="3"/>
      <c r="L68" s="228" t="s">
        <v>508</v>
      </c>
      <c r="M68" s="7" t="s">
        <v>363</v>
      </c>
      <c r="N68" s="176" t="s">
        <v>363</v>
      </c>
      <c r="O68" s="191" t="str">
        <f>HYPERLINK("https://leetcode.com/problems/dungeon-game/","https://leetcode.com/problems/dungeon-game/")</f>
        <v>https://leetcode.com/problems/dungeon-game/</v>
      </c>
    </row>
    <row r="69" spans="1:15" ht="31.5" customHeight="1" x14ac:dyDescent="0.2">
      <c r="A69" s="139">
        <v>64</v>
      </c>
      <c r="B69" s="139">
        <v>186</v>
      </c>
      <c r="C69" s="275" t="s">
        <v>843</v>
      </c>
      <c r="D69" s="139" t="s">
        <v>4487</v>
      </c>
      <c r="E69" s="140" t="s">
        <v>28</v>
      </c>
      <c r="F69" s="141" t="s">
        <v>611</v>
      </c>
      <c r="G69" s="141" t="s">
        <v>689</v>
      </c>
      <c r="H69" s="139">
        <f>IFERROR(VLOOKUP(B69,'📊 Problem Tracker'!$B$4:$F$1200,5,FALSE()),"")</f>
        <v>0</v>
      </c>
      <c r="I69" s="139"/>
      <c r="J69" s="139"/>
      <c r="K69" s="141"/>
      <c r="L69" s="276" t="s">
        <v>690</v>
      </c>
      <c r="M69" s="139" t="s">
        <v>24</v>
      </c>
      <c r="N69" s="183" t="s">
        <v>47</v>
      </c>
      <c r="O69" s="196" t="str">
        <f>HYPERLINK("https://leetcode.com/problems/reverse-words-in-a-string-ii/","https://leetcode.com/problems/reverse-words-in-a-string-ii/")</f>
        <v>https://leetcode.com/problems/reverse-words-in-a-string-ii/</v>
      </c>
    </row>
    <row r="70" spans="1:15" ht="31.5" customHeight="1" x14ac:dyDescent="0.2">
      <c r="A70" s="7">
        <v>65</v>
      </c>
      <c r="B70" s="7">
        <v>198</v>
      </c>
      <c r="C70" s="231" t="s">
        <v>874</v>
      </c>
      <c r="D70" s="7" t="s">
        <v>4578</v>
      </c>
      <c r="E70" s="18" t="s">
        <v>28</v>
      </c>
      <c r="F70" s="3" t="s">
        <v>309</v>
      </c>
      <c r="G70" s="3" t="s">
        <v>1042</v>
      </c>
      <c r="H70" s="7">
        <f>IFERROR(VLOOKUP(B70,'📊 Problem Tracker'!$B$4:$F$1200,5,FALSE()),"")</f>
        <v>0</v>
      </c>
      <c r="I70" s="7"/>
      <c r="J70" s="7"/>
      <c r="K70" s="3"/>
      <c r="L70" s="228" t="s">
        <v>876</v>
      </c>
      <c r="M70" s="7" t="s">
        <v>24</v>
      </c>
      <c r="N70" s="176" t="s">
        <v>47</v>
      </c>
      <c r="O70" s="191" t="str">
        <f>HYPERLINK("https://leetcode.com/problems/house-robber/","https://leetcode.com/problems/house-robber/")</f>
        <v>https://leetcode.com/problems/house-robber/</v>
      </c>
    </row>
    <row r="71" spans="1:15" ht="31.5" customHeight="1" x14ac:dyDescent="0.2">
      <c r="A71" s="139">
        <v>66</v>
      </c>
      <c r="B71" s="139">
        <v>199</v>
      </c>
      <c r="C71" s="275" t="s">
        <v>878</v>
      </c>
      <c r="D71" s="139" t="s">
        <v>4744</v>
      </c>
      <c r="E71" s="140" t="s">
        <v>28</v>
      </c>
      <c r="F71" s="141" t="s">
        <v>879</v>
      </c>
      <c r="G71" s="141" t="s">
        <v>4270</v>
      </c>
      <c r="H71" s="139">
        <f>IFERROR(VLOOKUP(B71,'📊 Problem Tracker'!$B$4:$F$1200,5,FALSE()),"")</f>
        <v>0</v>
      </c>
      <c r="I71" s="139"/>
      <c r="J71" s="139"/>
      <c r="K71" s="141"/>
      <c r="L71" s="276" t="s">
        <v>571</v>
      </c>
      <c r="M71" s="139" t="s">
        <v>24</v>
      </c>
      <c r="N71" s="183" t="s">
        <v>24</v>
      </c>
      <c r="O71" s="196" t="str">
        <f>HYPERLINK("https://leetcode.com/problems/binary-tree-right-side-view/","https://leetcode.com/problems/binary-tree-right-side-view/")</f>
        <v>https://leetcode.com/problems/binary-tree-right-side-view/</v>
      </c>
    </row>
    <row r="72" spans="1:15" ht="31.5" customHeight="1" x14ac:dyDescent="0.2">
      <c r="A72" s="7">
        <v>67</v>
      </c>
      <c r="B72" s="7">
        <v>200</v>
      </c>
      <c r="C72" s="231" t="s">
        <v>882</v>
      </c>
      <c r="D72" s="7" t="s">
        <v>4558</v>
      </c>
      <c r="E72" s="18" t="s">
        <v>28</v>
      </c>
      <c r="F72" s="3" t="s">
        <v>4159</v>
      </c>
      <c r="G72" s="3" t="s">
        <v>4579</v>
      </c>
      <c r="H72" s="7">
        <f>IFERROR(VLOOKUP(B72,'📊 Problem Tracker'!$B$4:$F$1200,5,FALSE()),"")</f>
        <v>0</v>
      </c>
      <c r="I72" s="7"/>
      <c r="J72" s="7"/>
      <c r="K72" s="3"/>
      <c r="L72" s="228" t="s">
        <v>884</v>
      </c>
      <c r="M72" s="7" t="s">
        <v>81</v>
      </c>
      <c r="N72" s="176" t="s">
        <v>81</v>
      </c>
      <c r="O72" s="191" t="str">
        <f>HYPERLINK("https://leetcode.com/problems/number-of-islands/","https://leetcode.com/problems/number-of-islands/")</f>
        <v>https://leetcode.com/problems/number-of-islands/</v>
      </c>
    </row>
    <row r="73" spans="1:15" ht="31.5" customHeight="1" x14ac:dyDescent="0.2">
      <c r="A73" s="139">
        <v>68</v>
      </c>
      <c r="B73" s="139">
        <v>202</v>
      </c>
      <c r="C73" s="275" t="s">
        <v>886</v>
      </c>
      <c r="D73" s="139" t="s">
        <v>4521</v>
      </c>
      <c r="E73" s="143" t="s">
        <v>20</v>
      </c>
      <c r="F73" s="141" t="s">
        <v>887</v>
      </c>
      <c r="G73" s="141" t="s">
        <v>4034</v>
      </c>
      <c r="H73" s="139">
        <f>IFERROR(VLOOKUP(B73,'📊 Problem Tracker'!$B$4:$F$1200,5,FALSE()),"")</f>
        <v>0</v>
      </c>
      <c r="I73" s="139"/>
      <c r="J73" s="139"/>
      <c r="K73" s="141"/>
      <c r="L73" s="276" t="s">
        <v>889</v>
      </c>
      <c r="M73" s="139" t="s">
        <v>65</v>
      </c>
      <c r="N73" s="183" t="s">
        <v>47</v>
      </c>
      <c r="O73" s="196" t="str">
        <f>HYPERLINK("https://leetcode.com/problems/happy-number/","https://leetcode.com/problems/happy-number/")</f>
        <v>https://leetcode.com/problems/happy-number/</v>
      </c>
    </row>
    <row r="74" spans="1:15" ht="31.5" customHeight="1" x14ac:dyDescent="0.2">
      <c r="A74" s="7">
        <v>69</v>
      </c>
      <c r="B74" s="7">
        <v>206</v>
      </c>
      <c r="C74" s="231" t="s">
        <v>899</v>
      </c>
      <c r="D74" s="7" t="s">
        <v>4582</v>
      </c>
      <c r="E74" s="21" t="s">
        <v>20</v>
      </c>
      <c r="F74" s="3" t="s">
        <v>127</v>
      </c>
      <c r="G74" s="3" t="s">
        <v>127</v>
      </c>
      <c r="H74" s="7">
        <f>IFERROR(VLOOKUP(B74,'📊 Problem Tracker'!$B$4:$F$1200,5,FALSE()),"")</f>
        <v>0</v>
      </c>
      <c r="I74" s="7"/>
      <c r="J74" s="7"/>
      <c r="K74" s="3"/>
      <c r="L74" s="228" t="s">
        <v>901</v>
      </c>
      <c r="M74" s="7" t="s">
        <v>24</v>
      </c>
      <c r="N74" s="176" t="s">
        <v>47</v>
      </c>
      <c r="O74" s="191" t="str">
        <f>HYPERLINK("https://leetcode.com/problems/reverse-linked-list/","https://leetcode.com/problems/reverse-linked-list/")</f>
        <v>https://leetcode.com/problems/reverse-linked-list/</v>
      </c>
    </row>
    <row r="75" spans="1:15" ht="31.5" customHeight="1" x14ac:dyDescent="0.2">
      <c r="A75" s="139">
        <v>70</v>
      </c>
      <c r="B75" s="139">
        <v>207</v>
      </c>
      <c r="C75" s="275" t="s">
        <v>903</v>
      </c>
      <c r="D75" s="139" t="s">
        <v>4583</v>
      </c>
      <c r="E75" s="140" t="s">
        <v>28</v>
      </c>
      <c r="F75" s="141" t="s">
        <v>4156</v>
      </c>
      <c r="G75" s="141" t="s">
        <v>4282</v>
      </c>
      <c r="H75" s="139">
        <f>IFERROR(VLOOKUP(B75,'📊 Problem Tracker'!$B$4:$F$1200,5,FALSE()),"")</f>
        <v>0</v>
      </c>
      <c r="I75" s="139"/>
      <c r="J75" s="139"/>
      <c r="K75" s="141"/>
      <c r="L75" s="276" t="s">
        <v>906</v>
      </c>
      <c r="M75" s="139" t="s">
        <v>648</v>
      </c>
      <c r="N75" s="183" t="s">
        <v>648</v>
      </c>
      <c r="O75" s="196" t="str">
        <f>HYPERLINK("https://leetcode.com/problems/course-schedule/","https://leetcode.com/problems/course-schedule/")</f>
        <v>https://leetcode.com/problems/course-schedule/</v>
      </c>
    </row>
    <row r="76" spans="1:15" ht="31.5" customHeight="1" x14ac:dyDescent="0.2">
      <c r="A76" s="7">
        <v>71</v>
      </c>
      <c r="B76" s="7">
        <v>208</v>
      </c>
      <c r="C76" s="231" t="s">
        <v>908</v>
      </c>
      <c r="D76" s="7" t="s">
        <v>4456</v>
      </c>
      <c r="E76" s="18" t="s">
        <v>28</v>
      </c>
      <c r="F76" s="3" t="s">
        <v>909</v>
      </c>
      <c r="G76" s="3" t="s">
        <v>925</v>
      </c>
      <c r="H76" s="7">
        <f>IFERROR(VLOOKUP(B76,'📊 Problem Tracker'!$B$4:$F$1200,5,FALSE()),"")</f>
        <v>0</v>
      </c>
      <c r="I76" s="7"/>
      <c r="J76" s="7"/>
      <c r="K76" s="3"/>
      <c r="L76" s="228" t="s">
        <v>911</v>
      </c>
      <c r="M76" s="7" t="s">
        <v>912</v>
      </c>
      <c r="N76" s="176" t="s">
        <v>913</v>
      </c>
      <c r="O76" s="191" t="str">
        <f>HYPERLINK("https://leetcode.com/problems/implement-trie-prefix-tree/","https://leetcode.com/problems/implement-trie-prefix-tree/")</f>
        <v>https://leetcode.com/problems/implement-trie-prefix-tree/</v>
      </c>
    </row>
    <row r="77" spans="1:15" ht="31.5" customHeight="1" x14ac:dyDescent="0.2">
      <c r="A77" s="139">
        <v>72</v>
      </c>
      <c r="B77" s="139">
        <v>210</v>
      </c>
      <c r="C77" s="275" t="s">
        <v>921</v>
      </c>
      <c r="D77" s="139" t="s">
        <v>4585</v>
      </c>
      <c r="E77" s="140" t="s">
        <v>28</v>
      </c>
      <c r="F77" s="141" t="s">
        <v>1167</v>
      </c>
      <c r="G77" s="141" t="s">
        <v>4282</v>
      </c>
      <c r="H77" s="139">
        <f>IFERROR(VLOOKUP(B77,'📊 Problem Tracker'!$B$4:$F$1200,5,FALSE()),"")</f>
        <v>0</v>
      </c>
      <c r="I77" s="139"/>
      <c r="J77" s="139"/>
      <c r="K77" s="141"/>
      <c r="L77" s="276" t="s">
        <v>619</v>
      </c>
      <c r="M77" s="139" t="s">
        <v>648</v>
      </c>
      <c r="N77" s="183" t="s">
        <v>648</v>
      </c>
      <c r="O77" s="196" t="str">
        <f>HYPERLINK("https://leetcode.com/problems/course-schedule-ii/","https://leetcode.com/problems/course-schedule-ii/")</f>
        <v>https://leetcode.com/problems/course-schedule-ii/</v>
      </c>
    </row>
    <row r="78" spans="1:15" ht="31.5" customHeight="1" x14ac:dyDescent="0.2">
      <c r="A78" s="7">
        <v>73</v>
      </c>
      <c r="B78" s="7">
        <v>212</v>
      </c>
      <c r="C78" s="231" t="s">
        <v>930</v>
      </c>
      <c r="D78" s="7" t="s">
        <v>4586</v>
      </c>
      <c r="E78" s="20" t="s">
        <v>42</v>
      </c>
      <c r="F78" s="3" t="s">
        <v>4227</v>
      </c>
      <c r="G78" s="3" t="s">
        <v>4587</v>
      </c>
      <c r="H78" s="7">
        <f>IFERROR(VLOOKUP(B78,'📊 Problem Tracker'!$B$4:$F$1200,5,FALSE()),"")</f>
        <v>0</v>
      </c>
      <c r="I78" s="7"/>
      <c r="J78" s="7"/>
      <c r="K78" s="3"/>
      <c r="L78" s="228" t="s">
        <v>302</v>
      </c>
      <c r="M78" s="7" t="s">
        <v>446</v>
      </c>
      <c r="N78" s="176" t="s">
        <v>913</v>
      </c>
      <c r="O78" s="191" t="str">
        <f>HYPERLINK("https://leetcode.com/problems/word-search-ii/","https://leetcode.com/problems/word-search-ii/")</f>
        <v>https://leetcode.com/problems/word-search-ii/</v>
      </c>
    </row>
    <row r="79" spans="1:15" ht="31.5" customHeight="1" x14ac:dyDescent="0.2">
      <c r="A79" s="139">
        <v>74</v>
      </c>
      <c r="B79" s="139">
        <v>213</v>
      </c>
      <c r="C79" s="275" t="s">
        <v>934</v>
      </c>
      <c r="D79" s="139" t="s">
        <v>4574</v>
      </c>
      <c r="E79" s="140" t="s">
        <v>28</v>
      </c>
      <c r="F79" s="141" t="s">
        <v>309</v>
      </c>
      <c r="G79" s="141" t="s">
        <v>1042</v>
      </c>
      <c r="H79" s="139">
        <f>IFERROR(VLOOKUP(B79,'📊 Problem Tracker'!$B$4:$F$1200,5,FALSE()),"")</f>
        <v>0</v>
      </c>
      <c r="I79" s="139"/>
      <c r="J79" s="139"/>
      <c r="K79" s="141"/>
      <c r="L79" s="276" t="s">
        <v>508</v>
      </c>
      <c r="M79" s="139" t="s">
        <v>24</v>
      </c>
      <c r="N79" s="183" t="s">
        <v>24</v>
      </c>
      <c r="O79" s="196" t="str">
        <f>HYPERLINK("https://leetcode.com/problems/house-robber-ii/","https://leetcode.com/problems/house-robber-ii/")</f>
        <v>https://leetcode.com/problems/house-robber-ii/</v>
      </c>
    </row>
    <row r="80" spans="1:15" ht="31.5" customHeight="1" x14ac:dyDescent="0.2">
      <c r="A80" s="7">
        <v>75</v>
      </c>
      <c r="B80" s="7">
        <v>214</v>
      </c>
      <c r="C80" s="231" t="s">
        <v>937</v>
      </c>
      <c r="D80" s="7" t="s">
        <v>4588</v>
      </c>
      <c r="E80" s="20" t="s">
        <v>42</v>
      </c>
      <c r="F80" s="3" t="s">
        <v>938</v>
      </c>
      <c r="G80" s="3" t="s">
        <v>4589</v>
      </c>
      <c r="H80" s="7">
        <f>IFERROR(VLOOKUP(B80,'📊 Problem Tracker'!$B$4:$F$1200,5,FALSE()),"")</f>
        <v>0</v>
      </c>
      <c r="I80" s="7"/>
      <c r="J80" s="7"/>
      <c r="K80" s="3"/>
      <c r="L80" s="228" t="s">
        <v>750</v>
      </c>
      <c r="M80" s="7" t="s">
        <v>24</v>
      </c>
      <c r="N80" s="176" t="s">
        <v>24</v>
      </c>
      <c r="O80" s="191" t="str">
        <f>HYPERLINK("https://leetcode.com/problems/shortest-palindrome/","https://leetcode.com/problems/shortest-palindrome/")</f>
        <v>https://leetcode.com/problems/shortest-palindrome/</v>
      </c>
    </row>
    <row r="81" spans="1:15" ht="31.5" customHeight="1" x14ac:dyDescent="0.2">
      <c r="A81" s="139">
        <v>76</v>
      </c>
      <c r="B81" s="139">
        <v>215</v>
      </c>
      <c r="C81" s="275" t="s">
        <v>940</v>
      </c>
      <c r="D81" s="139" t="s">
        <v>4590</v>
      </c>
      <c r="E81" s="140" t="s">
        <v>28</v>
      </c>
      <c r="F81" s="141" t="s">
        <v>4286</v>
      </c>
      <c r="G81" s="141" t="s">
        <v>4591</v>
      </c>
      <c r="H81" s="139">
        <f>IFERROR(VLOOKUP(B81,'📊 Problem Tracker'!$B$4:$F$1200,5,FALSE()),"")</f>
        <v>0</v>
      </c>
      <c r="I81" s="139"/>
      <c r="J81" s="139"/>
      <c r="K81" s="141"/>
      <c r="L81" s="276" t="s">
        <v>943</v>
      </c>
      <c r="M81" s="139" t="s">
        <v>944</v>
      </c>
      <c r="N81" s="183" t="s">
        <v>945</v>
      </c>
      <c r="O81" s="196" t="str">
        <f>HYPERLINK("https://leetcode.com/problems/kth-largest-element-in-an-array/","https://leetcode.com/problems/kth-largest-element-in-an-array/")</f>
        <v>https://leetcode.com/problems/kth-largest-element-in-an-array/</v>
      </c>
    </row>
    <row r="82" spans="1:15" ht="31.5" customHeight="1" x14ac:dyDescent="0.2">
      <c r="A82" s="7">
        <v>77</v>
      </c>
      <c r="B82" s="7">
        <v>218</v>
      </c>
      <c r="C82" s="231" t="s">
        <v>956</v>
      </c>
      <c r="D82" s="7" t="s">
        <v>4547</v>
      </c>
      <c r="E82" s="20" t="s">
        <v>42</v>
      </c>
      <c r="F82" s="3" t="s">
        <v>941</v>
      </c>
      <c r="G82" s="3" t="s">
        <v>4593</v>
      </c>
      <c r="H82" s="7">
        <f>IFERROR(VLOOKUP(B82,'📊 Problem Tracker'!$B$4:$F$1200,5,FALSE()),"")</f>
        <v>0</v>
      </c>
      <c r="I82" s="7"/>
      <c r="J82" s="7"/>
      <c r="K82" s="3"/>
      <c r="L82" s="228" t="s">
        <v>959</v>
      </c>
      <c r="M82" s="7" t="s">
        <v>960</v>
      </c>
      <c r="N82" s="176" t="s">
        <v>153</v>
      </c>
      <c r="O82" s="191" t="str">
        <f>HYPERLINK("https://leetcode.com/problems/the-skyline-problem/","https://leetcode.com/problems/the-skyline-problem/")</f>
        <v>https://leetcode.com/problems/the-skyline-problem/</v>
      </c>
    </row>
    <row r="83" spans="1:15" ht="31.5" customHeight="1" x14ac:dyDescent="0.2">
      <c r="A83" s="139">
        <v>78</v>
      </c>
      <c r="B83" s="139">
        <v>224</v>
      </c>
      <c r="C83" s="275" t="s">
        <v>970</v>
      </c>
      <c r="D83" s="139" t="s">
        <v>4596</v>
      </c>
      <c r="E83" s="142" t="s">
        <v>42</v>
      </c>
      <c r="F83" s="141" t="s">
        <v>971</v>
      </c>
      <c r="G83" s="141" t="s">
        <v>540</v>
      </c>
      <c r="H83" s="139">
        <f>IFERROR(VLOOKUP(B83,'📊 Problem Tracker'!$B$4:$F$1200,5,FALSE()),"")</f>
        <v>0</v>
      </c>
      <c r="I83" s="139"/>
      <c r="J83" s="139"/>
      <c r="K83" s="141"/>
      <c r="L83" s="276" t="s">
        <v>542</v>
      </c>
      <c r="M83" s="139" t="s">
        <v>24</v>
      </c>
      <c r="N83" s="183" t="s">
        <v>24</v>
      </c>
      <c r="O83" s="196" t="str">
        <f>HYPERLINK("https://leetcode.com/problems/basic-calculator/","https://leetcode.com/problems/basic-calculator/")</f>
        <v>https://leetcode.com/problems/basic-calculator/</v>
      </c>
    </row>
    <row r="84" spans="1:15" ht="31.5" customHeight="1" x14ac:dyDescent="0.2">
      <c r="A84" s="7">
        <v>79</v>
      </c>
      <c r="B84" s="7">
        <v>227</v>
      </c>
      <c r="C84" s="231" t="s">
        <v>980</v>
      </c>
      <c r="D84" s="7" t="s">
        <v>4596</v>
      </c>
      <c r="E84" s="18" t="s">
        <v>28</v>
      </c>
      <c r="F84" s="3" t="s">
        <v>971</v>
      </c>
      <c r="G84" s="3" t="s">
        <v>540</v>
      </c>
      <c r="H84" s="7">
        <f>IFERROR(VLOOKUP(B84,'📊 Problem Tracker'!$B$4:$F$1200,5,FALSE()),"")</f>
        <v>0</v>
      </c>
      <c r="I84" s="7"/>
      <c r="J84" s="7"/>
      <c r="K84" s="3"/>
      <c r="L84" s="228" t="s">
        <v>542</v>
      </c>
      <c r="M84" s="7" t="s">
        <v>24</v>
      </c>
      <c r="N84" s="176" t="s">
        <v>24</v>
      </c>
      <c r="O84" s="191" t="str">
        <f>HYPERLINK("https://leetcode.com/problems/basic-calculator-ii/","https://leetcode.com/problems/basic-calculator-ii/")</f>
        <v>https://leetcode.com/problems/basic-calculator-ii/</v>
      </c>
    </row>
    <row r="85" spans="1:15" ht="31.5" customHeight="1" x14ac:dyDescent="0.2">
      <c r="A85" s="139">
        <v>80</v>
      </c>
      <c r="B85" s="139">
        <v>230</v>
      </c>
      <c r="C85" s="275" t="s">
        <v>989</v>
      </c>
      <c r="D85" s="139" t="s">
        <v>4576</v>
      </c>
      <c r="E85" s="140" t="s">
        <v>28</v>
      </c>
      <c r="F85" s="141" t="s">
        <v>518</v>
      </c>
      <c r="G85" s="141" t="s">
        <v>4287</v>
      </c>
      <c r="H85" s="139">
        <f>IFERROR(VLOOKUP(B85,'📊 Problem Tracker'!$B$4:$F$1200,5,FALSE()),"")</f>
        <v>0</v>
      </c>
      <c r="I85" s="139"/>
      <c r="J85" s="139"/>
      <c r="K85" s="141"/>
      <c r="L85" s="276" t="s">
        <v>571</v>
      </c>
      <c r="M85" s="139" t="s">
        <v>991</v>
      </c>
      <c r="N85" s="183" t="s">
        <v>503</v>
      </c>
      <c r="O85" s="196" t="str">
        <f>HYPERLINK("https://leetcode.com/problems/kth-smallest-element-in-a-bst/","https://leetcode.com/problems/kth-smallest-element-in-a-bst/")</f>
        <v>https://leetcode.com/problems/kth-smallest-element-in-a-bst/</v>
      </c>
    </row>
    <row r="86" spans="1:15" ht="31.5" customHeight="1" x14ac:dyDescent="0.2">
      <c r="A86" s="7">
        <v>81</v>
      </c>
      <c r="B86" s="7">
        <v>238</v>
      </c>
      <c r="C86" s="231" t="s">
        <v>1008</v>
      </c>
      <c r="D86" s="7" t="s">
        <v>4590</v>
      </c>
      <c r="E86" s="18" t="s">
        <v>28</v>
      </c>
      <c r="F86" s="3" t="s">
        <v>1009</v>
      </c>
      <c r="G86" s="3" t="s">
        <v>4316</v>
      </c>
      <c r="H86" s="7">
        <f>IFERROR(VLOOKUP(B86,'📊 Problem Tracker'!$B$4:$F$1200,5,FALSE()),"")</f>
        <v>0</v>
      </c>
      <c r="I86" s="7"/>
      <c r="J86" s="7"/>
      <c r="K86" s="3"/>
      <c r="L86" s="228" t="s">
        <v>1011</v>
      </c>
      <c r="M86" s="7" t="s">
        <v>24</v>
      </c>
      <c r="N86" s="176" t="s">
        <v>1012</v>
      </c>
      <c r="O86" s="191" t="str">
        <f>HYPERLINK("https://leetcode.com/problems/product-of-array-except-self/","https://leetcode.com/problems/product-of-array-except-self/")</f>
        <v>https://leetcode.com/problems/product-of-array-except-self/</v>
      </c>
    </row>
    <row r="87" spans="1:15" ht="31.5" customHeight="1" x14ac:dyDescent="0.2">
      <c r="A87" s="139">
        <v>82</v>
      </c>
      <c r="B87" s="139">
        <v>239</v>
      </c>
      <c r="C87" s="275" t="s">
        <v>1014</v>
      </c>
      <c r="D87" s="139" t="s">
        <v>4605</v>
      </c>
      <c r="E87" s="142" t="s">
        <v>42</v>
      </c>
      <c r="F87" s="141" t="s">
        <v>1015</v>
      </c>
      <c r="G87" s="141" t="s">
        <v>1016</v>
      </c>
      <c r="H87" s="139">
        <f>IFERROR(VLOOKUP(B87,'📊 Problem Tracker'!$B$4:$F$1200,5,FALSE()),"")</f>
        <v>0</v>
      </c>
      <c r="I87" s="139"/>
      <c r="J87" s="139"/>
      <c r="K87" s="141"/>
      <c r="L87" s="276" t="s">
        <v>1017</v>
      </c>
      <c r="M87" s="139" t="s">
        <v>24</v>
      </c>
      <c r="N87" s="183" t="s">
        <v>153</v>
      </c>
      <c r="O87" s="196" t="str">
        <f>HYPERLINK("https://leetcode.com/problems/sliding-window-maximum/","https://leetcode.com/problems/sliding-window-maximum/")</f>
        <v>https://leetcode.com/problems/sliding-window-maximum/</v>
      </c>
    </row>
    <row r="88" spans="1:15" ht="31.5" customHeight="1" x14ac:dyDescent="0.2">
      <c r="A88" s="7">
        <v>83</v>
      </c>
      <c r="B88" s="7">
        <v>240</v>
      </c>
      <c r="C88" s="231" t="s">
        <v>1019</v>
      </c>
      <c r="D88" s="7" t="s">
        <v>4606</v>
      </c>
      <c r="E88" s="18" t="s">
        <v>28</v>
      </c>
      <c r="F88" s="3" t="s">
        <v>416</v>
      </c>
      <c r="G88" s="3" t="s">
        <v>512</v>
      </c>
      <c r="H88" s="7">
        <f>IFERROR(VLOOKUP(B88,'📊 Problem Tracker'!$B$4:$F$1200,5,FALSE()),"")</f>
        <v>0</v>
      </c>
      <c r="I88" s="7"/>
      <c r="J88" s="7"/>
      <c r="K88" s="3"/>
      <c r="L88" s="228" t="s">
        <v>513</v>
      </c>
      <c r="M88" s="7" t="s">
        <v>259</v>
      </c>
      <c r="N88" s="176" t="s">
        <v>47</v>
      </c>
      <c r="O88" s="191" t="str">
        <f>HYPERLINK("https://leetcode.com/problems/search-a-2d-matrix-ii/","https://leetcode.com/problems/search-a-2d-matrix-ii/")</f>
        <v>https://leetcode.com/problems/search-a-2d-matrix-ii/</v>
      </c>
    </row>
    <row r="89" spans="1:15" ht="31.5" customHeight="1" x14ac:dyDescent="0.2">
      <c r="A89" s="139">
        <v>84</v>
      </c>
      <c r="B89" s="139">
        <v>242</v>
      </c>
      <c r="C89" s="275" t="s">
        <v>1022</v>
      </c>
      <c r="D89" s="139" t="s">
        <v>4607</v>
      </c>
      <c r="E89" s="143" t="s">
        <v>20</v>
      </c>
      <c r="F89" s="141" t="s">
        <v>897</v>
      </c>
      <c r="G89" s="141" t="s">
        <v>4244</v>
      </c>
      <c r="H89" s="139">
        <f>IFERROR(VLOOKUP(B89,'📊 Problem Tracker'!$B$4:$F$1200,5,FALSE()),"")</f>
        <v>0</v>
      </c>
      <c r="I89" s="139"/>
      <c r="J89" s="139"/>
      <c r="K89" s="141"/>
      <c r="L89" s="276" t="s">
        <v>1024</v>
      </c>
      <c r="M89" s="139" t="s">
        <v>24</v>
      </c>
      <c r="N89" s="183" t="s">
        <v>47</v>
      </c>
      <c r="O89" s="196" t="str">
        <f>HYPERLINK("https://leetcode.com/problems/valid-anagram/","https://leetcode.com/problems/valid-anagram/")</f>
        <v>https://leetcode.com/problems/valid-anagram/</v>
      </c>
    </row>
    <row r="90" spans="1:15" ht="31.5" customHeight="1" x14ac:dyDescent="0.2">
      <c r="A90" s="7">
        <v>85</v>
      </c>
      <c r="B90" s="7">
        <v>249</v>
      </c>
      <c r="C90" s="231" t="s">
        <v>1030</v>
      </c>
      <c r="D90" s="7" t="s">
        <v>4608</v>
      </c>
      <c r="E90" s="18" t="s">
        <v>28</v>
      </c>
      <c r="F90" s="3" t="s">
        <v>897</v>
      </c>
      <c r="G90" s="3" t="s">
        <v>4244</v>
      </c>
      <c r="H90" s="7">
        <f>IFERROR(VLOOKUP(B90,'📊 Problem Tracker'!$B$4:$F$1200,5,FALSE()),"")</f>
        <v>0</v>
      </c>
      <c r="I90" s="7"/>
      <c r="J90" s="7"/>
      <c r="K90" s="3"/>
      <c r="L90" s="228" t="s">
        <v>705</v>
      </c>
      <c r="M90" s="7" t="s">
        <v>24</v>
      </c>
      <c r="N90" s="176" t="s">
        <v>24</v>
      </c>
      <c r="O90" s="191" t="str">
        <f>HYPERLINK("https://leetcode.com/problems/group-shifted-strings/","https://leetcode.com/problems/group-shifted-strings/")</f>
        <v>https://leetcode.com/problems/group-shifted-strings/</v>
      </c>
    </row>
    <row r="91" spans="1:15" ht="31.5" customHeight="1" x14ac:dyDescent="0.2">
      <c r="A91" s="139">
        <v>86</v>
      </c>
      <c r="B91" s="139">
        <v>252</v>
      </c>
      <c r="C91" s="275" t="s">
        <v>1033</v>
      </c>
      <c r="D91" s="139" t="s">
        <v>4474</v>
      </c>
      <c r="E91" s="143" t="s">
        <v>20</v>
      </c>
      <c r="F91" s="141" t="s">
        <v>4172</v>
      </c>
      <c r="G91" s="141" t="s">
        <v>4748</v>
      </c>
      <c r="H91" s="139">
        <f>IFERROR(VLOOKUP(B91,'📊 Problem Tracker'!$B$4:$F$1200,5,FALSE()),"")</f>
        <v>0</v>
      </c>
      <c r="I91" s="139"/>
      <c r="J91" s="139"/>
      <c r="K91" s="141"/>
      <c r="L91" s="276" t="s">
        <v>1077</v>
      </c>
      <c r="M91" s="139" t="s">
        <v>326</v>
      </c>
      <c r="N91" s="183" t="s">
        <v>24</v>
      </c>
      <c r="O91" s="196" t="str">
        <f>HYPERLINK("https://leetcode.com/problems/meeting-rooms/","https://leetcode.com/problems/meeting-rooms/")</f>
        <v>https://leetcode.com/problems/meeting-rooms/</v>
      </c>
    </row>
    <row r="92" spans="1:15" ht="31.5" customHeight="1" x14ac:dyDescent="0.2">
      <c r="A92" s="7">
        <v>87</v>
      </c>
      <c r="B92" s="7">
        <v>253</v>
      </c>
      <c r="C92" s="231" t="s">
        <v>1036</v>
      </c>
      <c r="D92" s="7" t="s">
        <v>4609</v>
      </c>
      <c r="E92" s="18" t="s">
        <v>28</v>
      </c>
      <c r="F92" s="3" t="s">
        <v>4174</v>
      </c>
      <c r="G92" s="3" t="s">
        <v>4353</v>
      </c>
      <c r="H92" s="7">
        <f>IFERROR(VLOOKUP(B92,'📊 Problem Tracker'!$B$4:$F$1200,5,FALSE()),"")</f>
        <v>0</v>
      </c>
      <c r="I92" s="7"/>
      <c r="J92" s="7"/>
      <c r="K92" s="3"/>
      <c r="L92" s="228" t="s">
        <v>959</v>
      </c>
      <c r="M92" s="7" t="s">
        <v>960</v>
      </c>
      <c r="N92" s="176" t="s">
        <v>153</v>
      </c>
      <c r="O92" s="191" t="str">
        <f>HYPERLINK("https://leetcode.com/problems/meeting-rooms-ii/","https://leetcode.com/problems/meeting-rooms-ii/")</f>
        <v>https://leetcode.com/problems/meeting-rooms-ii/</v>
      </c>
    </row>
    <row r="93" spans="1:15" ht="31.5" customHeight="1" x14ac:dyDescent="0.2">
      <c r="A93" s="139">
        <v>88</v>
      </c>
      <c r="B93" s="139">
        <v>254</v>
      </c>
      <c r="C93" s="275" t="s">
        <v>1039</v>
      </c>
      <c r="D93" s="139" t="s">
        <v>4902</v>
      </c>
      <c r="E93" s="140" t="s">
        <v>28</v>
      </c>
      <c r="F93" s="141" t="s">
        <v>344</v>
      </c>
      <c r="G93" s="141" t="s">
        <v>300</v>
      </c>
      <c r="H93" s="139">
        <f>IFERROR(VLOOKUP(B93,'📊 Problem Tracker'!$B$4:$F$1200,5,FALSE()),"")</f>
        <v>0</v>
      </c>
      <c r="I93" s="139"/>
      <c r="J93" s="139"/>
      <c r="K93" s="141"/>
      <c r="L93" s="276" t="s">
        <v>302</v>
      </c>
      <c r="M93" s="139" t="s">
        <v>231</v>
      </c>
      <c r="N93" s="183" t="s">
        <v>24</v>
      </c>
      <c r="O93" s="196" t="str">
        <f>HYPERLINK("https://leetcode.com/problems/factor-combinations/","https://leetcode.com/problems/factor-combinations/")</f>
        <v>https://leetcode.com/problems/factor-combinations/</v>
      </c>
    </row>
    <row r="94" spans="1:15" ht="31.5" customHeight="1" x14ac:dyDescent="0.2">
      <c r="A94" s="7">
        <v>89</v>
      </c>
      <c r="B94" s="7">
        <v>258</v>
      </c>
      <c r="C94" s="231" t="s">
        <v>1047</v>
      </c>
      <c r="D94" s="7" t="s">
        <v>4590</v>
      </c>
      <c r="E94" s="21" t="s">
        <v>20</v>
      </c>
      <c r="F94" s="3" t="s">
        <v>62</v>
      </c>
      <c r="G94" s="3" t="s">
        <v>62</v>
      </c>
      <c r="H94" s="7">
        <f>IFERROR(VLOOKUP(B94,'📊 Problem Tracker'!$B$4:$F$1200,5,FALSE()),"")</f>
        <v>0</v>
      </c>
      <c r="I94" s="7"/>
      <c r="J94" s="7"/>
      <c r="K94" s="3"/>
      <c r="L94" s="228" t="s">
        <v>230</v>
      </c>
      <c r="M94" s="7" t="s">
        <v>47</v>
      </c>
      <c r="N94" s="176" t="s">
        <v>47</v>
      </c>
      <c r="O94" s="191" t="str">
        <f>HYPERLINK("https://leetcode.com/problems/add-digits/","https://leetcode.com/problems/add-digits/")</f>
        <v>https://leetcode.com/problems/add-digits/</v>
      </c>
    </row>
    <row r="95" spans="1:15" ht="31.5" customHeight="1" x14ac:dyDescent="0.2">
      <c r="A95" s="139">
        <v>90</v>
      </c>
      <c r="B95" s="139">
        <v>266</v>
      </c>
      <c r="C95" s="275" t="s">
        <v>1055</v>
      </c>
      <c r="D95" s="139" t="s">
        <v>4693</v>
      </c>
      <c r="E95" s="143" t="s">
        <v>20</v>
      </c>
      <c r="F95" s="141" t="s">
        <v>897</v>
      </c>
      <c r="G95" s="141" t="s">
        <v>4244</v>
      </c>
      <c r="H95" s="139">
        <f>IFERROR(VLOOKUP(B95,'📊 Problem Tracker'!$B$4:$F$1200,5,FALSE()),"")</f>
        <v>0</v>
      </c>
      <c r="I95" s="139"/>
      <c r="J95" s="139"/>
      <c r="K95" s="141"/>
      <c r="L95" s="276" t="s">
        <v>705</v>
      </c>
      <c r="M95" s="139" t="s">
        <v>24</v>
      </c>
      <c r="N95" s="183" t="s">
        <v>24</v>
      </c>
      <c r="O95" s="196" t="str">
        <f>HYPERLINK("https://leetcode.com/problems/palindrome-permutation/","https://leetcode.com/problems/palindrome-permutation/")</f>
        <v>https://leetcode.com/problems/palindrome-permutation/</v>
      </c>
    </row>
    <row r="96" spans="1:15" ht="31.5" customHeight="1" x14ac:dyDescent="0.2">
      <c r="A96" s="7">
        <v>91</v>
      </c>
      <c r="B96" s="7">
        <v>269</v>
      </c>
      <c r="C96" s="231" t="s">
        <v>1063</v>
      </c>
      <c r="D96" s="7" t="s">
        <v>4750</v>
      </c>
      <c r="E96" s="20" t="s">
        <v>42</v>
      </c>
      <c r="F96" s="3" t="s">
        <v>1167</v>
      </c>
      <c r="G96" s="3" t="s">
        <v>4282</v>
      </c>
      <c r="H96" s="7">
        <f>IFERROR(VLOOKUP(B96,'📊 Problem Tracker'!$B$4:$F$1200,5,FALSE()),"")</f>
        <v>0</v>
      </c>
      <c r="I96" s="7"/>
      <c r="J96" s="7"/>
      <c r="K96" s="3"/>
      <c r="L96" s="228" t="s">
        <v>619</v>
      </c>
      <c r="M96" s="7" t="s">
        <v>1065</v>
      </c>
      <c r="N96" s="176" t="s">
        <v>47</v>
      </c>
      <c r="O96" s="191" t="str">
        <f>HYPERLINK("https://leetcode.com/problems/alien-dictionary/","https://leetcode.com/problems/alien-dictionary/")</f>
        <v>https://leetcode.com/problems/alien-dictionary/</v>
      </c>
    </row>
    <row r="97" spans="1:15" ht="31.5" customHeight="1" x14ac:dyDescent="0.2">
      <c r="A97" s="139">
        <v>92</v>
      </c>
      <c r="B97" s="139">
        <v>283</v>
      </c>
      <c r="C97" s="275" t="s">
        <v>1093</v>
      </c>
      <c r="D97" s="139" t="s">
        <v>4616</v>
      </c>
      <c r="E97" s="143" t="s">
        <v>20</v>
      </c>
      <c r="F97" s="141" t="s">
        <v>84</v>
      </c>
      <c r="G97" s="141" t="s">
        <v>689</v>
      </c>
      <c r="H97" s="139">
        <f>IFERROR(VLOOKUP(B97,'📊 Problem Tracker'!$B$4:$F$1200,5,FALSE()),"")</f>
        <v>0</v>
      </c>
      <c r="I97" s="139"/>
      <c r="J97" s="139"/>
      <c r="K97" s="141"/>
      <c r="L97" s="276" t="s">
        <v>1095</v>
      </c>
      <c r="M97" s="139" t="s">
        <v>24</v>
      </c>
      <c r="N97" s="183" t="s">
        <v>1096</v>
      </c>
      <c r="O97" s="196" t="str">
        <f>HYPERLINK("https://leetcode.com/problems/move-zeroes/","https://leetcode.com/problems/move-zeroes/")</f>
        <v>https://leetcode.com/problems/move-zeroes/</v>
      </c>
    </row>
    <row r="98" spans="1:15" ht="31.5" customHeight="1" x14ac:dyDescent="0.2">
      <c r="A98" s="7">
        <v>93</v>
      </c>
      <c r="B98" s="7">
        <v>286</v>
      </c>
      <c r="C98" s="231" t="s">
        <v>1105</v>
      </c>
      <c r="D98" s="7" t="s">
        <v>4617</v>
      </c>
      <c r="E98" s="18" t="s">
        <v>28</v>
      </c>
      <c r="F98" s="3" t="s">
        <v>1106</v>
      </c>
      <c r="G98" s="3" t="s">
        <v>4618</v>
      </c>
      <c r="H98" s="7">
        <f>IFERROR(VLOOKUP(B98,'📊 Problem Tracker'!$B$4:$F$1200,5,FALSE()),"")</f>
        <v>0</v>
      </c>
      <c r="I98" s="7"/>
      <c r="J98" s="7"/>
      <c r="K98" s="3"/>
      <c r="L98" s="228" t="s">
        <v>619</v>
      </c>
      <c r="M98" s="7" t="s">
        <v>81</v>
      </c>
      <c r="N98" s="176" t="s">
        <v>81</v>
      </c>
      <c r="O98" s="191" t="str">
        <f>HYPERLINK("https://leetcode.com/problems/walls-and-gates/","https://leetcode.com/problems/walls-and-gates/")</f>
        <v>https://leetcode.com/problems/walls-and-gates/</v>
      </c>
    </row>
    <row r="99" spans="1:15" ht="31.5" customHeight="1" x14ac:dyDescent="0.2">
      <c r="A99" s="139">
        <v>94</v>
      </c>
      <c r="B99" s="139">
        <v>290</v>
      </c>
      <c r="C99" s="275" t="s">
        <v>1116</v>
      </c>
      <c r="D99" s="139" t="s">
        <v>4478</v>
      </c>
      <c r="E99" s="143" t="s">
        <v>20</v>
      </c>
      <c r="F99" s="141" t="s">
        <v>897</v>
      </c>
      <c r="G99" s="141" t="s">
        <v>4244</v>
      </c>
      <c r="H99" s="139">
        <f>IFERROR(VLOOKUP(B99,'📊 Problem Tracker'!$B$4:$F$1200,5,FALSE()),"")</f>
        <v>0</v>
      </c>
      <c r="I99" s="139"/>
      <c r="J99" s="139"/>
      <c r="K99" s="141"/>
      <c r="L99" s="276" t="s">
        <v>705</v>
      </c>
      <c r="M99" s="139" t="s">
        <v>24</v>
      </c>
      <c r="N99" s="183" t="s">
        <v>24</v>
      </c>
      <c r="O99" s="196" t="str">
        <f>HYPERLINK("https://leetcode.com/problems/word-pattern/","https://leetcode.com/problems/word-pattern/")</f>
        <v>https://leetcode.com/problems/word-pattern/</v>
      </c>
    </row>
    <row r="100" spans="1:15" ht="31.5" customHeight="1" x14ac:dyDescent="0.2">
      <c r="A100" s="7">
        <v>95</v>
      </c>
      <c r="B100" s="7">
        <v>291</v>
      </c>
      <c r="C100" s="231" t="s">
        <v>1118</v>
      </c>
      <c r="D100" s="7" t="s">
        <v>4676</v>
      </c>
      <c r="E100" s="18" t="s">
        <v>28</v>
      </c>
      <c r="F100" s="3" t="s">
        <v>114</v>
      </c>
      <c r="G100" s="3" t="s">
        <v>300</v>
      </c>
      <c r="H100" s="7">
        <f>IFERROR(VLOOKUP(B100,'📊 Problem Tracker'!$B$4:$F$1200,5,FALSE()),"")</f>
        <v>0</v>
      </c>
      <c r="I100" s="7"/>
      <c r="J100" s="7"/>
      <c r="K100" s="3"/>
      <c r="L100" s="228" t="s">
        <v>302</v>
      </c>
      <c r="M100" s="7" t="s">
        <v>303</v>
      </c>
      <c r="N100" s="176" t="s">
        <v>304</v>
      </c>
      <c r="O100" s="191" t="str">
        <f>HYPERLINK("https://leetcode.com/problems/word-pattern-ii/","https://leetcode.com/problems/word-pattern-ii/")</f>
        <v>https://leetcode.com/problems/word-pattern-ii/</v>
      </c>
    </row>
    <row r="101" spans="1:15" ht="31.5" customHeight="1" x14ac:dyDescent="0.2">
      <c r="A101" s="139">
        <v>96</v>
      </c>
      <c r="B101" s="139">
        <v>295</v>
      </c>
      <c r="C101" s="275" t="s">
        <v>1120</v>
      </c>
      <c r="D101" s="139" t="s">
        <v>4619</v>
      </c>
      <c r="E101" s="142" t="s">
        <v>42</v>
      </c>
      <c r="F101" s="141" t="s">
        <v>4233</v>
      </c>
      <c r="G101" s="141" t="s">
        <v>4297</v>
      </c>
      <c r="H101" s="139">
        <f>IFERROR(VLOOKUP(B101,'📊 Problem Tracker'!$B$4:$F$1200,5,FALSE()),"")</f>
        <v>0</v>
      </c>
      <c r="I101" s="139"/>
      <c r="J101" s="139"/>
      <c r="K101" s="141"/>
      <c r="L101" s="276" t="s">
        <v>1123</v>
      </c>
      <c r="M101" s="139" t="s">
        <v>1124</v>
      </c>
      <c r="N101" s="183" t="s">
        <v>24</v>
      </c>
      <c r="O101" s="196" t="str">
        <f>HYPERLINK("https://leetcode.com/problems/find-median-from-data-stream/","https://leetcode.com/problems/find-median-from-data-stream/")</f>
        <v>https://leetcode.com/problems/find-median-from-data-stream/</v>
      </c>
    </row>
    <row r="102" spans="1:15" ht="31.5" customHeight="1" x14ac:dyDescent="0.2">
      <c r="A102" s="7">
        <v>97</v>
      </c>
      <c r="B102" s="7">
        <v>297</v>
      </c>
      <c r="C102" s="231" t="s">
        <v>1126</v>
      </c>
      <c r="D102" s="7" t="s">
        <v>4620</v>
      </c>
      <c r="E102" s="20" t="s">
        <v>42</v>
      </c>
      <c r="F102" s="3" t="s">
        <v>4215</v>
      </c>
      <c r="G102" s="3" t="s">
        <v>4621</v>
      </c>
      <c r="H102" s="7">
        <f>IFERROR(VLOOKUP(B102,'📊 Problem Tracker'!$B$4:$F$1200,5,FALSE()),"")</f>
        <v>0</v>
      </c>
      <c r="I102" s="7"/>
      <c r="J102" s="7"/>
      <c r="K102" s="3"/>
      <c r="L102" s="228" t="s">
        <v>571</v>
      </c>
      <c r="M102" s="7" t="s">
        <v>24</v>
      </c>
      <c r="N102" s="176" t="s">
        <v>24</v>
      </c>
      <c r="O102" s="191" t="str">
        <f>HYPERLINK("https://leetcode.com/problems/serialize-and-deserialize-binary-tree/","https://leetcode.com/problems/serialize-and-deserialize-binary-tree/")</f>
        <v>https://leetcode.com/problems/serialize-and-deserialize-binary-tree/</v>
      </c>
    </row>
    <row r="103" spans="1:15" ht="31.5" customHeight="1" x14ac:dyDescent="0.2">
      <c r="A103" s="139">
        <v>98</v>
      </c>
      <c r="B103" s="139">
        <v>300</v>
      </c>
      <c r="C103" s="275" t="s">
        <v>1135</v>
      </c>
      <c r="D103" s="139" t="s">
        <v>4474</v>
      </c>
      <c r="E103" s="140" t="s">
        <v>28</v>
      </c>
      <c r="F103" s="141" t="s">
        <v>1136</v>
      </c>
      <c r="G103" s="141" t="s">
        <v>4300</v>
      </c>
      <c r="H103" s="139">
        <f>IFERROR(VLOOKUP(B103,'📊 Problem Tracker'!$B$4:$F$1200,5,FALSE()),"")</f>
        <v>0</v>
      </c>
      <c r="I103" s="139"/>
      <c r="J103" s="139"/>
      <c r="K103" s="141"/>
      <c r="L103" s="276" t="s">
        <v>1139</v>
      </c>
      <c r="M103" s="139" t="s">
        <v>326</v>
      </c>
      <c r="N103" s="183" t="s">
        <v>24</v>
      </c>
      <c r="O103" s="196" t="str">
        <f>HYPERLINK("https://leetcode.com/problems/longest-increasing-subsequence/","https://leetcode.com/problems/longest-increasing-subsequence/")</f>
        <v>https://leetcode.com/problems/longest-increasing-subsequence/</v>
      </c>
    </row>
    <row r="104" spans="1:15" ht="31.5" customHeight="1" x14ac:dyDescent="0.2">
      <c r="A104" s="7">
        <v>99</v>
      </c>
      <c r="B104" s="7">
        <v>305</v>
      </c>
      <c r="C104" s="231" t="s">
        <v>1155</v>
      </c>
      <c r="D104" s="7" t="s">
        <v>4449</v>
      </c>
      <c r="E104" s="20" t="s">
        <v>42</v>
      </c>
      <c r="F104" s="3" t="s">
        <v>1050</v>
      </c>
      <c r="G104" s="3" t="s">
        <v>1736</v>
      </c>
      <c r="H104" s="7">
        <f>IFERROR(VLOOKUP(B104,'📊 Problem Tracker'!$B$4:$F$1200,5,FALSE()),"")</f>
        <v>0</v>
      </c>
      <c r="I104" s="7"/>
      <c r="J104" s="7"/>
      <c r="K104" s="3"/>
      <c r="L104" s="228" t="s">
        <v>619</v>
      </c>
      <c r="M104" s="7" t="s">
        <v>81</v>
      </c>
      <c r="N104" s="176" t="s">
        <v>81</v>
      </c>
      <c r="O104" s="191" t="str">
        <f>HYPERLINK("https://leetcode.com/problems/number-of-islands-ii/","https://leetcode.com/problems/number-of-islands-ii/")</f>
        <v>https://leetcode.com/problems/number-of-islands-ii/</v>
      </c>
    </row>
    <row r="105" spans="1:15" ht="31.5" customHeight="1" x14ac:dyDescent="0.2">
      <c r="A105" s="139">
        <v>100</v>
      </c>
      <c r="B105" s="139">
        <v>312</v>
      </c>
      <c r="C105" s="275" t="s">
        <v>1173</v>
      </c>
      <c r="D105" s="139" t="s">
        <v>4623</v>
      </c>
      <c r="E105" s="142" t="s">
        <v>42</v>
      </c>
      <c r="F105" s="141" t="s">
        <v>309</v>
      </c>
      <c r="G105" s="141" t="s">
        <v>2531</v>
      </c>
      <c r="H105" s="139">
        <f>IFERROR(VLOOKUP(B105,'📊 Problem Tracker'!$B$4:$F$1200,5,FALSE()),"")</f>
        <v>0</v>
      </c>
      <c r="I105" s="139"/>
      <c r="J105" s="139"/>
      <c r="K105" s="141"/>
      <c r="L105" s="276" t="s">
        <v>508</v>
      </c>
      <c r="M105" s="139" t="s">
        <v>1175</v>
      </c>
      <c r="N105" s="183" t="s">
        <v>341</v>
      </c>
      <c r="O105" s="196" t="str">
        <f>HYPERLINK("https://leetcode.com/problems/burst-balloons/","https://leetcode.com/problems/burst-balloons/")</f>
        <v>https://leetcode.com/problems/burst-balloons/</v>
      </c>
    </row>
    <row r="106" spans="1:15" ht="31.5" customHeight="1" x14ac:dyDescent="0.2">
      <c r="A106" s="7">
        <v>101</v>
      </c>
      <c r="B106" s="7">
        <v>322</v>
      </c>
      <c r="C106" s="231" t="s">
        <v>1205</v>
      </c>
      <c r="D106" s="7" t="s">
        <v>4433</v>
      </c>
      <c r="E106" s="18" t="s">
        <v>28</v>
      </c>
      <c r="F106" s="3" t="s">
        <v>1206</v>
      </c>
      <c r="G106" s="3" t="s">
        <v>4302</v>
      </c>
      <c r="H106" s="7">
        <f>IFERROR(VLOOKUP(B106,'📊 Problem Tracker'!$B$4:$F$1200,5,FALSE()),"")</f>
        <v>0</v>
      </c>
      <c r="I106" s="7"/>
      <c r="J106" s="7"/>
      <c r="K106" s="3"/>
      <c r="L106" s="228" t="s">
        <v>1208</v>
      </c>
      <c r="M106" s="7" t="s">
        <v>1209</v>
      </c>
      <c r="N106" s="176" t="s">
        <v>1210</v>
      </c>
      <c r="O106" s="191" t="str">
        <f>HYPERLINK("https://leetcode.com/problems/coin-change/","https://leetcode.com/problems/coin-change/")</f>
        <v>https://leetcode.com/problems/coin-change/</v>
      </c>
    </row>
    <row r="107" spans="1:15" ht="31.5" customHeight="1" x14ac:dyDescent="0.2">
      <c r="A107" s="139">
        <v>102</v>
      </c>
      <c r="B107" s="139">
        <v>329</v>
      </c>
      <c r="C107" s="275" t="s">
        <v>1226</v>
      </c>
      <c r="D107" s="139" t="s">
        <v>4625</v>
      </c>
      <c r="E107" s="142" t="s">
        <v>42</v>
      </c>
      <c r="F107" s="141" t="s">
        <v>1227</v>
      </c>
      <c r="G107" s="141" t="s">
        <v>4304</v>
      </c>
      <c r="H107" s="139">
        <f>IFERROR(VLOOKUP(B107,'📊 Problem Tracker'!$B$4:$F$1200,5,FALSE()),"")</f>
        <v>0</v>
      </c>
      <c r="I107" s="139"/>
      <c r="J107" s="139"/>
      <c r="K107" s="141"/>
      <c r="L107" s="276" t="s">
        <v>508</v>
      </c>
      <c r="M107" s="139" t="s">
        <v>81</v>
      </c>
      <c r="N107" s="183" t="s">
        <v>81</v>
      </c>
      <c r="O107" s="196" t="str">
        <f>HYPERLINK("https://leetcode.com/problems/longest-increasing-path-in-a-matrix/","https://leetcode.com/problems/longest-increasing-path-in-a-matrix/")</f>
        <v>https://leetcode.com/problems/longest-increasing-path-in-a-matrix/</v>
      </c>
    </row>
    <row r="108" spans="1:15" ht="31.5" customHeight="1" x14ac:dyDescent="0.2">
      <c r="A108" s="7">
        <v>103</v>
      </c>
      <c r="B108" s="7">
        <v>330</v>
      </c>
      <c r="C108" s="231" t="s">
        <v>1229</v>
      </c>
      <c r="D108" s="7" t="s">
        <v>4554</v>
      </c>
      <c r="E108" s="20" t="s">
        <v>42</v>
      </c>
      <c r="F108" s="3" t="s">
        <v>318</v>
      </c>
      <c r="G108" s="3" t="s">
        <v>3091</v>
      </c>
      <c r="H108" s="7">
        <f>IFERROR(VLOOKUP(B108,'📊 Problem Tracker'!$B$4:$F$1200,5,FALSE()),"")</f>
        <v>0</v>
      </c>
      <c r="I108" s="7"/>
      <c r="J108" s="7"/>
      <c r="K108" s="3"/>
      <c r="L108" s="228" t="s">
        <v>654</v>
      </c>
      <c r="M108" s="7" t="s">
        <v>24</v>
      </c>
      <c r="N108" s="176" t="s">
        <v>1100</v>
      </c>
      <c r="O108" s="191" t="str">
        <f>HYPERLINK("https://leetcode.com/problems/patching-array/","https://leetcode.com/problems/patching-array/")</f>
        <v>https://leetcode.com/problems/patching-array/</v>
      </c>
    </row>
    <row r="109" spans="1:15" ht="31.5" customHeight="1" x14ac:dyDescent="0.2">
      <c r="A109" s="139">
        <v>104</v>
      </c>
      <c r="B109" s="139">
        <v>332</v>
      </c>
      <c r="C109" s="275" t="s">
        <v>1231</v>
      </c>
      <c r="D109" s="139" t="s">
        <v>4466</v>
      </c>
      <c r="E109" s="142" t="s">
        <v>42</v>
      </c>
      <c r="F109" s="141" t="s">
        <v>1232</v>
      </c>
      <c r="G109" s="141" t="s">
        <v>4339</v>
      </c>
      <c r="H109" s="139">
        <f>IFERROR(VLOOKUP(B109,'📊 Problem Tracker'!$B$4:$F$1200,5,FALSE()),"")</f>
        <v>0</v>
      </c>
      <c r="I109" s="139"/>
      <c r="J109" s="139"/>
      <c r="K109" s="141"/>
      <c r="L109" s="276" t="s">
        <v>619</v>
      </c>
      <c r="M109" s="139" t="s">
        <v>648</v>
      </c>
      <c r="N109" s="183" t="s">
        <v>648</v>
      </c>
      <c r="O109" s="196" t="str">
        <f>HYPERLINK("https://leetcode.com/problems/reconstruct-itinerary/","https://leetcode.com/problems/reconstruct-itinerary/")</f>
        <v>https://leetcode.com/problems/reconstruct-itinerary/</v>
      </c>
    </row>
    <row r="110" spans="1:15" ht="31.5" customHeight="1" x14ac:dyDescent="0.2">
      <c r="A110" s="7">
        <v>105</v>
      </c>
      <c r="B110" s="7">
        <v>337</v>
      </c>
      <c r="C110" s="231" t="s">
        <v>1245</v>
      </c>
      <c r="D110" s="7" t="s">
        <v>4626</v>
      </c>
      <c r="E110" s="18" t="s">
        <v>28</v>
      </c>
      <c r="F110" s="3" t="s">
        <v>606</v>
      </c>
      <c r="G110" s="3" t="s">
        <v>4627</v>
      </c>
      <c r="H110" s="7">
        <f>IFERROR(VLOOKUP(B110,'📊 Problem Tracker'!$B$4:$F$1200,5,FALSE()),"")</f>
        <v>0</v>
      </c>
      <c r="I110" s="7"/>
      <c r="J110" s="7"/>
      <c r="K110" s="3"/>
      <c r="L110" s="228" t="s">
        <v>508</v>
      </c>
      <c r="M110" s="7" t="s">
        <v>24</v>
      </c>
      <c r="N110" s="176" t="s">
        <v>503</v>
      </c>
      <c r="O110" s="191" t="str">
        <f>HYPERLINK("https://leetcode.com/problems/house-robber-iii/","https://leetcode.com/problems/house-robber-iii/")</f>
        <v>https://leetcode.com/problems/house-robber-iii/</v>
      </c>
    </row>
    <row r="111" spans="1:15" ht="31.5" customHeight="1" x14ac:dyDescent="0.2">
      <c r="A111" s="139">
        <v>106</v>
      </c>
      <c r="B111" s="139">
        <v>347</v>
      </c>
      <c r="C111" s="275" t="s">
        <v>1269</v>
      </c>
      <c r="D111" s="139" t="s">
        <v>4629</v>
      </c>
      <c r="E111" s="140" t="s">
        <v>28</v>
      </c>
      <c r="F111" s="141" t="s">
        <v>1270</v>
      </c>
      <c r="G111" s="141" t="s">
        <v>4280</v>
      </c>
      <c r="H111" s="139">
        <f>IFERROR(VLOOKUP(B111,'📊 Problem Tracker'!$B$4:$F$1200,5,FALSE()),"")</f>
        <v>0</v>
      </c>
      <c r="I111" s="139"/>
      <c r="J111" s="139"/>
      <c r="K111" s="141"/>
      <c r="L111" s="276" t="s">
        <v>1273</v>
      </c>
      <c r="M111" s="139" t="s">
        <v>24</v>
      </c>
      <c r="N111" s="183" t="s">
        <v>24</v>
      </c>
      <c r="O111" s="196" t="str">
        <f>HYPERLINK("https://leetcode.com/problems/top-k-frequent-elements/","https://leetcode.com/problems/top-k-frequent-elements/")</f>
        <v>https://leetcode.com/problems/top-k-frequent-elements/</v>
      </c>
    </row>
    <row r="112" spans="1:15" ht="31.5" customHeight="1" x14ac:dyDescent="0.2">
      <c r="A112" s="7">
        <v>107</v>
      </c>
      <c r="B112" s="7">
        <v>362</v>
      </c>
      <c r="C112" s="231" t="s">
        <v>1297</v>
      </c>
      <c r="D112" s="7" t="s">
        <v>4633</v>
      </c>
      <c r="E112" s="18" t="s">
        <v>28</v>
      </c>
      <c r="F112" s="3" t="s">
        <v>4306</v>
      </c>
      <c r="G112" s="3" t="s">
        <v>4634</v>
      </c>
      <c r="H112" s="7">
        <f>IFERROR(VLOOKUP(B112,'📊 Problem Tracker'!$B$4:$F$1200,5,FALSE()),"")</f>
        <v>0</v>
      </c>
      <c r="I112" s="7"/>
      <c r="J112" s="7"/>
      <c r="K112" s="3"/>
      <c r="L112" s="228" t="s">
        <v>919</v>
      </c>
      <c r="M112" s="7" t="s">
        <v>47</v>
      </c>
      <c r="N112" s="176" t="s">
        <v>1096</v>
      </c>
      <c r="O112" s="191" t="str">
        <f>HYPERLINK("https://leetcode.com/problems/design-hit-counter/","https://leetcode.com/problems/design-hit-counter/")</f>
        <v>https://leetcode.com/problems/design-hit-counter/</v>
      </c>
    </row>
    <row r="113" spans="1:15" ht="31.5" customHeight="1" x14ac:dyDescent="0.2">
      <c r="A113" s="139">
        <v>108</v>
      </c>
      <c r="B113" s="139">
        <v>373</v>
      </c>
      <c r="C113" s="275" t="s">
        <v>1322</v>
      </c>
      <c r="D113" s="139" t="s">
        <v>4638</v>
      </c>
      <c r="E113" s="140" t="s">
        <v>28</v>
      </c>
      <c r="F113" s="141" t="s">
        <v>941</v>
      </c>
      <c r="G113" s="141" t="s">
        <v>4640</v>
      </c>
      <c r="H113" s="139">
        <f>IFERROR(VLOOKUP(B113,'📊 Problem Tracker'!$B$4:$F$1200,5,FALSE()),"")</f>
        <v>0</v>
      </c>
      <c r="I113" s="139"/>
      <c r="J113" s="139"/>
      <c r="K113" s="141"/>
      <c r="L113" s="276" t="s">
        <v>959</v>
      </c>
      <c r="M113" s="139" t="s">
        <v>960</v>
      </c>
      <c r="N113" s="183" t="s">
        <v>153</v>
      </c>
      <c r="O113" s="196" t="str">
        <f>HYPERLINK("https://leetcode.com/problems/find-k-pairs-with-smallest-sums/","https://leetcode.com/problems/find-k-pairs-with-smallest-sums/")</f>
        <v>https://leetcode.com/problems/find-k-pairs-with-smallest-sums/</v>
      </c>
    </row>
    <row r="114" spans="1:15" ht="31.5" customHeight="1" x14ac:dyDescent="0.2">
      <c r="A114" s="7">
        <v>109</v>
      </c>
      <c r="B114" s="7">
        <v>380</v>
      </c>
      <c r="C114" s="231" t="s">
        <v>1333</v>
      </c>
      <c r="D114" s="7" t="s">
        <v>4642</v>
      </c>
      <c r="E114" s="18" t="s">
        <v>28</v>
      </c>
      <c r="F114" s="3" t="s">
        <v>1334</v>
      </c>
      <c r="G114" s="3" t="s">
        <v>4557</v>
      </c>
      <c r="H114" s="7">
        <f>IFERROR(VLOOKUP(B114,'📊 Problem Tracker'!$B$4:$F$1200,5,FALSE()),"")</f>
        <v>0</v>
      </c>
      <c r="I114" s="7"/>
      <c r="J114" s="7"/>
      <c r="K114" s="3"/>
      <c r="L114" s="228" t="s">
        <v>705</v>
      </c>
      <c r="M114" s="7" t="s">
        <v>24</v>
      </c>
      <c r="N114" s="176" t="s">
        <v>24</v>
      </c>
      <c r="O114" s="191" t="str">
        <f>HYPERLINK("https://leetcode.com/problems/insert-delete-getrandom-o1/","https://leetcode.com/problems/insert-delete-getrandom-o1/")</f>
        <v>https://leetcode.com/problems/insert-delete-getrandom-o1/</v>
      </c>
    </row>
    <row r="115" spans="1:15" ht="31.5" customHeight="1" x14ac:dyDescent="0.2">
      <c r="A115" s="139">
        <v>110</v>
      </c>
      <c r="B115" s="139">
        <v>384</v>
      </c>
      <c r="C115" s="275" t="s">
        <v>1342</v>
      </c>
      <c r="D115" s="139" t="s">
        <v>4903</v>
      </c>
      <c r="E115" s="140" t="s">
        <v>28</v>
      </c>
      <c r="F115" s="141" t="s">
        <v>376</v>
      </c>
      <c r="G115" s="141" t="s">
        <v>4904</v>
      </c>
      <c r="H115" s="139">
        <f>IFERROR(VLOOKUP(B115,'📊 Problem Tracker'!$B$4:$F$1200,5,FALSE()),"")</f>
        <v>0</v>
      </c>
      <c r="I115" s="139"/>
      <c r="J115" s="139"/>
      <c r="K115" s="141"/>
      <c r="L115" s="276" t="s">
        <v>230</v>
      </c>
      <c r="M115" s="139" t="s">
        <v>24</v>
      </c>
      <c r="N115" s="183" t="s">
        <v>24</v>
      </c>
      <c r="O115" s="196" t="str">
        <f>HYPERLINK("https://leetcode.com/problems/shuffle-an-array/","https://leetcode.com/problems/shuffle-an-array/")</f>
        <v>https://leetcode.com/problems/shuffle-an-array/</v>
      </c>
    </row>
    <row r="116" spans="1:15" ht="31.5" customHeight="1" x14ac:dyDescent="0.2">
      <c r="A116" s="7">
        <v>111</v>
      </c>
      <c r="B116" s="7">
        <v>399</v>
      </c>
      <c r="C116" s="231" t="s">
        <v>1377</v>
      </c>
      <c r="D116" s="7" t="s">
        <v>4646</v>
      </c>
      <c r="E116" s="18" t="s">
        <v>28</v>
      </c>
      <c r="F116" s="3" t="s">
        <v>4647</v>
      </c>
      <c r="G116" s="3" t="s">
        <v>4648</v>
      </c>
      <c r="H116" s="7">
        <f>IFERROR(VLOOKUP(B116,'📊 Problem Tracker'!$B$4:$F$1200,5,FALSE()),"")</f>
        <v>0</v>
      </c>
      <c r="I116" s="7"/>
      <c r="J116" s="7"/>
      <c r="K116" s="3"/>
      <c r="L116" s="228" t="s">
        <v>619</v>
      </c>
      <c r="M116" s="7" t="s">
        <v>648</v>
      </c>
      <c r="N116" s="176" t="s">
        <v>648</v>
      </c>
      <c r="O116" s="191" t="str">
        <f>HYPERLINK("https://leetcode.com/problems/evaluate-division/","https://leetcode.com/problems/evaluate-division/")</f>
        <v>https://leetcode.com/problems/evaluate-division/</v>
      </c>
    </row>
    <row r="117" spans="1:15" ht="31.5" customHeight="1" x14ac:dyDescent="0.2">
      <c r="A117" s="139">
        <v>112</v>
      </c>
      <c r="B117" s="139">
        <v>410</v>
      </c>
      <c r="C117" s="275" t="s">
        <v>1397</v>
      </c>
      <c r="D117" s="139" t="s">
        <v>4652</v>
      </c>
      <c r="E117" s="142" t="s">
        <v>42</v>
      </c>
      <c r="F117" s="141" t="s">
        <v>1136</v>
      </c>
      <c r="G117" s="141" t="s">
        <v>4653</v>
      </c>
      <c r="H117" s="139">
        <f>IFERROR(VLOOKUP(B117,'📊 Problem Tracker'!$B$4:$F$1200,5,FALSE()),"")</f>
        <v>0</v>
      </c>
      <c r="I117" s="139"/>
      <c r="J117" s="139"/>
      <c r="K117" s="141"/>
      <c r="L117" s="276" t="s">
        <v>513</v>
      </c>
      <c r="M117" s="139" t="s">
        <v>65</v>
      </c>
      <c r="N117" s="183" t="s">
        <v>47</v>
      </c>
      <c r="O117" s="196" t="str">
        <f>HYPERLINK("https://leetcode.com/problems/split-array-largest-sum/","https://leetcode.com/problems/split-array-largest-sum/")</f>
        <v>https://leetcode.com/problems/split-array-largest-sum/</v>
      </c>
    </row>
    <row r="118" spans="1:15" ht="31.5" customHeight="1" x14ac:dyDescent="0.2">
      <c r="A118" s="7">
        <v>113</v>
      </c>
      <c r="B118" s="7">
        <v>412</v>
      </c>
      <c r="C118" s="231" t="s">
        <v>1399</v>
      </c>
      <c r="D118" s="7" t="s">
        <v>4485</v>
      </c>
      <c r="E118" s="21" t="s">
        <v>20</v>
      </c>
      <c r="F118" s="3" t="s">
        <v>62</v>
      </c>
      <c r="G118" s="3" t="s">
        <v>62</v>
      </c>
      <c r="H118" s="7">
        <f>IFERROR(VLOOKUP(B118,'📊 Problem Tracker'!$B$4:$F$1200,5,FALSE()),"")</f>
        <v>0</v>
      </c>
      <c r="I118" s="7"/>
      <c r="J118" s="7"/>
      <c r="K118" s="3"/>
      <c r="L118" s="228" t="s">
        <v>230</v>
      </c>
      <c r="M118" s="7" t="s">
        <v>24</v>
      </c>
      <c r="N118" s="176" t="s">
        <v>24</v>
      </c>
      <c r="O118" s="191" t="str">
        <f>HYPERLINK("https://leetcode.com/problems/fizz-buzz/","https://leetcode.com/problems/fizz-buzz/")</f>
        <v>https://leetcode.com/problems/fizz-buzz/</v>
      </c>
    </row>
    <row r="119" spans="1:15" ht="31.5" customHeight="1" x14ac:dyDescent="0.2">
      <c r="A119" s="139">
        <v>114</v>
      </c>
      <c r="B119" s="139">
        <v>417</v>
      </c>
      <c r="C119" s="275" t="s">
        <v>1411</v>
      </c>
      <c r="D119" s="139" t="s">
        <v>4658</v>
      </c>
      <c r="E119" s="140" t="s">
        <v>28</v>
      </c>
      <c r="F119" s="141" t="s">
        <v>637</v>
      </c>
      <c r="G119" s="141"/>
      <c r="H119" s="139">
        <f>IFERROR(VLOOKUP(B119,'📊 Problem Tracker'!$B$4:$F$1200,5,FALSE()),"")</f>
        <v>0</v>
      </c>
      <c r="I119" s="139"/>
      <c r="J119" s="139"/>
      <c r="K119" s="141"/>
      <c r="L119" s="276" t="s">
        <v>4239</v>
      </c>
      <c r="M119" s="139" t="s">
        <v>81</v>
      </c>
      <c r="N119" s="183" t="s">
        <v>81</v>
      </c>
      <c r="O119" s="196" t="str">
        <f>HYPERLINK("https://leetcode.com/problems/pacific-atlantic-water-flow/","https://leetcode.com/problems/pacific-atlantic-water-flow/")</f>
        <v>https://leetcode.com/problems/pacific-atlantic-water-flow/</v>
      </c>
    </row>
    <row r="120" spans="1:15" ht="31.5" customHeight="1" x14ac:dyDescent="0.2">
      <c r="A120" s="7">
        <v>115</v>
      </c>
      <c r="B120" s="7">
        <v>424</v>
      </c>
      <c r="C120" s="231" t="s">
        <v>1416</v>
      </c>
      <c r="D120" s="7" t="s">
        <v>4521</v>
      </c>
      <c r="E120" s="18" t="s">
        <v>28</v>
      </c>
      <c r="F120" s="3" t="s">
        <v>427</v>
      </c>
      <c r="G120" s="3" t="s">
        <v>917</v>
      </c>
      <c r="H120" s="7">
        <f>IFERROR(VLOOKUP(B120,'📊 Problem Tracker'!$B$4:$F$1200,5,FALSE()),"")</f>
        <v>0</v>
      </c>
      <c r="I120" s="7"/>
      <c r="J120" s="7"/>
      <c r="K120" s="3"/>
      <c r="L120" s="228" t="s">
        <v>1418</v>
      </c>
      <c r="M120" s="7" t="s">
        <v>24</v>
      </c>
      <c r="N120" s="176" t="s">
        <v>1096</v>
      </c>
      <c r="O120" s="191" t="str">
        <f>HYPERLINK("https://leetcode.com/problems/longest-repeating-character-replacement/","https://leetcode.com/problems/longest-repeating-character-replacement/")</f>
        <v>https://leetcode.com/problems/longest-repeating-character-replacement/</v>
      </c>
    </row>
    <row r="121" spans="1:15" ht="31.5" customHeight="1" x14ac:dyDescent="0.2">
      <c r="A121" s="139">
        <v>116</v>
      </c>
      <c r="B121" s="139">
        <v>432</v>
      </c>
      <c r="C121" s="275" t="s">
        <v>1428</v>
      </c>
      <c r="D121" s="139" t="s">
        <v>4774</v>
      </c>
      <c r="E121" s="142" t="s">
        <v>42</v>
      </c>
      <c r="F121" s="141" t="s">
        <v>1295</v>
      </c>
      <c r="G121" s="141" t="s">
        <v>4557</v>
      </c>
      <c r="H121" s="139">
        <f>IFERROR(VLOOKUP(B121,'📊 Problem Tracker'!$B$4:$F$1200,5,FALSE()),"")</f>
        <v>0</v>
      </c>
      <c r="I121" s="139"/>
      <c r="J121" s="139"/>
      <c r="K121" s="141"/>
      <c r="L121" s="276" t="s">
        <v>705</v>
      </c>
      <c r="M121" s="139" t="s">
        <v>24</v>
      </c>
      <c r="N121" s="183" t="s">
        <v>24</v>
      </c>
      <c r="O121" s="196" t="str">
        <f>HYPERLINK("https://leetcode.com/problems/all-oone-data-structure/","https://leetcode.com/problems/all-oone-data-structure/")</f>
        <v>https://leetcode.com/problems/all-oone-data-structure/</v>
      </c>
    </row>
    <row r="122" spans="1:15" ht="31.5" customHeight="1" x14ac:dyDescent="0.2">
      <c r="A122" s="7">
        <v>117</v>
      </c>
      <c r="B122" s="7">
        <v>438</v>
      </c>
      <c r="C122" s="231" t="s">
        <v>1441</v>
      </c>
      <c r="D122" s="7" t="s">
        <v>4538</v>
      </c>
      <c r="E122" s="18" t="s">
        <v>28</v>
      </c>
      <c r="F122" s="3" t="s">
        <v>427</v>
      </c>
      <c r="G122" s="3" t="s">
        <v>917</v>
      </c>
      <c r="H122" s="7">
        <f>IFERROR(VLOOKUP(B122,'📊 Problem Tracker'!$B$4:$F$1200,5,FALSE()),"")</f>
        <v>0</v>
      </c>
      <c r="I122" s="7"/>
      <c r="J122" s="7"/>
      <c r="K122" s="3"/>
      <c r="L122" s="228" t="s">
        <v>1443</v>
      </c>
      <c r="M122" s="7" t="s">
        <v>24</v>
      </c>
      <c r="N122" s="176" t="s">
        <v>47</v>
      </c>
      <c r="O122" s="191" t="str">
        <f>HYPERLINK("https://leetcode.com/problems/find-all-anagrams-in-a-string/","https://leetcode.com/problems/find-all-anagrams-in-a-string/")</f>
        <v>https://leetcode.com/problems/find-all-anagrams-in-a-string/</v>
      </c>
    </row>
    <row r="123" spans="1:15" ht="31.5" customHeight="1" x14ac:dyDescent="0.2">
      <c r="A123" s="139">
        <v>118</v>
      </c>
      <c r="B123" s="139">
        <v>450</v>
      </c>
      <c r="C123" s="275" t="s">
        <v>1463</v>
      </c>
      <c r="D123" s="139" t="s">
        <v>4566</v>
      </c>
      <c r="E123" s="140" t="s">
        <v>28</v>
      </c>
      <c r="F123" s="141" t="s">
        <v>518</v>
      </c>
      <c r="G123" s="141" t="s">
        <v>4269</v>
      </c>
      <c r="H123" s="139">
        <f>IFERROR(VLOOKUP(B123,'📊 Problem Tracker'!$B$4:$F$1200,5,FALSE()),"")</f>
        <v>0</v>
      </c>
      <c r="I123" s="139"/>
      <c r="J123" s="139"/>
      <c r="K123" s="141"/>
      <c r="L123" s="276" t="s">
        <v>571</v>
      </c>
      <c r="M123" s="139" t="s">
        <v>503</v>
      </c>
      <c r="N123" s="183" t="s">
        <v>503</v>
      </c>
      <c r="O123" s="196" t="str">
        <f>HYPERLINK("https://leetcode.com/problems/delete-node-in-a-bst/","https://leetcode.com/problems/delete-node-in-a-bst/")</f>
        <v>https://leetcode.com/problems/delete-node-in-a-bst/</v>
      </c>
    </row>
    <row r="124" spans="1:15" ht="31.5" customHeight="1" x14ac:dyDescent="0.2">
      <c r="A124" s="7">
        <v>119</v>
      </c>
      <c r="B124" s="7">
        <v>460</v>
      </c>
      <c r="C124" s="231" t="s">
        <v>1476</v>
      </c>
      <c r="D124" s="7" t="s">
        <v>4775</v>
      </c>
      <c r="E124" s="20" t="s">
        <v>42</v>
      </c>
      <c r="F124" s="3" t="s">
        <v>4776</v>
      </c>
      <c r="G124" s="3" t="s">
        <v>4777</v>
      </c>
      <c r="H124" s="7">
        <f>IFERROR(VLOOKUP(B124,'📊 Problem Tracker'!$B$4:$F$1200,5,FALSE()),"")</f>
        <v>0</v>
      </c>
      <c r="I124" s="7"/>
      <c r="J124" s="7"/>
      <c r="K124" s="3"/>
      <c r="L124" s="228" t="s">
        <v>959</v>
      </c>
      <c r="M124" s="7" t="s">
        <v>732</v>
      </c>
      <c r="N124" s="176" t="s">
        <v>24</v>
      </c>
      <c r="O124" s="191" t="str">
        <f>HYPERLINK("https://leetcode.com/problems/lfu-cache/","https://leetcode.com/problems/lfu-cache/")</f>
        <v>https://leetcode.com/problems/lfu-cache/</v>
      </c>
    </row>
    <row r="125" spans="1:15" ht="31.5" customHeight="1" x14ac:dyDescent="0.2">
      <c r="A125" s="139">
        <v>120</v>
      </c>
      <c r="B125" s="139">
        <v>465</v>
      </c>
      <c r="C125" s="275" t="s">
        <v>1482</v>
      </c>
      <c r="D125" s="139" t="s">
        <v>4902</v>
      </c>
      <c r="E125" s="142" t="s">
        <v>42</v>
      </c>
      <c r="F125" s="141" t="s">
        <v>4905</v>
      </c>
      <c r="G125" s="141" t="s">
        <v>4906</v>
      </c>
      <c r="H125" s="139">
        <f>IFERROR(VLOOKUP(B125,'📊 Problem Tracker'!$B$4:$F$1200,5,FALSE()),"")</f>
        <v>0</v>
      </c>
      <c r="I125" s="139"/>
      <c r="J125" s="139"/>
      <c r="K125" s="141"/>
      <c r="L125" s="276" t="s">
        <v>302</v>
      </c>
      <c r="M125" s="139" t="s">
        <v>648</v>
      </c>
      <c r="N125" s="183" t="s">
        <v>648</v>
      </c>
      <c r="O125" s="196" t="str">
        <f>HYPERLINK("https://leetcode.com/problems/optimal-account-balancing/","https://leetcode.com/problems/optimal-account-balancing/")</f>
        <v>https://leetcode.com/problems/optimal-account-balancing/</v>
      </c>
    </row>
    <row r="126" spans="1:15" ht="31.5" customHeight="1" x14ac:dyDescent="0.2">
      <c r="A126" s="7">
        <v>121</v>
      </c>
      <c r="B126" s="7">
        <v>473</v>
      </c>
      <c r="C126" s="231" t="s">
        <v>1492</v>
      </c>
      <c r="D126" s="7" t="s">
        <v>4501</v>
      </c>
      <c r="E126" s="18" t="s">
        <v>28</v>
      </c>
      <c r="F126" s="3" t="s">
        <v>234</v>
      </c>
      <c r="G126" s="3" t="s">
        <v>300</v>
      </c>
      <c r="H126" s="7">
        <f>IFERROR(VLOOKUP(B126,'📊 Problem Tracker'!$B$4:$F$1200,5,FALSE()),"")</f>
        <v>0</v>
      </c>
      <c r="I126" s="7"/>
      <c r="J126" s="7"/>
      <c r="K126" s="3"/>
      <c r="L126" s="228" t="s">
        <v>302</v>
      </c>
      <c r="M126" s="7" t="s">
        <v>303</v>
      </c>
      <c r="N126" s="176" t="s">
        <v>304</v>
      </c>
      <c r="O126" s="191" t="str">
        <f>HYPERLINK("https://leetcode.com/problems/matchsticks-to-square/","https://leetcode.com/problems/matchsticks-to-square/")</f>
        <v>https://leetcode.com/problems/matchsticks-to-square/</v>
      </c>
    </row>
    <row r="127" spans="1:15" ht="31.5" customHeight="1" x14ac:dyDescent="0.2">
      <c r="A127" s="139">
        <v>122</v>
      </c>
      <c r="B127" s="139">
        <v>486</v>
      </c>
      <c r="C127" s="275" t="s">
        <v>1507</v>
      </c>
      <c r="D127" s="139" t="s">
        <v>4907</v>
      </c>
      <c r="E127" s="140" t="s">
        <v>28</v>
      </c>
      <c r="F127" s="141" t="s">
        <v>4908</v>
      </c>
      <c r="G127" s="141" t="s">
        <v>4909</v>
      </c>
      <c r="H127" s="139">
        <f>IFERROR(VLOOKUP(B127,'📊 Problem Tracker'!$B$4:$F$1200,5,FALSE()),"")</f>
        <v>0</v>
      </c>
      <c r="I127" s="139"/>
      <c r="J127" s="139"/>
      <c r="K127" s="141"/>
      <c r="L127" s="276" t="s">
        <v>508</v>
      </c>
      <c r="M127" s="139" t="s">
        <v>24</v>
      </c>
      <c r="N127" s="183" t="s">
        <v>24</v>
      </c>
      <c r="O127" s="196" t="str">
        <f>HYPERLINK("https://leetcode.com/problems/predict-the-winner/","https://leetcode.com/problems/predict-the-winner/")</f>
        <v>https://leetcode.com/problems/predict-the-winner/</v>
      </c>
    </row>
    <row r="128" spans="1:15" ht="31.5" customHeight="1" x14ac:dyDescent="0.2">
      <c r="A128" s="7">
        <v>123</v>
      </c>
      <c r="B128" s="7">
        <v>490</v>
      </c>
      <c r="C128" s="231" t="s">
        <v>1511</v>
      </c>
      <c r="D128" s="7" t="s">
        <v>4652</v>
      </c>
      <c r="E128" s="18" t="s">
        <v>28</v>
      </c>
      <c r="F128" s="3" t="s">
        <v>1512</v>
      </c>
      <c r="G128" s="3" t="s">
        <v>4704</v>
      </c>
      <c r="H128" s="7">
        <f>IFERROR(VLOOKUP(B128,'📊 Problem Tracker'!$B$4:$F$1200,5,FALSE()),"")</f>
        <v>0</v>
      </c>
      <c r="I128" s="7"/>
      <c r="J128" s="7"/>
      <c r="K128" s="3"/>
      <c r="L128" s="228" t="s">
        <v>619</v>
      </c>
      <c r="M128" s="7" t="s">
        <v>648</v>
      </c>
      <c r="N128" s="176" t="s">
        <v>648</v>
      </c>
      <c r="O128" s="191" t="str">
        <f>HYPERLINK("https://leetcode.com/problems/the-maze/","https://leetcode.com/problems/the-maze/")</f>
        <v>https://leetcode.com/problems/the-maze/</v>
      </c>
    </row>
    <row r="129" spans="1:15" ht="31.5" customHeight="1" x14ac:dyDescent="0.2">
      <c r="A129" s="139">
        <v>124</v>
      </c>
      <c r="B129" s="139">
        <v>496</v>
      </c>
      <c r="C129" s="275" t="s">
        <v>1522</v>
      </c>
      <c r="D129" s="139" t="s">
        <v>4667</v>
      </c>
      <c r="E129" s="143" t="s">
        <v>20</v>
      </c>
      <c r="F129" s="141" t="s">
        <v>466</v>
      </c>
      <c r="G129" s="141" t="s">
        <v>1473</v>
      </c>
      <c r="H129" s="139">
        <f>IFERROR(VLOOKUP(B129,'📊 Problem Tracker'!$B$4:$F$1200,5,FALSE()),"")</f>
        <v>0</v>
      </c>
      <c r="I129" s="139"/>
      <c r="J129" s="139"/>
      <c r="K129" s="141"/>
      <c r="L129" s="276" t="s">
        <v>542</v>
      </c>
      <c r="M129" s="139" t="s">
        <v>24</v>
      </c>
      <c r="N129" s="183" t="s">
        <v>24</v>
      </c>
      <c r="O129" s="196" t="str">
        <f>HYPERLINK("https://leetcode.com/problems/next-greater-element-i/","https://leetcode.com/problems/next-greater-element-i/")</f>
        <v>https://leetcode.com/problems/next-greater-element-i/</v>
      </c>
    </row>
    <row r="130" spans="1:15" ht="31.5" customHeight="1" x14ac:dyDescent="0.2">
      <c r="A130" s="7">
        <v>125</v>
      </c>
      <c r="B130" s="7">
        <v>514</v>
      </c>
      <c r="C130" s="231" t="s">
        <v>1547</v>
      </c>
      <c r="D130" s="7" t="s">
        <v>4474</v>
      </c>
      <c r="E130" s="20" t="s">
        <v>42</v>
      </c>
      <c r="F130" s="3" t="s">
        <v>1086</v>
      </c>
      <c r="G130" s="3" t="s">
        <v>4302</v>
      </c>
      <c r="H130" s="7">
        <f>IFERROR(VLOOKUP(B130,'📊 Problem Tracker'!$B$4:$F$1200,5,FALSE()),"")</f>
        <v>0</v>
      </c>
      <c r="I130" s="7"/>
      <c r="J130" s="7"/>
      <c r="K130" s="3"/>
      <c r="L130" s="228" t="s">
        <v>508</v>
      </c>
      <c r="M130" s="7" t="s">
        <v>1548</v>
      </c>
      <c r="N130" s="176" t="s">
        <v>24</v>
      </c>
      <c r="O130" s="191" t="str">
        <f>HYPERLINK("https://leetcode.com/problems/freedom-trail/","https://leetcode.com/problems/freedom-trail/")</f>
        <v>https://leetcode.com/problems/freedom-trail/</v>
      </c>
    </row>
    <row r="131" spans="1:15" ht="31.5" customHeight="1" x14ac:dyDescent="0.2">
      <c r="A131" s="139">
        <v>126</v>
      </c>
      <c r="B131" s="139">
        <v>516</v>
      </c>
      <c r="C131" s="275" t="s">
        <v>1552</v>
      </c>
      <c r="D131" s="139" t="s">
        <v>4893</v>
      </c>
      <c r="E131" s="140" t="s">
        <v>28</v>
      </c>
      <c r="F131" s="141" t="s">
        <v>50</v>
      </c>
      <c r="G131" s="141" t="s">
        <v>4894</v>
      </c>
      <c r="H131" s="139">
        <f>IFERROR(VLOOKUP(B131,'📊 Problem Tracker'!$B$4:$F$1200,5,FALSE()),"")</f>
        <v>0</v>
      </c>
      <c r="I131" s="139"/>
      <c r="J131" s="139"/>
      <c r="K131" s="141"/>
      <c r="L131" s="276" t="s">
        <v>508</v>
      </c>
      <c r="M131" s="139" t="s">
        <v>24</v>
      </c>
      <c r="N131" s="183" t="s">
        <v>24</v>
      </c>
      <c r="O131" s="196" t="str">
        <f>HYPERLINK("https://leetcode.com/problems/longest-palindromic-subsequence/","https://leetcode.com/problems/longest-palindromic-subsequence/")</f>
        <v>https://leetcode.com/problems/longest-palindromic-subsequence/</v>
      </c>
    </row>
    <row r="132" spans="1:15" ht="31.5" customHeight="1" x14ac:dyDescent="0.2">
      <c r="A132" s="7">
        <v>127</v>
      </c>
      <c r="B132" s="7">
        <v>528</v>
      </c>
      <c r="C132" s="231" t="s">
        <v>1563</v>
      </c>
      <c r="D132" s="7" t="s">
        <v>4671</v>
      </c>
      <c r="E132" s="18" t="s">
        <v>28</v>
      </c>
      <c r="F132" s="3" t="s">
        <v>1564</v>
      </c>
      <c r="G132" s="3" t="s">
        <v>4672</v>
      </c>
      <c r="H132" s="7">
        <f>IFERROR(VLOOKUP(B132,'📊 Problem Tracker'!$B$4:$F$1200,5,FALSE()),"")</f>
        <v>0</v>
      </c>
      <c r="I132" s="7"/>
      <c r="J132" s="7"/>
      <c r="K132" s="3"/>
      <c r="L132" s="228" t="s">
        <v>513</v>
      </c>
      <c r="M132" s="7" t="s">
        <v>65</v>
      </c>
      <c r="N132" s="176" t="s">
        <v>47</v>
      </c>
      <c r="O132" s="191" t="str">
        <f>HYPERLINK("https://leetcode.com/problems/random-pick-with-weight/","https://leetcode.com/problems/random-pick-with-weight/")</f>
        <v>https://leetcode.com/problems/random-pick-with-weight/</v>
      </c>
    </row>
    <row r="133" spans="1:15" ht="31.5" customHeight="1" x14ac:dyDescent="0.2">
      <c r="A133" s="139">
        <v>128</v>
      </c>
      <c r="B133" s="139">
        <v>535</v>
      </c>
      <c r="C133" s="275" t="s">
        <v>1574</v>
      </c>
      <c r="D133" s="139" t="s">
        <v>4784</v>
      </c>
      <c r="E133" s="140" t="s">
        <v>28</v>
      </c>
      <c r="F133" s="141" t="s">
        <v>1575</v>
      </c>
      <c r="G133" s="141" t="s">
        <v>4785</v>
      </c>
      <c r="H133" s="139">
        <f>IFERROR(VLOOKUP(B133,'📊 Problem Tracker'!$B$4:$F$1200,5,FALSE()),"")</f>
        <v>0</v>
      </c>
      <c r="I133" s="139"/>
      <c r="J133" s="139"/>
      <c r="K133" s="141"/>
      <c r="L133" s="276" t="s">
        <v>705</v>
      </c>
      <c r="M133" s="139" t="s">
        <v>24</v>
      </c>
      <c r="N133" s="183" t="s">
        <v>24</v>
      </c>
      <c r="O133" s="196" t="str">
        <f>HYPERLINK("https://leetcode.com/problems/encode-and-decode-tinyurl/","https://leetcode.com/problems/encode-and-decode-tinyurl/")</f>
        <v>https://leetcode.com/problems/encode-and-decode-tinyurl/</v>
      </c>
    </row>
    <row r="134" spans="1:15" ht="31.5" customHeight="1" x14ac:dyDescent="0.2">
      <c r="A134" s="7">
        <v>129</v>
      </c>
      <c r="B134" s="7">
        <v>542</v>
      </c>
      <c r="C134" s="231" t="s">
        <v>1581</v>
      </c>
      <c r="D134" s="7" t="s">
        <v>4505</v>
      </c>
      <c r="E134" s="18" t="s">
        <v>28</v>
      </c>
      <c r="F134" s="3" t="s">
        <v>1106</v>
      </c>
      <c r="G134" s="3" t="s">
        <v>4618</v>
      </c>
      <c r="H134" s="7">
        <f>IFERROR(VLOOKUP(B134,'📊 Problem Tracker'!$B$4:$F$1200,5,FALSE()),"")</f>
        <v>0</v>
      </c>
      <c r="I134" s="7"/>
      <c r="J134" s="7"/>
      <c r="K134" s="3"/>
      <c r="L134" s="228" t="s">
        <v>619</v>
      </c>
      <c r="M134" s="7" t="s">
        <v>81</v>
      </c>
      <c r="N134" s="176" t="s">
        <v>81</v>
      </c>
      <c r="O134" s="191" t="str">
        <f>HYPERLINK("https://leetcode.com/problems/01-matrix/","https://leetcode.com/problems/01-matrix/")</f>
        <v>https://leetcode.com/problems/01-matrix/</v>
      </c>
    </row>
    <row r="135" spans="1:15" ht="31.5" customHeight="1" x14ac:dyDescent="0.2">
      <c r="A135" s="139">
        <v>130</v>
      </c>
      <c r="B135" s="139">
        <v>547</v>
      </c>
      <c r="C135" s="275" t="s">
        <v>1589</v>
      </c>
      <c r="D135" s="139" t="s">
        <v>4675</v>
      </c>
      <c r="E135" s="140" t="s">
        <v>28</v>
      </c>
      <c r="F135" s="141" t="s">
        <v>1213</v>
      </c>
      <c r="G135" s="141" t="s">
        <v>1736</v>
      </c>
      <c r="H135" s="139">
        <f>IFERROR(VLOOKUP(B135,'📊 Problem Tracker'!$B$4:$F$1200,5,FALSE()),"")</f>
        <v>0</v>
      </c>
      <c r="I135" s="139"/>
      <c r="J135" s="139"/>
      <c r="K135" s="141"/>
      <c r="L135" s="276" t="s">
        <v>619</v>
      </c>
      <c r="M135" s="139" t="s">
        <v>648</v>
      </c>
      <c r="N135" s="183" t="s">
        <v>648</v>
      </c>
      <c r="O135" s="196" t="str">
        <f>HYPERLINK("https://leetcode.com/problems/number-of-provinces/","https://leetcode.com/problems/number-of-provinces/")</f>
        <v>https://leetcode.com/problems/number-of-provinces/</v>
      </c>
    </row>
    <row r="136" spans="1:15" ht="31.5" customHeight="1" x14ac:dyDescent="0.2">
      <c r="A136" s="7">
        <v>131</v>
      </c>
      <c r="B136" s="7">
        <v>560</v>
      </c>
      <c r="C136" s="231" t="s">
        <v>1610</v>
      </c>
      <c r="D136" s="7" t="s">
        <v>4510</v>
      </c>
      <c r="E136" s="18" t="s">
        <v>28</v>
      </c>
      <c r="F136" s="3" t="s">
        <v>1559</v>
      </c>
      <c r="G136" s="3" t="s">
        <v>4250</v>
      </c>
      <c r="H136" s="7">
        <f>IFERROR(VLOOKUP(B136,'📊 Problem Tracker'!$B$4:$F$1200,5,FALSE()),"")</f>
        <v>0</v>
      </c>
      <c r="I136" s="7"/>
      <c r="J136" s="7"/>
      <c r="K136" s="3"/>
      <c r="L136" s="228" t="s">
        <v>1612</v>
      </c>
      <c r="M136" s="7" t="s">
        <v>24</v>
      </c>
      <c r="N136" s="176" t="s">
        <v>24</v>
      </c>
      <c r="O136" s="191" t="str">
        <f>HYPERLINK("https://leetcode.com/problems/subarray-sum-equals-k/","https://leetcode.com/problems/subarray-sum-equals-k/")</f>
        <v>https://leetcode.com/problems/subarray-sum-equals-k/</v>
      </c>
    </row>
    <row r="137" spans="1:15" ht="31.5" customHeight="1" x14ac:dyDescent="0.2">
      <c r="A137" s="139">
        <v>132</v>
      </c>
      <c r="B137" s="139">
        <v>564</v>
      </c>
      <c r="C137" s="275" t="s">
        <v>1618</v>
      </c>
      <c r="D137" s="139" t="s">
        <v>4910</v>
      </c>
      <c r="E137" s="142" t="s">
        <v>42</v>
      </c>
      <c r="F137" s="141" t="s">
        <v>56</v>
      </c>
      <c r="G137" s="141" t="s">
        <v>4911</v>
      </c>
      <c r="H137" s="139">
        <f>IFERROR(VLOOKUP(B137,'📊 Problem Tracker'!$B$4:$F$1200,5,FALSE()),"")</f>
        <v>0</v>
      </c>
      <c r="I137" s="139"/>
      <c r="J137" s="139"/>
      <c r="K137" s="141"/>
      <c r="L137" s="276" t="s">
        <v>513</v>
      </c>
      <c r="M137" s="139" t="s">
        <v>65</v>
      </c>
      <c r="N137" s="183" t="s">
        <v>65</v>
      </c>
      <c r="O137" s="196" t="str">
        <f>HYPERLINK("https://leetcode.com/problems/find-the-closest-palindrome/","https://leetcode.com/problems/find-the-closest-palindrome/")</f>
        <v>https://leetcode.com/problems/find-the-closest-palindrome/</v>
      </c>
    </row>
    <row r="138" spans="1:15" ht="31.5" customHeight="1" x14ac:dyDescent="0.2">
      <c r="A138" s="7">
        <v>133</v>
      </c>
      <c r="B138" s="7">
        <v>588</v>
      </c>
      <c r="C138" s="231" t="s">
        <v>1646</v>
      </c>
      <c r="D138" s="7" t="s">
        <v>4433</v>
      </c>
      <c r="E138" s="20" t="s">
        <v>42</v>
      </c>
      <c r="F138" s="3" t="s">
        <v>909</v>
      </c>
      <c r="G138" s="3" t="s">
        <v>4266</v>
      </c>
      <c r="H138" s="7">
        <f>IFERROR(VLOOKUP(B138,'📊 Problem Tracker'!$B$4:$F$1200,5,FALSE()),"")</f>
        <v>0</v>
      </c>
      <c r="I138" s="7"/>
      <c r="J138" s="7"/>
      <c r="K138" s="3"/>
      <c r="L138" s="228" t="s">
        <v>927</v>
      </c>
      <c r="M138" s="7" t="s">
        <v>912</v>
      </c>
      <c r="N138" s="176" t="s">
        <v>913</v>
      </c>
      <c r="O138" s="191" t="str">
        <f>HYPERLINK("https://leetcode.com/problems/design-in-memory-file-system/","https://leetcode.com/problems/design-in-memory-file-system/")</f>
        <v>https://leetcode.com/problems/design-in-memory-file-system/</v>
      </c>
    </row>
    <row r="139" spans="1:15" ht="31.5" customHeight="1" x14ac:dyDescent="0.2">
      <c r="A139" s="139">
        <v>134</v>
      </c>
      <c r="B139" s="139">
        <v>621</v>
      </c>
      <c r="C139" s="275" t="s">
        <v>1665</v>
      </c>
      <c r="D139" s="139" t="s">
        <v>4680</v>
      </c>
      <c r="E139" s="140" t="s">
        <v>28</v>
      </c>
      <c r="F139" s="141" t="s">
        <v>1531</v>
      </c>
      <c r="G139" s="141" t="s">
        <v>4272</v>
      </c>
      <c r="H139" s="139">
        <f>IFERROR(VLOOKUP(B139,'📊 Problem Tracker'!$B$4:$F$1200,5,FALSE()),"")</f>
        <v>0</v>
      </c>
      <c r="I139" s="139"/>
      <c r="J139" s="139"/>
      <c r="K139" s="141"/>
      <c r="L139" s="276" t="s">
        <v>959</v>
      </c>
      <c r="M139" s="139" t="s">
        <v>24</v>
      </c>
      <c r="N139" s="183" t="s">
        <v>47</v>
      </c>
      <c r="O139" s="196" t="str">
        <f>HYPERLINK("https://leetcode.com/problems/task-scheduler/","https://leetcode.com/problems/task-scheduler/")</f>
        <v>https://leetcode.com/problems/task-scheduler/</v>
      </c>
    </row>
    <row r="140" spans="1:15" ht="31.5" customHeight="1" x14ac:dyDescent="0.2">
      <c r="A140" s="7">
        <v>135</v>
      </c>
      <c r="B140" s="7">
        <v>636</v>
      </c>
      <c r="C140" s="231" t="s">
        <v>1690</v>
      </c>
      <c r="D140" s="7" t="s">
        <v>4681</v>
      </c>
      <c r="E140" s="18" t="s">
        <v>28</v>
      </c>
      <c r="F140" s="3" t="s">
        <v>1472</v>
      </c>
      <c r="G140" s="3" t="s">
        <v>540</v>
      </c>
      <c r="H140" s="7">
        <f>IFERROR(VLOOKUP(B140,'📊 Problem Tracker'!$B$4:$F$1200,5,FALSE()),"")</f>
        <v>0</v>
      </c>
      <c r="I140" s="7"/>
      <c r="J140" s="7"/>
      <c r="K140" s="3"/>
      <c r="L140" s="228" t="s">
        <v>542</v>
      </c>
      <c r="M140" s="7" t="s">
        <v>24</v>
      </c>
      <c r="N140" s="176" t="s">
        <v>24</v>
      </c>
      <c r="O140" s="191" t="str">
        <f>HYPERLINK("https://leetcode.com/problems/exclusive-time-of-functions/","https://leetcode.com/problems/exclusive-time-of-functions/")</f>
        <v>https://leetcode.com/problems/exclusive-time-of-functions/</v>
      </c>
    </row>
    <row r="141" spans="1:15" ht="31.5" customHeight="1" x14ac:dyDescent="0.2">
      <c r="A141" s="139">
        <v>136</v>
      </c>
      <c r="B141" s="139">
        <v>642</v>
      </c>
      <c r="C141" s="275" t="s">
        <v>1693</v>
      </c>
      <c r="D141" s="139" t="s">
        <v>4682</v>
      </c>
      <c r="E141" s="142" t="s">
        <v>42</v>
      </c>
      <c r="F141" s="141" t="s">
        <v>1694</v>
      </c>
      <c r="G141" s="141" t="s">
        <v>4792</v>
      </c>
      <c r="H141" s="139">
        <f>IFERROR(VLOOKUP(B141,'📊 Problem Tracker'!$B$4:$F$1200,5,FALSE()),"")</f>
        <v>0</v>
      </c>
      <c r="I141" s="139"/>
      <c r="J141" s="139"/>
      <c r="K141" s="141"/>
      <c r="L141" s="276" t="s">
        <v>959</v>
      </c>
      <c r="M141" s="139" t="s">
        <v>912</v>
      </c>
      <c r="N141" s="183" t="s">
        <v>913</v>
      </c>
      <c r="O141" s="196" t="str">
        <f>HYPERLINK("https://leetcode.com/problems/design-search-autocomplete-system/","https://leetcode.com/problems/design-search-autocomplete-system/")</f>
        <v>https://leetcode.com/problems/design-search-autocomplete-system/</v>
      </c>
    </row>
    <row r="142" spans="1:15" ht="31.5" customHeight="1" x14ac:dyDescent="0.2">
      <c r="A142" s="7">
        <v>137</v>
      </c>
      <c r="B142" s="7">
        <v>648</v>
      </c>
      <c r="C142" s="231" t="s">
        <v>1705</v>
      </c>
      <c r="D142" s="7" t="s">
        <v>4693</v>
      </c>
      <c r="E142" s="18" t="s">
        <v>28</v>
      </c>
      <c r="F142" s="3" t="s">
        <v>4912</v>
      </c>
      <c r="G142" s="3" t="s">
        <v>4797</v>
      </c>
      <c r="H142" s="7">
        <f>IFERROR(VLOOKUP(B142,'📊 Problem Tracker'!$B$4:$F$1200,5,FALSE()),"")</f>
        <v>0</v>
      </c>
      <c r="I142" s="7"/>
      <c r="J142" s="7"/>
      <c r="K142" s="3"/>
      <c r="L142" s="228" t="s">
        <v>927</v>
      </c>
      <c r="M142" s="7" t="s">
        <v>912</v>
      </c>
      <c r="N142" s="176" t="s">
        <v>913</v>
      </c>
      <c r="O142" s="191" t="str">
        <f>HYPERLINK("https://leetcode.com/problems/replace-words/","https://leetcode.com/problems/replace-words/")</f>
        <v>https://leetcode.com/problems/replace-words/</v>
      </c>
    </row>
    <row r="143" spans="1:15" ht="31.5" customHeight="1" x14ac:dyDescent="0.2">
      <c r="A143" s="139">
        <v>138</v>
      </c>
      <c r="B143" s="139">
        <v>658</v>
      </c>
      <c r="C143" s="275" t="s">
        <v>1712</v>
      </c>
      <c r="D143" s="139" t="s">
        <v>4684</v>
      </c>
      <c r="E143" s="140" t="s">
        <v>28</v>
      </c>
      <c r="F143" s="141" t="s">
        <v>4276</v>
      </c>
      <c r="G143" s="141" t="s">
        <v>512</v>
      </c>
      <c r="H143" s="139">
        <f>IFERROR(VLOOKUP(B143,'📊 Problem Tracker'!$B$4:$F$1200,5,FALSE()),"")</f>
        <v>0</v>
      </c>
      <c r="I143" s="139"/>
      <c r="J143" s="139"/>
      <c r="K143" s="141"/>
      <c r="L143" s="276" t="s">
        <v>919</v>
      </c>
      <c r="M143" s="139" t="s">
        <v>1713</v>
      </c>
      <c r="N143" s="183" t="s">
        <v>47</v>
      </c>
      <c r="O143" s="196" t="str">
        <f>HYPERLINK("https://leetcode.com/problems/find-k-closest-elements/","https://leetcode.com/problems/find-k-closest-elements/")</f>
        <v>https://leetcode.com/problems/find-k-closest-elements/</v>
      </c>
    </row>
    <row r="144" spans="1:15" ht="31.5" customHeight="1" x14ac:dyDescent="0.2">
      <c r="A144" s="7">
        <v>139</v>
      </c>
      <c r="B144" s="7">
        <v>680</v>
      </c>
      <c r="C144" s="231" t="s">
        <v>1728</v>
      </c>
      <c r="D144" s="7" t="s">
        <v>4451</v>
      </c>
      <c r="E144" s="21" t="s">
        <v>20</v>
      </c>
      <c r="F144" s="3" t="s">
        <v>611</v>
      </c>
      <c r="G144" s="3" t="s">
        <v>689</v>
      </c>
      <c r="H144" s="7">
        <f>IFERROR(VLOOKUP(B144,'📊 Problem Tracker'!$B$4:$F$1200,5,FALSE()),"")</f>
        <v>0</v>
      </c>
      <c r="I144" s="7"/>
      <c r="J144" s="7"/>
      <c r="K144" s="3"/>
      <c r="L144" s="228" t="s">
        <v>690</v>
      </c>
      <c r="M144" s="7" t="s">
        <v>24</v>
      </c>
      <c r="N144" s="176" t="s">
        <v>47</v>
      </c>
      <c r="O144" s="191" t="str">
        <f>HYPERLINK("https://leetcode.com/problems/valid-palindrome-ii/","https://leetcode.com/problems/valid-palindrome-ii/")</f>
        <v>https://leetcode.com/problems/valid-palindrome-ii/</v>
      </c>
    </row>
    <row r="145" spans="1:15" ht="31.5" customHeight="1" x14ac:dyDescent="0.2">
      <c r="A145" s="139">
        <v>140</v>
      </c>
      <c r="B145" s="139">
        <v>690</v>
      </c>
      <c r="C145" s="275" t="s">
        <v>1742</v>
      </c>
      <c r="D145" s="139" t="s">
        <v>4913</v>
      </c>
      <c r="E145" s="140" t="s">
        <v>28</v>
      </c>
      <c r="F145" s="141" t="s">
        <v>4914</v>
      </c>
      <c r="G145" s="141" t="s">
        <v>4915</v>
      </c>
      <c r="H145" s="139">
        <f>IFERROR(VLOOKUP(B145,'📊 Problem Tracker'!$B$4:$F$1200,5,FALSE()),"")</f>
        <v>0</v>
      </c>
      <c r="I145" s="139"/>
      <c r="J145" s="139"/>
      <c r="K145" s="141"/>
      <c r="L145" s="276" t="s">
        <v>619</v>
      </c>
      <c r="M145" s="139" t="s">
        <v>648</v>
      </c>
      <c r="N145" s="183" t="s">
        <v>648</v>
      </c>
      <c r="O145" s="196" t="str">
        <f>HYPERLINK("https://leetcode.com/problems/employee-importance/","https://leetcode.com/problems/employee-importance/")</f>
        <v>https://leetcode.com/problems/employee-importance/</v>
      </c>
    </row>
    <row r="146" spans="1:15" ht="31.5" customHeight="1" x14ac:dyDescent="0.2">
      <c r="A146" s="7">
        <v>141</v>
      </c>
      <c r="B146" s="7">
        <v>692</v>
      </c>
      <c r="C146" s="231" t="s">
        <v>1745</v>
      </c>
      <c r="D146" s="7" t="s">
        <v>4687</v>
      </c>
      <c r="E146" s="18" t="s">
        <v>28</v>
      </c>
      <c r="F146" s="3" t="s">
        <v>1746</v>
      </c>
      <c r="G146" s="3" t="s">
        <v>4229</v>
      </c>
      <c r="H146" s="7">
        <f>IFERROR(VLOOKUP(B146,'📊 Problem Tracker'!$B$4:$F$1200,5,FALSE()),"")</f>
        <v>0</v>
      </c>
      <c r="I146" s="7"/>
      <c r="J146" s="7"/>
      <c r="K146" s="3"/>
      <c r="L146" s="228" t="s">
        <v>959</v>
      </c>
      <c r="M146" s="7" t="s">
        <v>24</v>
      </c>
      <c r="N146" s="176" t="s">
        <v>24</v>
      </c>
      <c r="O146" s="191" t="str">
        <f>HYPERLINK("https://leetcode.com/problems/top-k-frequent-words/","https://leetcode.com/problems/top-k-frequent-words/")</f>
        <v>https://leetcode.com/problems/top-k-frequent-words/</v>
      </c>
    </row>
    <row r="147" spans="1:15" ht="31.5" customHeight="1" x14ac:dyDescent="0.2">
      <c r="A147" s="139">
        <v>142</v>
      </c>
      <c r="B147" s="139">
        <v>699</v>
      </c>
      <c r="C147" s="275" t="s">
        <v>1762</v>
      </c>
      <c r="D147" s="139" t="s">
        <v>4692</v>
      </c>
      <c r="E147" s="142" t="s">
        <v>42</v>
      </c>
      <c r="F147" s="141" t="s">
        <v>1763</v>
      </c>
      <c r="G147" s="141" t="s">
        <v>4916</v>
      </c>
      <c r="H147" s="139">
        <f>IFERROR(VLOOKUP(B147,'📊 Problem Tracker'!$B$4:$F$1200,5,FALSE()),"")</f>
        <v>0</v>
      </c>
      <c r="I147" s="139"/>
      <c r="J147" s="139"/>
      <c r="K147" s="141"/>
      <c r="L147" s="276" t="s">
        <v>1077</v>
      </c>
      <c r="M147" s="139" t="s">
        <v>326</v>
      </c>
      <c r="N147" s="183" t="s">
        <v>24</v>
      </c>
      <c r="O147" s="196" t="str">
        <f>HYPERLINK("https://leetcode.com/problems/falling-squares/","https://leetcode.com/problems/falling-squares/")</f>
        <v>https://leetcode.com/problems/falling-squares/</v>
      </c>
    </row>
    <row r="148" spans="1:15" ht="31.5" customHeight="1" x14ac:dyDescent="0.2">
      <c r="A148" s="7">
        <v>143</v>
      </c>
      <c r="B148" s="7">
        <v>723</v>
      </c>
      <c r="C148" s="231" t="s">
        <v>1810</v>
      </c>
      <c r="D148" s="7" t="s">
        <v>4917</v>
      </c>
      <c r="E148" s="18" t="s">
        <v>28</v>
      </c>
      <c r="F148" s="3" t="s">
        <v>283</v>
      </c>
      <c r="G148" s="3" t="s">
        <v>4779</v>
      </c>
      <c r="H148" s="7">
        <f>IFERROR(VLOOKUP(B148,'📊 Problem Tracker'!$B$4:$F$1200,5,FALSE()),"")</f>
        <v>0</v>
      </c>
      <c r="I148" s="7"/>
      <c r="J148" s="7"/>
      <c r="K148" s="3"/>
      <c r="L148" s="228" t="s">
        <v>654</v>
      </c>
      <c r="M148" s="7" t="s">
        <v>81</v>
      </c>
      <c r="N148" s="176" t="s">
        <v>81</v>
      </c>
      <c r="O148" s="191" t="str">
        <f>HYPERLINK("https://leetcode.com/problems/candy-crush/","https://leetcode.com/problems/candy-crush/")</f>
        <v>https://leetcode.com/problems/candy-crush/</v>
      </c>
    </row>
    <row r="149" spans="1:15" ht="31.5" customHeight="1" x14ac:dyDescent="0.2">
      <c r="A149" s="139">
        <v>144</v>
      </c>
      <c r="B149" s="139">
        <v>729</v>
      </c>
      <c r="C149" s="275" t="s">
        <v>1823</v>
      </c>
      <c r="D149" s="139" t="s">
        <v>4529</v>
      </c>
      <c r="E149" s="140" t="s">
        <v>28</v>
      </c>
      <c r="F149" s="141" t="s">
        <v>1798</v>
      </c>
      <c r="G149" s="141" t="s">
        <v>4795</v>
      </c>
      <c r="H149" s="139">
        <f>IFERROR(VLOOKUP(B149,'📊 Problem Tracker'!$B$4:$F$1200,5,FALSE()),"")</f>
        <v>0</v>
      </c>
      <c r="I149" s="139"/>
      <c r="J149" s="139"/>
      <c r="K149" s="141"/>
      <c r="L149" s="276" t="s">
        <v>1077</v>
      </c>
      <c r="M149" s="139" t="s">
        <v>326</v>
      </c>
      <c r="N149" s="183" t="s">
        <v>24</v>
      </c>
      <c r="O149" s="196" t="str">
        <f>HYPERLINK("https://leetcode.com/problems/my-calendar-i/","https://leetcode.com/problems/my-calendar-i/")</f>
        <v>https://leetcode.com/problems/my-calendar-i/</v>
      </c>
    </row>
    <row r="150" spans="1:15" ht="31.5" customHeight="1" x14ac:dyDescent="0.2">
      <c r="A150" s="7">
        <v>145</v>
      </c>
      <c r="B150" s="7">
        <v>733</v>
      </c>
      <c r="C150" s="231" t="s">
        <v>1828</v>
      </c>
      <c r="D150" s="7" t="s">
        <v>4496</v>
      </c>
      <c r="E150" s="21" t="s">
        <v>20</v>
      </c>
      <c r="F150" s="3" t="s">
        <v>637</v>
      </c>
      <c r="G150" s="3" t="s">
        <v>4548</v>
      </c>
      <c r="H150" s="7">
        <f>IFERROR(VLOOKUP(B150,'📊 Problem Tracker'!$B$4:$F$1200,5,FALSE()),"")</f>
        <v>0</v>
      </c>
      <c r="I150" s="7"/>
      <c r="J150" s="7"/>
      <c r="K150" s="3"/>
      <c r="L150" s="228" t="s">
        <v>1830</v>
      </c>
      <c r="M150" s="7" t="s">
        <v>81</v>
      </c>
      <c r="N150" s="176" t="s">
        <v>81</v>
      </c>
      <c r="O150" s="191" t="str">
        <f>HYPERLINK("https://leetcode.com/problems/flood-fill/","https://leetcode.com/problems/flood-fill/")</f>
        <v>https://leetcode.com/problems/flood-fill/</v>
      </c>
    </row>
    <row r="151" spans="1:15" ht="31.5" customHeight="1" x14ac:dyDescent="0.2">
      <c r="A151" s="139">
        <v>146</v>
      </c>
      <c r="B151" s="139">
        <v>735</v>
      </c>
      <c r="C151" s="275" t="s">
        <v>1832</v>
      </c>
      <c r="D151" s="139" t="s">
        <v>4692</v>
      </c>
      <c r="E151" s="140" t="s">
        <v>28</v>
      </c>
      <c r="F151" s="141" t="s">
        <v>1472</v>
      </c>
      <c r="G151" s="141" t="s">
        <v>540</v>
      </c>
      <c r="H151" s="139">
        <f>IFERROR(VLOOKUP(B151,'📊 Problem Tracker'!$B$4:$F$1200,5,FALSE()),"")</f>
        <v>0</v>
      </c>
      <c r="I151" s="139"/>
      <c r="J151" s="139"/>
      <c r="K151" s="141"/>
      <c r="L151" s="276" t="s">
        <v>542</v>
      </c>
      <c r="M151" s="139" t="s">
        <v>24</v>
      </c>
      <c r="N151" s="183" t="s">
        <v>24</v>
      </c>
      <c r="O151" s="196" t="str">
        <f>HYPERLINK("https://leetcode.com/problems/asteroid-collision/","https://leetcode.com/problems/asteroid-collision/")</f>
        <v>https://leetcode.com/problems/asteroid-collision/</v>
      </c>
    </row>
    <row r="152" spans="1:15" ht="31.5" customHeight="1" x14ac:dyDescent="0.2">
      <c r="A152" s="7">
        <v>147</v>
      </c>
      <c r="B152" s="7">
        <v>741</v>
      </c>
      <c r="C152" s="231" t="s">
        <v>1841</v>
      </c>
      <c r="D152" s="7" t="s">
        <v>4918</v>
      </c>
      <c r="E152" s="20" t="s">
        <v>42</v>
      </c>
      <c r="F152" s="3" t="s">
        <v>360</v>
      </c>
      <c r="G152" s="3" t="s">
        <v>4919</v>
      </c>
      <c r="H152" s="7">
        <f>IFERROR(VLOOKUP(B152,'📊 Problem Tracker'!$B$4:$F$1200,5,FALSE()),"")</f>
        <v>0</v>
      </c>
      <c r="I152" s="7"/>
      <c r="J152" s="7"/>
      <c r="K152" s="3"/>
      <c r="L152" s="228" t="s">
        <v>508</v>
      </c>
      <c r="M152" s="7" t="s">
        <v>1175</v>
      </c>
      <c r="N152" s="176" t="s">
        <v>341</v>
      </c>
      <c r="O152" s="191" t="str">
        <f>HYPERLINK("https://leetcode.com/problems/cherry-pickup/","https://leetcode.com/problems/cherry-pickup/")</f>
        <v>https://leetcode.com/problems/cherry-pickup/</v>
      </c>
    </row>
    <row r="153" spans="1:15" ht="31.5" customHeight="1" x14ac:dyDescent="0.2">
      <c r="A153" s="139">
        <v>148</v>
      </c>
      <c r="B153" s="139">
        <v>752</v>
      </c>
      <c r="C153" s="275" t="s">
        <v>1856</v>
      </c>
      <c r="D153" s="139" t="s">
        <v>4515</v>
      </c>
      <c r="E153" s="140" t="s">
        <v>28</v>
      </c>
      <c r="F153" s="141" t="s">
        <v>1857</v>
      </c>
      <c r="G153" s="141" t="s">
        <v>4895</v>
      </c>
      <c r="H153" s="139">
        <f>IFERROR(VLOOKUP(B153,'📊 Problem Tracker'!$B$4:$F$1200,5,FALSE()),"")</f>
        <v>0</v>
      </c>
      <c r="I153" s="139"/>
      <c r="J153" s="139"/>
      <c r="K153" s="141"/>
      <c r="L153" s="276" t="s">
        <v>619</v>
      </c>
      <c r="M153" s="139" t="s">
        <v>648</v>
      </c>
      <c r="N153" s="183" t="s">
        <v>648</v>
      </c>
      <c r="O153" s="196" t="str">
        <f>HYPERLINK("https://leetcode.com/problems/open-the-lock/","https://leetcode.com/problems/open-the-lock/")</f>
        <v>https://leetcode.com/problems/open-the-lock/</v>
      </c>
    </row>
    <row r="154" spans="1:15" ht="31.5" customHeight="1" x14ac:dyDescent="0.2">
      <c r="A154" s="7">
        <v>149</v>
      </c>
      <c r="B154" s="7">
        <v>773</v>
      </c>
      <c r="C154" s="231" t="s">
        <v>1888</v>
      </c>
      <c r="D154" s="7" t="s">
        <v>4778</v>
      </c>
      <c r="E154" s="20" t="s">
        <v>42</v>
      </c>
      <c r="F154" s="3" t="s">
        <v>1857</v>
      </c>
      <c r="G154" s="3" t="s">
        <v>4895</v>
      </c>
      <c r="H154" s="7">
        <f>IFERROR(VLOOKUP(B154,'📊 Problem Tracker'!$B$4:$F$1200,5,FALSE()),"")</f>
        <v>0</v>
      </c>
      <c r="I154" s="7"/>
      <c r="J154" s="7"/>
      <c r="K154" s="3"/>
      <c r="L154" s="228" t="s">
        <v>619</v>
      </c>
      <c r="M154" s="7" t="s">
        <v>363</v>
      </c>
      <c r="N154" s="176" t="s">
        <v>363</v>
      </c>
      <c r="O154" s="191" t="str">
        <f>HYPERLINK("https://leetcode.com/problems/sliding-puzzle/","https://leetcode.com/problems/sliding-puzzle/")</f>
        <v>https://leetcode.com/problems/sliding-puzzle/</v>
      </c>
    </row>
    <row r="155" spans="1:15" ht="31.5" customHeight="1" x14ac:dyDescent="0.2">
      <c r="A155" s="139">
        <v>150</v>
      </c>
      <c r="B155" s="139">
        <v>778</v>
      </c>
      <c r="C155" s="275" t="s">
        <v>1892</v>
      </c>
      <c r="D155" s="139" t="s">
        <v>4608</v>
      </c>
      <c r="E155" s="142" t="s">
        <v>42</v>
      </c>
      <c r="F155" s="141" t="s">
        <v>4338</v>
      </c>
      <c r="G155" s="141" t="s">
        <v>4874</v>
      </c>
      <c r="H155" s="139">
        <f>IFERROR(VLOOKUP(B155,'📊 Problem Tracker'!$B$4:$F$1200,5,FALSE()),"")</f>
        <v>0</v>
      </c>
      <c r="I155" s="139"/>
      <c r="J155" s="139"/>
      <c r="K155" s="141"/>
      <c r="L155" s="276" t="s">
        <v>513</v>
      </c>
      <c r="M155" s="139" t="s">
        <v>1894</v>
      </c>
      <c r="N155" s="183" t="s">
        <v>341</v>
      </c>
      <c r="O155" s="196" t="str">
        <f>HYPERLINK("https://leetcode.com/problems/swim-in-rising-water/","https://leetcode.com/problems/swim-in-rising-water/")</f>
        <v>https://leetcode.com/problems/swim-in-rising-water/</v>
      </c>
    </row>
    <row r="156" spans="1:15" ht="31.5" customHeight="1" x14ac:dyDescent="0.2">
      <c r="A156" s="7">
        <v>151</v>
      </c>
      <c r="B156" s="7">
        <v>785</v>
      </c>
      <c r="C156" s="231" t="s">
        <v>1896</v>
      </c>
      <c r="D156" s="7" t="s">
        <v>4673</v>
      </c>
      <c r="E156" s="18" t="s">
        <v>28</v>
      </c>
      <c r="F156" s="3" t="s">
        <v>1743</v>
      </c>
      <c r="G156" s="3" t="s">
        <v>4920</v>
      </c>
      <c r="H156" s="7">
        <f>IFERROR(VLOOKUP(B156,'📊 Problem Tracker'!$B$4:$F$1200,5,FALSE()),"")</f>
        <v>0</v>
      </c>
      <c r="I156" s="7"/>
      <c r="J156" s="7"/>
      <c r="K156" s="3"/>
      <c r="L156" s="228" t="s">
        <v>619</v>
      </c>
      <c r="M156" s="7" t="s">
        <v>648</v>
      </c>
      <c r="N156" s="176" t="s">
        <v>648</v>
      </c>
      <c r="O156" s="191" t="str">
        <f>HYPERLINK("https://leetcode.com/problems/is-graph-bipartite/","https://leetcode.com/problems/is-graph-bipartite/")</f>
        <v>https://leetcode.com/problems/is-graph-bipartite/</v>
      </c>
    </row>
    <row r="157" spans="1:15" ht="31.5" customHeight="1" x14ac:dyDescent="0.2">
      <c r="A157" s="139">
        <v>152</v>
      </c>
      <c r="B157" s="139">
        <v>787</v>
      </c>
      <c r="C157" s="275" t="s">
        <v>1898</v>
      </c>
      <c r="D157" s="139" t="s">
        <v>4501</v>
      </c>
      <c r="E157" s="140" t="s">
        <v>28</v>
      </c>
      <c r="F157" s="141" t="s">
        <v>1899</v>
      </c>
      <c r="G157" s="141" t="s">
        <v>4302</v>
      </c>
      <c r="H157" s="139">
        <f>IFERROR(VLOOKUP(B157,'📊 Problem Tracker'!$B$4:$F$1200,5,FALSE()),"")</f>
        <v>0</v>
      </c>
      <c r="I157" s="139"/>
      <c r="J157" s="139"/>
      <c r="K157" s="141"/>
      <c r="L157" s="276" t="s">
        <v>508</v>
      </c>
      <c r="M157" s="139" t="s">
        <v>648</v>
      </c>
      <c r="N157" s="183" t="s">
        <v>648</v>
      </c>
      <c r="O157" s="196" t="str">
        <f>HYPERLINK("https://leetcode.com/problems/cheapest-flights-within-k-stops/","https://leetcode.com/problems/cheapest-flights-within-k-stops/")</f>
        <v>https://leetcode.com/problems/cheapest-flights-within-k-stops/</v>
      </c>
    </row>
    <row r="158" spans="1:15" ht="31.5" customHeight="1" x14ac:dyDescent="0.2">
      <c r="A158" s="7">
        <v>153</v>
      </c>
      <c r="B158" s="7">
        <v>791</v>
      </c>
      <c r="C158" s="231" t="s">
        <v>1910</v>
      </c>
      <c r="D158" s="7" t="s">
        <v>4875</v>
      </c>
      <c r="E158" s="18" t="s">
        <v>28</v>
      </c>
      <c r="F158" s="3" t="s">
        <v>1911</v>
      </c>
      <c r="G158" s="3" t="s">
        <v>4876</v>
      </c>
      <c r="H158" s="7">
        <f>IFERROR(VLOOKUP(B158,'📊 Problem Tracker'!$B$4:$F$1200,5,FALSE()),"")</f>
        <v>0</v>
      </c>
      <c r="I158" s="7"/>
      <c r="J158" s="7"/>
      <c r="K158" s="3"/>
      <c r="L158" s="228" t="s">
        <v>1077</v>
      </c>
      <c r="M158" s="7" t="s">
        <v>326</v>
      </c>
      <c r="N158" s="176" t="s">
        <v>24</v>
      </c>
      <c r="O158" s="191" t="str">
        <f>HYPERLINK("https://leetcode.com/problems/custom-sort-string/","https://leetcode.com/problems/custom-sort-string/")</f>
        <v>https://leetcode.com/problems/custom-sort-string/</v>
      </c>
    </row>
    <row r="159" spans="1:15" ht="31.5" customHeight="1" x14ac:dyDescent="0.2">
      <c r="A159" s="139">
        <v>154</v>
      </c>
      <c r="B159" s="139">
        <v>792</v>
      </c>
      <c r="C159" s="275" t="s">
        <v>1914</v>
      </c>
      <c r="D159" s="139" t="s">
        <v>4502</v>
      </c>
      <c r="E159" s="140" t="s">
        <v>28</v>
      </c>
      <c r="F159" s="141" t="s">
        <v>2032</v>
      </c>
      <c r="G159" s="141" t="s">
        <v>4921</v>
      </c>
      <c r="H159" s="139">
        <f>IFERROR(VLOOKUP(B159,'📊 Problem Tracker'!$B$4:$F$1200,5,FALSE()),"")</f>
        <v>0</v>
      </c>
      <c r="I159" s="139"/>
      <c r="J159" s="139"/>
      <c r="K159" s="141"/>
      <c r="L159" s="276" t="s">
        <v>513</v>
      </c>
      <c r="M159" s="139" t="s">
        <v>65</v>
      </c>
      <c r="N159" s="183" t="s">
        <v>47</v>
      </c>
      <c r="O159" s="196" t="str">
        <f>HYPERLINK("https://leetcode.com/problems/number-of-matching-subsequences/","https://leetcode.com/problems/number-of-matching-subsequences/")</f>
        <v>https://leetcode.com/problems/number-of-matching-subsequences/</v>
      </c>
    </row>
    <row r="160" spans="1:15" ht="31.5" customHeight="1" x14ac:dyDescent="0.2">
      <c r="A160" s="7">
        <v>155</v>
      </c>
      <c r="B160" s="7">
        <v>802</v>
      </c>
      <c r="C160" s="231" t="s">
        <v>1930</v>
      </c>
      <c r="D160" s="7" t="s">
        <v>4697</v>
      </c>
      <c r="E160" s="18" t="s">
        <v>28</v>
      </c>
      <c r="F160" s="3" t="s">
        <v>1232</v>
      </c>
      <c r="G160" s="3" t="s">
        <v>4698</v>
      </c>
      <c r="H160" s="7">
        <f>IFERROR(VLOOKUP(B160,'📊 Problem Tracker'!$B$4:$F$1200,5,FALSE()),"")</f>
        <v>0</v>
      </c>
      <c r="I160" s="7"/>
      <c r="J160" s="7"/>
      <c r="K160" s="3"/>
      <c r="L160" s="228" t="s">
        <v>619</v>
      </c>
      <c r="M160" s="7" t="s">
        <v>648</v>
      </c>
      <c r="N160" s="176" t="s">
        <v>648</v>
      </c>
      <c r="O160" s="191" t="str">
        <f>HYPERLINK("https://leetcode.com/problems/find-eventual-safe-states/","https://leetcode.com/problems/find-eventual-safe-states/")</f>
        <v>https://leetcode.com/problems/find-eventual-safe-states/</v>
      </c>
    </row>
    <row r="161" spans="1:15" ht="31.5" customHeight="1" x14ac:dyDescent="0.2">
      <c r="A161" s="139">
        <v>156</v>
      </c>
      <c r="B161" s="139">
        <v>815</v>
      </c>
      <c r="C161" s="275" t="s">
        <v>1937</v>
      </c>
      <c r="D161" s="139" t="s">
        <v>4510</v>
      </c>
      <c r="E161" s="142" t="s">
        <v>42</v>
      </c>
      <c r="F161" s="141" t="s">
        <v>1857</v>
      </c>
      <c r="G161" s="141" t="s">
        <v>4895</v>
      </c>
      <c r="H161" s="139">
        <f>IFERROR(VLOOKUP(B161,'📊 Problem Tracker'!$B$4:$F$1200,5,FALSE()),"")</f>
        <v>0</v>
      </c>
      <c r="I161" s="139"/>
      <c r="J161" s="139"/>
      <c r="K161" s="141"/>
      <c r="L161" s="276" t="s">
        <v>619</v>
      </c>
      <c r="M161" s="139" t="s">
        <v>648</v>
      </c>
      <c r="N161" s="183" t="s">
        <v>648</v>
      </c>
      <c r="O161" s="196" t="str">
        <f>HYPERLINK("https://leetcode.com/problems/bus-routes/","https://leetcode.com/problems/bus-routes/")</f>
        <v>https://leetcode.com/problems/bus-routes/</v>
      </c>
    </row>
    <row r="162" spans="1:15" ht="31.5" customHeight="1" x14ac:dyDescent="0.2">
      <c r="A162" s="7">
        <v>157</v>
      </c>
      <c r="B162" s="7">
        <v>827</v>
      </c>
      <c r="C162" s="231" t="s">
        <v>1951</v>
      </c>
      <c r="D162" s="7" t="s">
        <v>4625</v>
      </c>
      <c r="E162" s="20" t="s">
        <v>42</v>
      </c>
      <c r="F162" s="3" t="s">
        <v>1952</v>
      </c>
      <c r="G162" s="3" t="s">
        <v>4877</v>
      </c>
      <c r="H162" s="7">
        <f>IFERROR(VLOOKUP(B162,'📊 Problem Tracker'!$B$4:$F$1200,5,FALSE()),"")</f>
        <v>0</v>
      </c>
      <c r="I162" s="7"/>
      <c r="J162" s="7"/>
      <c r="K162" s="3"/>
      <c r="L162" s="228" t="s">
        <v>619</v>
      </c>
      <c r="M162" s="7" t="s">
        <v>81</v>
      </c>
      <c r="N162" s="176" t="s">
        <v>81</v>
      </c>
      <c r="O162" s="191" t="str">
        <f>HYPERLINK("https://leetcode.com/problems/making-a-large-island/","https://leetcode.com/problems/making-a-large-island/")</f>
        <v>https://leetcode.com/problems/making-a-large-island/</v>
      </c>
    </row>
    <row r="163" spans="1:15" ht="31.5" customHeight="1" x14ac:dyDescent="0.2">
      <c r="A163" s="139">
        <v>158</v>
      </c>
      <c r="B163" s="139">
        <v>855</v>
      </c>
      <c r="C163" s="275" t="s">
        <v>1987</v>
      </c>
      <c r="D163" s="139" t="s">
        <v>4611</v>
      </c>
      <c r="E163" s="140" t="s">
        <v>28</v>
      </c>
      <c r="F163" s="141" t="s">
        <v>1798</v>
      </c>
      <c r="G163" s="141" t="s">
        <v>4795</v>
      </c>
      <c r="H163" s="139">
        <f>IFERROR(VLOOKUP(B163,'📊 Problem Tracker'!$B$4:$F$1200,5,FALSE()),"")</f>
        <v>0</v>
      </c>
      <c r="I163" s="139"/>
      <c r="J163" s="139"/>
      <c r="K163" s="141"/>
      <c r="L163" s="276" t="s">
        <v>1077</v>
      </c>
      <c r="M163" s="139" t="s">
        <v>326</v>
      </c>
      <c r="N163" s="183" t="s">
        <v>24</v>
      </c>
      <c r="O163" s="196" t="str">
        <f>HYPERLINK("https://leetcode.com/problems/exam-room/","https://leetcode.com/problems/exam-room/")</f>
        <v>https://leetcode.com/problems/exam-room/</v>
      </c>
    </row>
    <row r="164" spans="1:15" ht="31.5" customHeight="1" x14ac:dyDescent="0.2">
      <c r="A164" s="7">
        <v>159</v>
      </c>
      <c r="B164" s="7">
        <v>875</v>
      </c>
      <c r="C164" s="231" t="s">
        <v>2014</v>
      </c>
      <c r="D164" s="7" t="s">
        <v>4682</v>
      </c>
      <c r="E164" s="18" t="s">
        <v>28</v>
      </c>
      <c r="F164" s="3" t="s">
        <v>41</v>
      </c>
      <c r="G164" s="3" t="s">
        <v>1801</v>
      </c>
      <c r="H164" s="7">
        <f>IFERROR(VLOOKUP(B164,'📊 Problem Tracker'!$B$4:$F$1200,5,FALSE()),"")</f>
        <v>0</v>
      </c>
      <c r="I164" s="7"/>
      <c r="J164" s="7"/>
      <c r="K164" s="3"/>
      <c r="L164" s="228" t="s">
        <v>513</v>
      </c>
      <c r="M164" s="7" t="s">
        <v>65</v>
      </c>
      <c r="N164" s="176" t="s">
        <v>47</v>
      </c>
      <c r="O164" s="191" t="str">
        <f>HYPERLINK("https://leetcode.com/problems/koko-eating-bananas/","https://leetcode.com/problems/koko-eating-bananas/")</f>
        <v>https://leetcode.com/problems/koko-eating-bananas/</v>
      </c>
    </row>
    <row r="165" spans="1:15" ht="31.5" customHeight="1" x14ac:dyDescent="0.2">
      <c r="A165" s="139">
        <v>160</v>
      </c>
      <c r="B165" s="139">
        <v>886</v>
      </c>
      <c r="C165" s="275" t="s">
        <v>2029</v>
      </c>
      <c r="D165" s="139" t="s">
        <v>4922</v>
      </c>
      <c r="E165" s="140" t="s">
        <v>28</v>
      </c>
      <c r="F165" s="141" t="s">
        <v>4164</v>
      </c>
      <c r="G165" s="141" t="s">
        <v>4923</v>
      </c>
      <c r="H165" s="139">
        <f>IFERROR(VLOOKUP(B165,'📊 Problem Tracker'!$B$4:$F$1200,5,FALSE()),"")</f>
        <v>0</v>
      </c>
      <c r="I165" s="139"/>
      <c r="J165" s="139"/>
      <c r="K165" s="141"/>
      <c r="L165" s="276" t="s">
        <v>619</v>
      </c>
      <c r="M165" s="139" t="s">
        <v>648</v>
      </c>
      <c r="N165" s="183" t="s">
        <v>648</v>
      </c>
      <c r="O165" s="196" t="str">
        <f>HYPERLINK("https://leetcode.com/problems/possible-bipartition/","https://leetcode.com/problems/possible-bipartition/")</f>
        <v>https://leetcode.com/problems/possible-bipartition/</v>
      </c>
    </row>
    <row r="166" spans="1:15" ht="31.5" customHeight="1" x14ac:dyDescent="0.2">
      <c r="A166" s="7">
        <v>161</v>
      </c>
      <c r="B166" s="7">
        <v>895</v>
      </c>
      <c r="C166" s="231" t="s">
        <v>2038</v>
      </c>
      <c r="D166" s="7" t="s">
        <v>4495</v>
      </c>
      <c r="E166" s="20" t="s">
        <v>42</v>
      </c>
      <c r="F166" s="3" t="s">
        <v>4314</v>
      </c>
      <c r="G166" s="3" t="s">
        <v>4809</v>
      </c>
      <c r="H166" s="7">
        <f>IFERROR(VLOOKUP(B166,'📊 Problem Tracker'!$B$4:$F$1200,5,FALSE()),"")</f>
        <v>0</v>
      </c>
      <c r="I166" s="7"/>
      <c r="J166" s="7"/>
      <c r="K166" s="3"/>
      <c r="L166" s="228" t="s">
        <v>959</v>
      </c>
      <c r="M166" s="7" t="s">
        <v>960</v>
      </c>
      <c r="N166" s="176" t="s">
        <v>153</v>
      </c>
      <c r="O166" s="191" t="str">
        <f>HYPERLINK("https://leetcode.com/problems/maximum-frequency-stack/","https://leetcode.com/problems/maximum-frequency-stack/")</f>
        <v>https://leetcode.com/problems/maximum-frequency-stack/</v>
      </c>
    </row>
    <row r="167" spans="1:15" ht="31.5" customHeight="1" x14ac:dyDescent="0.2">
      <c r="A167" s="139">
        <v>162</v>
      </c>
      <c r="B167" s="139">
        <v>934</v>
      </c>
      <c r="C167" s="275" t="s">
        <v>2074</v>
      </c>
      <c r="D167" s="139" t="s">
        <v>4454</v>
      </c>
      <c r="E167" s="140" t="s">
        <v>28</v>
      </c>
      <c r="F167" s="141" t="s">
        <v>2075</v>
      </c>
      <c r="G167" s="141" t="s">
        <v>4704</v>
      </c>
      <c r="H167" s="139">
        <f>IFERROR(VLOOKUP(B167,'📊 Problem Tracker'!$B$4:$F$1200,5,FALSE()),"")</f>
        <v>0</v>
      </c>
      <c r="I167" s="139"/>
      <c r="J167" s="139"/>
      <c r="K167" s="141"/>
      <c r="L167" s="276" t="s">
        <v>619</v>
      </c>
      <c r="M167" s="139" t="s">
        <v>81</v>
      </c>
      <c r="N167" s="183" t="s">
        <v>81</v>
      </c>
      <c r="O167" s="196" t="str">
        <f>HYPERLINK("https://leetcode.com/problems/shortest-bridge/","https://leetcode.com/problems/shortest-bridge/")</f>
        <v>https://leetcode.com/problems/shortest-bridge/</v>
      </c>
    </row>
    <row r="168" spans="1:15" ht="31.5" customHeight="1" x14ac:dyDescent="0.2">
      <c r="A168" s="7">
        <v>163</v>
      </c>
      <c r="B168" s="7">
        <v>953</v>
      </c>
      <c r="C168" s="231" t="s">
        <v>2090</v>
      </c>
      <c r="D168" s="7" t="s">
        <v>4813</v>
      </c>
      <c r="E168" s="21" t="s">
        <v>20</v>
      </c>
      <c r="F168" s="3" t="s">
        <v>897</v>
      </c>
      <c r="G168" s="3" t="s">
        <v>4244</v>
      </c>
      <c r="H168" s="7">
        <f>IFERROR(VLOOKUP(B168,'📊 Problem Tracker'!$B$4:$F$1200,5,FALSE()),"")</f>
        <v>0</v>
      </c>
      <c r="I168" s="7"/>
      <c r="J168" s="7"/>
      <c r="K168" s="3"/>
      <c r="L168" s="228" t="s">
        <v>705</v>
      </c>
      <c r="M168" s="7" t="s">
        <v>24</v>
      </c>
      <c r="N168" s="176" t="s">
        <v>24</v>
      </c>
      <c r="O168" s="191" t="str">
        <f>HYPERLINK("https://leetcode.com/problems/verifying-an-alien-dictionary/","https://leetcode.com/problems/verifying-an-alien-dictionary/")</f>
        <v>https://leetcode.com/problems/verifying-an-alien-dictionary/</v>
      </c>
    </row>
    <row r="169" spans="1:15" ht="31.5" customHeight="1" x14ac:dyDescent="0.2">
      <c r="A169" s="139">
        <v>164</v>
      </c>
      <c r="B169" s="139">
        <v>977</v>
      </c>
      <c r="C169" s="275" t="s">
        <v>2122</v>
      </c>
      <c r="D169" s="139" t="s">
        <v>4705</v>
      </c>
      <c r="E169" s="143" t="s">
        <v>20</v>
      </c>
      <c r="F169" s="141" t="s">
        <v>2050</v>
      </c>
      <c r="G169" s="141" t="s">
        <v>689</v>
      </c>
      <c r="H169" s="139">
        <f>IFERROR(VLOOKUP(B169,'📊 Problem Tracker'!$B$4:$F$1200,5,FALSE()),"")</f>
        <v>0</v>
      </c>
      <c r="I169" s="139"/>
      <c r="J169" s="139"/>
      <c r="K169" s="141"/>
      <c r="L169" s="276" t="s">
        <v>690</v>
      </c>
      <c r="M169" s="139" t="s">
        <v>326</v>
      </c>
      <c r="N169" s="183" t="s">
        <v>24</v>
      </c>
      <c r="O169" s="196" t="str">
        <f>HYPERLINK("https://leetcode.com/problems/squares-of-a-sorted-array/","https://leetcode.com/problems/squares-of-a-sorted-array/")</f>
        <v>https://leetcode.com/problems/squares-of-a-sorted-array/</v>
      </c>
    </row>
    <row r="170" spans="1:15" ht="31.5" customHeight="1" x14ac:dyDescent="0.2">
      <c r="A170" s="7">
        <v>165</v>
      </c>
      <c r="B170" s="7">
        <v>981</v>
      </c>
      <c r="C170" s="231" t="s">
        <v>2132</v>
      </c>
      <c r="D170" s="7" t="s">
        <v>4497</v>
      </c>
      <c r="E170" s="18" t="s">
        <v>28</v>
      </c>
      <c r="F170" s="3" t="s">
        <v>2133</v>
      </c>
      <c r="G170" s="3" t="s">
        <v>4706</v>
      </c>
      <c r="H170" s="7">
        <f>IFERROR(VLOOKUP(B170,'📊 Problem Tracker'!$B$4:$F$1200,5,FALSE()),"")</f>
        <v>0</v>
      </c>
      <c r="I170" s="7"/>
      <c r="J170" s="7"/>
      <c r="K170" s="3"/>
      <c r="L170" s="228" t="s">
        <v>513</v>
      </c>
      <c r="M170" s="7" t="s">
        <v>2134</v>
      </c>
      <c r="N170" s="176" t="s">
        <v>24</v>
      </c>
      <c r="O170" s="191" t="str">
        <f>HYPERLINK("https://leetcode.com/problems/time-based-key-value-store/","https://leetcode.com/problems/time-based-key-value-store/")</f>
        <v>https://leetcode.com/problems/time-based-key-value-store/</v>
      </c>
    </row>
    <row r="171" spans="1:15" ht="31.5" customHeight="1" x14ac:dyDescent="0.2">
      <c r="A171" s="139">
        <v>166</v>
      </c>
      <c r="B171" s="139">
        <v>983</v>
      </c>
      <c r="C171" s="275" t="s">
        <v>2136</v>
      </c>
      <c r="D171" s="139" t="s">
        <v>4924</v>
      </c>
      <c r="E171" s="140" t="s">
        <v>28</v>
      </c>
      <c r="F171" s="141" t="s">
        <v>309</v>
      </c>
      <c r="G171" s="141" t="s">
        <v>1042</v>
      </c>
      <c r="H171" s="139">
        <f>IFERROR(VLOOKUP(B171,'📊 Problem Tracker'!$B$4:$F$1200,5,FALSE()),"")</f>
        <v>0</v>
      </c>
      <c r="I171" s="139"/>
      <c r="J171" s="139"/>
      <c r="K171" s="141"/>
      <c r="L171" s="276" t="s">
        <v>508</v>
      </c>
      <c r="M171" s="139" t="s">
        <v>24</v>
      </c>
      <c r="N171" s="183" t="s">
        <v>24</v>
      </c>
      <c r="O171" s="196" t="str">
        <f>HYPERLINK("https://leetcode.com/problems/minimum-cost-for-tickets/","https://leetcode.com/problems/minimum-cost-for-tickets/")</f>
        <v>https://leetcode.com/problems/minimum-cost-for-tickets/</v>
      </c>
    </row>
    <row r="172" spans="1:15" ht="31.5" customHeight="1" x14ac:dyDescent="0.2">
      <c r="A172" s="7">
        <v>167</v>
      </c>
      <c r="B172" s="7">
        <v>986</v>
      </c>
      <c r="C172" s="231" t="s">
        <v>2138</v>
      </c>
      <c r="D172" s="7" t="s">
        <v>4815</v>
      </c>
      <c r="E172" s="18" t="s">
        <v>28</v>
      </c>
      <c r="F172" s="3" t="s">
        <v>4816</v>
      </c>
      <c r="G172" s="3" t="s">
        <v>4817</v>
      </c>
      <c r="H172" s="7">
        <f>IFERROR(VLOOKUP(B172,'📊 Problem Tracker'!$B$4:$F$1200,5,FALSE()),"")</f>
        <v>0</v>
      </c>
      <c r="I172" s="7"/>
      <c r="J172" s="7"/>
      <c r="K172" s="3"/>
      <c r="L172" s="228" t="s">
        <v>690</v>
      </c>
      <c r="M172" s="7" t="s">
        <v>24</v>
      </c>
      <c r="N172" s="176" t="s">
        <v>47</v>
      </c>
      <c r="O172" s="191" t="str">
        <f>HYPERLINK("https://leetcode.com/problems/interval-list-intersections/","https://leetcode.com/problems/interval-list-intersections/")</f>
        <v>https://leetcode.com/problems/interval-list-intersections/</v>
      </c>
    </row>
    <row r="173" spans="1:15" ht="31.5" customHeight="1" x14ac:dyDescent="0.2">
      <c r="A173" s="139">
        <v>168</v>
      </c>
      <c r="B173" s="139">
        <v>994</v>
      </c>
      <c r="C173" s="275" t="s">
        <v>2153</v>
      </c>
      <c r="D173" s="139" t="s">
        <v>4707</v>
      </c>
      <c r="E173" s="140" t="s">
        <v>28</v>
      </c>
      <c r="F173" s="141" t="s">
        <v>1106</v>
      </c>
      <c r="G173" s="141" t="s">
        <v>4618</v>
      </c>
      <c r="H173" s="139">
        <f>IFERROR(VLOOKUP(B173,'📊 Problem Tracker'!$B$4:$F$1200,5,FALSE()),"")</f>
        <v>0</v>
      </c>
      <c r="I173" s="139"/>
      <c r="J173" s="139"/>
      <c r="K173" s="141"/>
      <c r="L173" s="276" t="s">
        <v>2155</v>
      </c>
      <c r="M173" s="139" t="s">
        <v>81</v>
      </c>
      <c r="N173" s="183" t="s">
        <v>81</v>
      </c>
      <c r="O173" s="196" t="str">
        <f>HYPERLINK("https://leetcode.com/problems/rotting-oranges/","https://leetcode.com/problems/rotting-oranges/")</f>
        <v>https://leetcode.com/problems/rotting-oranges/</v>
      </c>
    </row>
    <row r="174" spans="1:15" ht="31.5" customHeight="1" x14ac:dyDescent="0.2">
      <c r="A174" s="7">
        <v>169</v>
      </c>
      <c r="B174" s="7">
        <v>1011</v>
      </c>
      <c r="C174" s="231" t="s">
        <v>2165</v>
      </c>
      <c r="D174" s="7" t="s">
        <v>4709</v>
      </c>
      <c r="E174" s="18" t="s">
        <v>28</v>
      </c>
      <c r="F174" s="3" t="s">
        <v>41</v>
      </c>
      <c r="G174" s="3" t="s">
        <v>1801</v>
      </c>
      <c r="H174" s="7">
        <f>IFERROR(VLOOKUP(B174,'📊 Problem Tracker'!$B$4:$F$1200,5,FALSE()),"")</f>
        <v>0</v>
      </c>
      <c r="I174" s="7"/>
      <c r="J174" s="7"/>
      <c r="K174" s="3"/>
      <c r="L174" s="228" t="s">
        <v>513</v>
      </c>
      <c r="M174" s="7" t="s">
        <v>65</v>
      </c>
      <c r="N174" s="176" t="s">
        <v>47</v>
      </c>
      <c r="O174" s="191" t="str">
        <f>HYPERLINK("https://leetcode.com/problems/capacity-to-ship-packages-within-d-days/","https://leetcode.com/problems/capacity-to-ship-packages-within-d-days/")</f>
        <v>https://leetcode.com/problems/capacity-to-ship-packages-within-d-days/</v>
      </c>
    </row>
    <row r="175" spans="1:15" ht="31.5" customHeight="1" x14ac:dyDescent="0.2">
      <c r="A175" s="139">
        <v>170</v>
      </c>
      <c r="B175" s="139">
        <v>1136</v>
      </c>
      <c r="C175" s="275" t="s">
        <v>2235</v>
      </c>
      <c r="D175" s="139" t="s">
        <v>4848</v>
      </c>
      <c r="E175" s="140" t="s">
        <v>28</v>
      </c>
      <c r="F175" s="141" t="s">
        <v>1167</v>
      </c>
      <c r="G175" s="141" t="s">
        <v>4282</v>
      </c>
      <c r="H175" s="139">
        <f>IFERROR(VLOOKUP(B175,'📊 Problem Tracker'!$B$4:$F$1200,5,FALSE()),"")</f>
        <v>0</v>
      </c>
      <c r="I175" s="139"/>
      <c r="J175" s="139"/>
      <c r="K175" s="141"/>
      <c r="L175" s="276" t="s">
        <v>619</v>
      </c>
      <c r="M175" s="139" t="s">
        <v>648</v>
      </c>
      <c r="N175" s="183" t="s">
        <v>648</v>
      </c>
      <c r="O175" s="196" t="str">
        <f>HYPERLINK("https://leetcode.com/problems/parallel-courses/","https://leetcode.com/problems/parallel-courses/")</f>
        <v>https://leetcode.com/problems/parallel-courses/</v>
      </c>
    </row>
    <row r="176" spans="1:15" ht="31.5" customHeight="1" x14ac:dyDescent="0.2">
      <c r="A176" s="7">
        <v>171</v>
      </c>
      <c r="B176" s="7">
        <v>1171</v>
      </c>
      <c r="C176" s="231" t="s">
        <v>2270</v>
      </c>
      <c r="D176" s="7" t="s">
        <v>4578</v>
      </c>
      <c r="E176" s="18" t="s">
        <v>28</v>
      </c>
      <c r="F176" s="3" t="s">
        <v>4925</v>
      </c>
      <c r="G176" s="3" t="s">
        <v>4552</v>
      </c>
      <c r="H176" s="7">
        <f>IFERROR(VLOOKUP(B176,'📊 Problem Tracker'!$B$4:$F$1200,5,FALSE()),"")</f>
        <v>0</v>
      </c>
      <c r="I176" s="7"/>
      <c r="J176" s="7"/>
      <c r="K176" s="3"/>
      <c r="L176" s="228" t="s">
        <v>461</v>
      </c>
      <c r="M176" s="7" t="s">
        <v>24</v>
      </c>
      <c r="N176" s="176" t="s">
        <v>47</v>
      </c>
      <c r="O176" s="191" t="str">
        <f>HYPERLINK("https://leetcode.com/problems/remove-zero-sum-consecutive-nodes-from-linked-list/","https://leetcode.com/problems/remove-zero-sum-consecutive-nodes-from-linked-list/")</f>
        <v>https://leetcode.com/problems/remove-zero-sum-consecutive-nodes-from-linked-list/</v>
      </c>
    </row>
    <row r="177" spans="1:15" ht="31.5" customHeight="1" x14ac:dyDescent="0.2">
      <c r="A177" s="139">
        <v>172</v>
      </c>
      <c r="B177" s="139">
        <v>1235</v>
      </c>
      <c r="C177" s="275" t="s">
        <v>2313</v>
      </c>
      <c r="D177" s="139" t="s">
        <v>4566</v>
      </c>
      <c r="E177" s="142" t="s">
        <v>42</v>
      </c>
      <c r="F177" s="141" t="s">
        <v>1136</v>
      </c>
      <c r="G177" s="141" t="s">
        <v>4300</v>
      </c>
      <c r="H177" s="139">
        <f>IFERROR(VLOOKUP(B177,'📊 Problem Tracker'!$B$4:$F$1200,5,FALSE()),"")</f>
        <v>0</v>
      </c>
      <c r="I177" s="139"/>
      <c r="J177" s="139"/>
      <c r="K177" s="141"/>
      <c r="L177" s="276" t="s">
        <v>513</v>
      </c>
      <c r="M177" s="139" t="s">
        <v>65</v>
      </c>
      <c r="N177" s="183" t="s">
        <v>47</v>
      </c>
      <c r="O177" s="196" t="str">
        <f>HYPERLINK("https://leetcode.com/problems/maximum-profit-in-job-scheduling/","https://leetcode.com/problems/maximum-profit-in-job-scheduling/")</f>
        <v>https://leetcode.com/problems/maximum-profit-in-job-scheduling/</v>
      </c>
    </row>
    <row r="178" spans="1:15" ht="31.5" customHeight="1" x14ac:dyDescent="0.2">
      <c r="A178" s="7">
        <v>173</v>
      </c>
      <c r="B178" s="7">
        <v>1326</v>
      </c>
      <c r="C178" s="231" t="s">
        <v>2392</v>
      </c>
      <c r="D178" s="7" t="s">
        <v>4926</v>
      </c>
      <c r="E178" s="20" t="s">
        <v>42</v>
      </c>
      <c r="F178" s="3" t="s">
        <v>4927</v>
      </c>
      <c r="G178" s="3" t="s">
        <v>4928</v>
      </c>
      <c r="H178" s="7">
        <f>IFERROR(VLOOKUP(B178,'📊 Problem Tracker'!$B$4:$F$1200,5,FALSE()),"")</f>
        <v>0</v>
      </c>
      <c r="I178" s="7"/>
      <c r="J178" s="7"/>
      <c r="K178" s="3"/>
      <c r="L178" s="228" t="s">
        <v>919</v>
      </c>
      <c r="M178" s="7" t="s">
        <v>24</v>
      </c>
      <c r="N178" s="176" t="s">
        <v>24</v>
      </c>
      <c r="O178" s="191" t="str">
        <f>HYPERLINK("https://leetcode.com/problems/minimum-number-of-taps-to-open-to-water-a-garden/","https://leetcode.com/problems/minimum-number-of-taps-to-open-to-water-a-garden/")</f>
        <v>https://leetcode.com/problems/minimum-number-of-taps-to-open-to-water-a-garden/</v>
      </c>
    </row>
    <row r="179" spans="1:15" ht="31.5" customHeight="1" x14ac:dyDescent="0.2">
      <c r="A179" s="139">
        <v>174</v>
      </c>
      <c r="B179" s="139">
        <v>1334</v>
      </c>
      <c r="C179" s="275" t="s">
        <v>2394</v>
      </c>
      <c r="D179" s="139" t="s">
        <v>4524</v>
      </c>
      <c r="E179" s="140" t="s">
        <v>28</v>
      </c>
      <c r="F179" s="141" t="s">
        <v>2395</v>
      </c>
      <c r="G179" s="141" t="s">
        <v>4929</v>
      </c>
      <c r="H179" s="139">
        <f>IFERROR(VLOOKUP(B179,'📊 Problem Tracker'!$B$4:$F$1200,5,FALSE()),"")</f>
        <v>0</v>
      </c>
      <c r="I179" s="139"/>
      <c r="J179" s="139"/>
      <c r="K179" s="141"/>
      <c r="L179" s="276" t="s">
        <v>508</v>
      </c>
      <c r="M179" s="139" t="s">
        <v>1845</v>
      </c>
      <c r="N179" s="183" t="s">
        <v>648</v>
      </c>
      <c r="O179" s="196" t="str">
        <f>HYPERLINK("https://leetcode.com/problems/find-the-city-with-the-smallest-number-of-neighbors-at-a-threshold-distance/","https://leetcode.com/problems/find-the-city-with-the-smallest-number-of-neighbors-at-a-threshold-distance/")</f>
        <v>https://leetcode.com/problems/find-the-city-with-the-smallest-number-of-neighbors-at-a-threshold-distance/</v>
      </c>
    </row>
    <row r="180" spans="1:15" ht="31.5" customHeight="1" x14ac:dyDescent="0.2">
      <c r="A180" s="7">
        <v>175</v>
      </c>
      <c r="B180" s="7">
        <v>1400</v>
      </c>
      <c r="C180" s="231" t="s">
        <v>2453</v>
      </c>
      <c r="D180" s="7" t="s">
        <v>4678</v>
      </c>
      <c r="E180" s="18" t="s">
        <v>28</v>
      </c>
      <c r="F180" s="3" t="s">
        <v>1395</v>
      </c>
      <c r="G180" s="3" t="s">
        <v>4311</v>
      </c>
      <c r="H180" s="7">
        <f>IFERROR(VLOOKUP(B180,'📊 Problem Tracker'!$B$4:$F$1200,5,FALSE()),"")</f>
        <v>0</v>
      </c>
      <c r="I180" s="7"/>
      <c r="J180" s="7"/>
      <c r="K180" s="3"/>
      <c r="L180" s="228" t="s">
        <v>705</v>
      </c>
      <c r="M180" s="7" t="s">
        <v>24</v>
      </c>
      <c r="N180" s="176" t="s">
        <v>24</v>
      </c>
      <c r="O180" s="191" t="str">
        <f>HYPERLINK("https://leetcode.com/problems/construct-k-palindrome-strings/","https://leetcode.com/problems/construct-k-palindrome-strings/")</f>
        <v>https://leetcode.com/problems/construct-k-palindrome-strings/</v>
      </c>
    </row>
    <row r="181" spans="1:15" ht="31.5" customHeight="1" x14ac:dyDescent="0.2">
      <c r="A181" s="139">
        <v>176</v>
      </c>
      <c r="B181" s="139">
        <v>1438</v>
      </c>
      <c r="C181" s="275" t="s">
        <v>2475</v>
      </c>
      <c r="D181" s="139" t="s">
        <v>4562</v>
      </c>
      <c r="E181" s="140" t="s">
        <v>28</v>
      </c>
      <c r="F181" s="141" t="s">
        <v>4930</v>
      </c>
      <c r="G181" s="141" t="s">
        <v>4931</v>
      </c>
      <c r="H181" s="139">
        <f>IFERROR(VLOOKUP(B181,'📊 Problem Tracker'!$B$4:$F$1200,5,FALSE()),"")</f>
        <v>0</v>
      </c>
      <c r="I181" s="139"/>
      <c r="J181" s="139"/>
      <c r="K181" s="141"/>
      <c r="L181" s="276" t="s">
        <v>919</v>
      </c>
      <c r="M181" s="139" t="s">
        <v>24</v>
      </c>
      <c r="N181" s="183" t="s">
        <v>153</v>
      </c>
      <c r="O181" s="196" t="str">
        <f>HYPERLINK("https://leetcode.com/problems/longest-continuous-subarray-with-absolute-diff-less-than-or-equal-to-limit/","https://leetcode.com/problems/longest-continuous-subarray-with-absolute-diff-less-than-or-equal-to-limit/")</f>
        <v>https://leetcode.com/problems/longest-continuous-subarray-with-absolute-diff-less-than-or-equal-to-limit/</v>
      </c>
    </row>
    <row r="182" spans="1:15" ht="31.5" customHeight="1" x14ac:dyDescent="0.2">
      <c r="A182" s="7">
        <v>177</v>
      </c>
      <c r="B182" s="7">
        <v>1462</v>
      </c>
      <c r="C182" s="231" t="s">
        <v>2491</v>
      </c>
      <c r="D182" s="7" t="s">
        <v>4535</v>
      </c>
      <c r="E182" s="18" t="s">
        <v>28</v>
      </c>
      <c r="F182" s="3" t="s">
        <v>1512</v>
      </c>
      <c r="G182" s="3" t="s">
        <v>4301</v>
      </c>
      <c r="H182" s="7">
        <f>IFERROR(VLOOKUP(B182,'📊 Problem Tracker'!$B$4:$F$1200,5,FALSE()),"")</f>
        <v>0</v>
      </c>
      <c r="I182" s="7"/>
      <c r="J182" s="7"/>
      <c r="K182" s="3"/>
      <c r="L182" s="228" t="s">
        <v>619</v>
      </c>
      <c r="M182" s="7" t="s">
        <v>648</v>
      </c>
      <c r="N182" s="176" t="s">
        <v>648</v>
      </c>
      <c r="O182" s="191" t="str">
        <f>HYPERLINK("https://leetcode.com/problems/course-schedule-iv/","https://leetcode.com/problems/course-schedule-iv/")</f>
        <v>https://leetcode.com/problems/course-schedule-iv/</v>
      </c>
    </row>
    <row r="183" spans="1:15" ht="31.5" customHeight="1" x14ac:dyDescent="0.2">
      <c r="A183" s="139">
        <v>178</v>
      </c>
      <c r="B183" s="139">
        <v>1519</v>
      </c>
      <c r="C183" s="275" t="s">
        <v>2517</v>
      </c>
      <c r="D183" s="139" t="s">
        <v>4642</v>
      </c>
      <c r="E183" s="140" t="s">
        <v>28</v>
      </c>
      <c r="F183" s="141" t="s">
        <v>4932</v>
      </c>
      <c r="G183" s="141" t="s">
        <v>4844</v>
      </c>
      <c r="H183" s="139">
        <f>IFERROR(VLOOKUP(B183,'📊 Problem Tracker'!$B$4:$F$1200,5,FALSE()),"")</f>
        <v>0</v>
      </c>
      <c r="I183" s="139"/>
      <c r="J183" s="139"/>
      <c r="K183" s="141"/>
      <c r="L183" s="276" t="s">
        <v>571</v>
      </c>
      <c r="M183" s="139" t="s">
        <v>24</v>
      </c>
      <c r="N183" s="183" t="s">
        <v>24</v>
      </c>
      <c r="O183" s="196" t="str">
        <f>HYPERLINK("https://leetcode.com/problems/number-of-nodes-in-the-sub-tree-with-the-same-label/","https://leetcode.com/problems/number-of-nodes-in-the-sub-tree-with-the-same-label/")</f>
        <v>https://leetcode.com/problems/number-of-nodes-in-the-sub-tree-with-the-same-label/</v>
      </c>
    </row>
    <row r="184" spans="1:15" ht="31.5" customHeight="1" x14ac:dyDescent="0.2">
      <c r="A184" s="7">
        <v>179</v>
      </c>
      <c r="B184" s="7">
        <v>1579</v>
      </c>
      <c r="C184" s="231" t="s">
        <v>2555</v>
      </c>
      <c r="D184" s="7" t="s">
        <v>4744</v>
      </c>
      <c r="E184" s="20" t="s">
        <v>42</v>
      </c>
      <c r="F184" s="3" t="s">
        <v>1050</v>
      </c>
      <c r="G184" s="3" t="s">
        <v>1736</v>
      </c>
      <c r="H184" s="7">
        <f>IFERROR(VLOOKUP(B184,'📊 Problem Tracker'!$B$4:$F$1200,5,FALSE()),"")</f>
        <v>0</v>
      </c>
      <c r="I184" s="7"/>
      <c r="J184" s="7"/>
      <c r="K184" s="3"/>
      <c r="L184" s="228" t="s">
        <v>619</v>
      </c>
      <c r="M184" s="7" t="s">
        <v>648</v>
      </c>
      <c r="N184" s="176" t="s">
        <v>648</v>
      </c>
      <c r="O184" s="191" t="str">
        <f>HYPERLINK("https://leetcode.com/problems/remove-max-number-of-edges-to-keep-graph-fully-traversable/","https://leetcode.com/problems/remove-max-number-of-edges-to-keep-graph-fully-traversable/")</f>
        <v>https://leetcode.com/problems/remove-max-number-of-edges-to-keep-graph-fully-traversable/</v>
      </c>
    </row>
    <row r="185" spans="1:15" ht="31.5" customHeight="1" x14ac:dyDescent="0.2">
      <c r="A185" s="139">
        <v>180</v>
      </c>
      <c r="B185" s="139">
        <v>1584</v>
      </c>
      <c r="C185" s="275" t="s">
        <v>2561</v>
      </c>
      <c r="D185" s="139" t="s">
        <v>4443</v>
      </c>
      <c r="E185" s="140" t="s">
        <v>28</v>
      </c>
      <c r="F185" s="141" t="s">
        <v>4336</v>
      </c>
      <c r="G185" s="141" t="s">
        <v>4719</v>
      </c>
      <c r="H185" s="139">
        <f>IFERROR(VLOOKUP(B185,'📊 Problem Tracker'!$B$4:$F$1200,5,FALSE()),"")</f>
        <v>0</v>
      </c>
      <c r="I185" s="139"/>
      <c r="J185" s="139"/>
      <c r="K185" s="141"/>
      <c r="L185" s="276" t="s">
        <v>619</v>
      </c>
      <c r="M185" s="139" t="s">
        <v>648</v>
      </c>
      <c r="N185" s="183" t="s">
        <v>648</v>
      </c>
      <c r="O185" s="196" t="str">
        <f>HYPERLINK("https://leetcode.com/problems/min-cost-to-connect-all-points/","https://leetcode.com/problems/min-cost-to-connect-all-points/")</f>
        <v>https://leetcode.com/problems/min-cost-to-connect-all-points/</v>
      </c>
    </row>
    <row r="186" spans="1:15" ht="31.5" customHeight="1" x14ac:dyDescent="0.2">
      <c r="A186" s="7">
        <v>181</v>
      </c>
      <c r="B186" s="7">
        <v>1642</v>
      </c>
      <c r="C186" s="231" t="s">
        <v>2598</v>
      </c>
      <c r="D186" s="7" t="s">
        <v>4933</v>
      </c>
      <c r="E186" s="18" t="s">
        <v>28</v>
      </c>
      <c r="F186" s="3" t="s">
        <v>1531</v>
      </c>
      <c r="G186" s="3" t="s">
        <v>4272</v>
      </c>
      <c r="H186" s="7">
        <f>IFERROR(VLOOKUP(B186,'📊 Problem Tracker'!$B$4:$F$1200,5,FALSE()),"")</f>
        <v>0</v>
      </c>
      <c r="I186" s="7"/>
      <c r="J186" s="7"/>
      <c r="K186" s="3"/>
      <c r="L186" s="228" t="s">
        <v>959</v>
      </c>
      <c r="M186" s="7" t="s">
        <v>960</v>
      </c>
      <c r="N186" s="176" t="s">
        <v>153</v>
      </c>
      <c r="O186" s="191" t="str">
        <f>HYPERLINK("https://leetcode.com/problems/furthest-building-you-can-reach/","https://leetcode.com/problems/furthest-building-you-can-reach/")</f>
        <v>https://leetcode.com/problems/furthest-building-you-can-reach/</v>
      </c>
    </row>
    <row r="187" spans="1:15" ht="31.5" customHeight="1" x14ac:dyDescent="0.2">
      <c r="A187" s="139">
        <v>182</v>
      </c>
      <c r="B187" s="139">
        <v>1768</v>
      </c>
      <c r="C187" s="275" t="s">
        <v>2701</v>
      </c>
      <c r="D187" s="139" t="s">
        <v>4721</v>
      </c>
      <c r="E187" s="143" t="s">
        <v>20</v>
      </c>
      <c r="F187" s="141" t="s">
        <v>611</v>
      </c>
      <c r="G187" s="141" t="s">
        <v>689</v>
      </c>
      <c r="H187" s="139">
        <f>IFERROR(VLOOKUP(B187,'📊 Problem Tracker'!$B$4:$F$1200,5,FALSE()),"")</f>
        <v>0</v>
      </c>
      <c r="I187" s="139"/>
      <c r="J187" s="139"/>
      <c r="K187" s="141"/>
      <c r="L187" s="276" t="s">
        <v>690</v>
      </c>
      <c r="M187" s="139" t="s">
        <v>24</v>
      </c>
      <c r="N187" s="183" t="s">
        <v>1096</v>
      </c>
      <c r="O187" s="196" t="str">
        <f>HYPERLINK("https://leetcode.com/problems/merge-strings-alternately/","https://leetcode.com/problems/merge-strings-alternately/")</f>
        <v>https://leetcode.com/problems/merge-strings-alternately/</v>
      </c>
    </row>
    <row r="188" spans="1:15" ht="31.5" customHeight="1" x14ac:dyDescent="0.2">
      <c r="A188" s="7">
        <v>183</v>
      </c>
      <c r="B188" s="7">
        <v>1838</v>
      </c>
      <c r="C188" s="231" t="s">
        <v>2724</v>
      </c>
      <c r="D188" s="7" t="s">
        <v>4722</v>
      </c>
      <c r="E188" s="18" t="s">
        <v>28</v>
      </c>
      <c r="F188" s="3" t="s">
        <v>4584</v>
      </c>
      <c r="G188" s="3" t="s">
        <v>917</v>
      </c>
      <c r="H188" s="7">
        <f>IFERROR(VLOOKUP(B188,'📊 Problem Tracker'!$B$4:$F$1200,5,FALSE()),"")</f>
        <v>0</v>
      </c>
      <c r="I188" s="7"/>
      <c r="J188" s="7"/>
      <c r="K188" s="3"/>
      <c r="L188" s="228" t="s">
        <v>919</v>
      </c>
      <c r="M188" s="7" t="s">
        <v>326</v>
      </c>
      <c r="N188" s="176" t="s">
        <v>47</v>
      </c>
      <c r="O188" s="191" t="str">
        <f>HYPERLINK("https://leetcode.com/problems/frequency-of-the-most-frequent-element/","https://leetcode.com/problems/frequency-of-the-most-frequent-element/")</f>
        <v>https://leetcode.com/problems/frequency-of-the-most-frequent-element/</v>
      </c>
    </row>
  </sheetData>
  <autoFilter ref="A5:O5" xr:uid="{00000000-0001-0000-1200-000000000000}"/>
  <mergeCells count="3">
    <mergeCell ref="A1:K2"/>
    <mergeCell ref="A4:K4"/>
    <mergeCell ref="A3:K3"/>
  </mergeCells>
  <hyperlinks>
    <hyperlink ref="O6" r:id="rId1" display="https://leetcode.com/problems/two-sum/" xr:uid="{00000000-0004-0000-1200-000000000000}"/>
    <hyperlink ref="O7" r:id="rId2" display="https://leetcode.com/problems/add-two-numbers/" xr:uid="{00000000-0004-0000-1200-000001000000}"/>
    <hyperlink ref="O8" r:id="rId3" display="https://leetcode.com/problems/longest-substring-without-repeating-characters/" xr:uid="{00000000-0004-0000-1200-000002000000}"/>
    <hyperlink ref="O9" r:id="rId4" display="https://leetcode.com/problems/median-of-two-sorted-arrays/" xr:uid="{00000000-0004-0000-1200-000003000000}"/>
    <hyperlink ref="O10" r:id="rId5" display="https://leetcode.com/problems/longest-palindromic-substring/" xr:uid="{00000000-0004-0000-1200-000004000000}"/>
    <hyperlink ref="O11" r:id="rId6" display="https://leetcode.com/problems/reverse-integer/" xr:uid="{00000000-0004-0000-1200-000005000000}"/>
    <hyperlink ref="O12" r:id="rId7" display="https://leetcode.com/problems/string-to-integer-atoi/" xr:uid="{00000000-0004-0000-1200-000006000000}"/>
    <hyperlink ref="O13" r:id="rId8" display="https://leetcode.com/problems/regular-expression-matching/" xr:uid="{00000000-0004-0000-1200-000007000000}"/>
    <hyperlink ref="O14" r:id="rId9" display="https://leetcode.com/problems/container-with-most-water/" xr:uid="{00000000-0004-0000-1200-000008000000}"/>
    <hyperlink ref="O15" r:id="rId10" display="https://leetcode.com/problems/roman-to-integer/" xr:uid="{00000000-0004-0000-1200-000009000000}"/>
    <hyperlink ref="O16" r:id="rId11" display="https://leetcode.com/problems/longest-common-prefix/" xr:uid="{00000000-0004-0000-1200-00000A000000}"/>
    <hyperlink ref="O17" r:id="rId12" display="https://leetcode.com/problems/letter-combinations-of-a-phone-number/" xr:uid="{00000000-0004-0000-1200-00000B000000}"/>
    <hyperlink ref="O18" r:id="rId13" display="https://leetcode.com/problems/valid-parentheses/" xr:uid="{00000000-0004-0000-1200-00000C000000}"/>
    <hyperlink ref="O19" r:id="rId14" display="https://leetcode.com/problems/generate-parentheses/" xr:uid="{00000000-0004-0000-1200-00000D000000}"/>
    <hyperlink ref="O20" r:id="rId15" display="https://leetcode.com/problems/merge-k-sorted-lists/" xr:uid="{00000000-0004-0000-1200-00000E000000}"/>
    <hyperlink ref="O21" r:id="rId16" display="https://leetcode.com/problems/swap-nodes-in-pairs/" xr:uid="{00000000-0004-0000-1200-00000F000000}"/>
    <hyperlink ref="O22" r:id="rId17" display="https://leetcode.com/problems/reverse-nodes-in-k-group/" xr:uid="{00000000-0004-0000-1200-000010000000}"/>
    <hyperlink ref="O23" r:id="rId18" display="https://leetcode.com/problems/remove-duplicates-from-sorted-array/" xr:uid="{00000000-0004-0000-1200-000011000000}"/>
    <hyperlink ref="O24" r:id="rId19" display="https://leetcode.com/problems/remove-element/" xr:uid="{00000000-0004-0000-1200-000012000000}"/>
    <hyperlink ref="O25" r:id="rId20" display="https://leetcode.com/problems/next-permutation/" xr:uid="{00000000-0004-0000-1200-000013000000}"/>
    <hyperlink ref="O26" r:id="rId21" display="https://leetcode.com/problems/longest-valid-parentheses/" xr:uid="{00000000-0004-0000-1200-000014000000}"/>
    <hyperlink ref="O27" r:id="rId22" display="https://leetcode.com/problems/search-in-rotated-sorted-array/" xr:uid="{00000000-0004-0000-1200-000015000000}"/>
    <hyperlink ref="O28" r:id="rId23" display="https://leetcode.com/problems/find-first-and-last-position-of-element-in-sorted-array/" xr:uid="{00000000-0004-0000-1200-000016000000}"/>
    <hyperlink ref="O29" r:id="rId24" display="https://leetcode.com/problems/valid-sudoku/" xr:uid="{00000000-0004-0000-1200-000017000000}"/>
    <hyperlink ref="O30" r:id="rId25" display="https://leetcode.com/problems/sudoku-solver/" xr:uid="{00000000-0004-0000-1200-000018000000}"/>
    <hyperlink ref="O31" r:id="rId26" display="https://leetcode.com/problems/combination-sum/" xr:uid="{00000000-0004-0000-1200-000019000000}"/>
    <hyperlink ref="O32" r:id="rId27" display="https://leetcode.com/problems/trapping-rain-water/" xr:uid="{00000000-0004-0000-1200-00001A000000}"/>
    <hyperlink ref="O33" r:id="rId28" display="https://leetcode.com/problems/permutations/" xr:uid="{00000000-0004-0000-1200-00001B000000}"/>
    <hyperlink ref="O34" r:id="rId29" display="https://leetcode.com/problems/rotate-image/" xr:uid="{00000000-0004-0000-1200-00001C000000}"/>
    <hyperlink ref="O35" r:id="rId30" display="https://leetcode.com/problems/group-anagrams/" xr:uid="{00000000-0004-0000-1200-00001D000000}"/>
    <hyperlink ref="O36" r:id="rId31" display="https://leetcode.com/problems/maximum-subarray/" xr:uid="{00000000-0004-0000-1200-00001E000000}"/>
    <hyperlink ref="O37" r:id="rId32" display="https://leetcode.com/problems/spiral-matrix/" xr:uid="{00000000-0004-0000-1200-00001F000000}"/>
    <hyperlink ref="O38" r:id="rId33" display="https://leetcode.com/problems/merge-intervals/" xr:uid="{00000000-0004-0000-1200-000020000000}"/>
    <hyperlink ref="O39" r:id="rId34" display="https://leetcode.com/problems/insert-interval/" xr:uid="{00000000-0004-0000-1200-000021000000}"/>
    <hyperlink ref="O40" r:id="rId35" display="https://leetcode.com/problems/minimum-path-sum/" xr:uid="{00000000-0004-0000-1200-000022000000}"/>
    <hyperlink ref="O41" r:id="rId36" display="https://leetcode.com/problems/text-justification/" xr:uid="{00000000-0004-0000-1200-000023000000}"/>
    <hyperlink ref="O42" r:id="rId37" display="https://leetcode.com/problems/sqrtx/" xr:uid="{00000000-0004-0000-1200-000024000000}"/>
    <hyperlink ref="O43" r:id="rId38" display="https://leetcode.com/problems/climbing-stairs/" xr:uid="{00000000-0004-0000-1200-000025000000}"/>
    <hyperlink ref="O44" r:id="rId39" display="https://leetcode.com/problems/set-matrix-zeroes/" xr:uid="{00000000-0004-0000-1200-000026000000}"/>
    <hyperlink ref="O45" r:id="rId40" display="https://leetcode.com/problems/minimum-window-substring/" xr:uid="{00000000-0004-0000-1200-000027000000}"/>
    <hyperlink ref="O46" r:id="rId41" display="https://leetcode.com/problems/subsets/" xr:uid="{00000000-0004-0000-1200-000028000000}"/>
    <hyperlink ref="O47" r:id="rId42" display="https://leetcode.com/problems/word-search/" xr:uid="{00000000-0004-0000-1200-000029000000}"/>
    <hyperlink ref="O48" r:id="rId43" display="https://leetcode.com/problems/search-in-rotated-sorted-array-ii/" xr:uid="{00000000-0004-0000-1200-00002A000000}"/>
    <hyperlink ref="O49" r:id="rId44" display="https://leetcode.com/problems/largest-rectangle-in-histogram/" xr:uid="{00000000-0004-0000-1200-00002B000000}"/>
    <hyperlink ref="O50" r:id="rId45" display="https://leetcode.com/problems/decode-ways/" xr:uid="{00000000-0004-0000-1200-00002C000000}"/>
    <hyperlink ref="O51" r:id="rId46" display="https://leetcode.com/problems/maximum-depth-of-binary-tree/" xr:uid="{00000000-0004-0000-1200-00002D000000}"/>
    <hyperlink ref="O52" r:id="rId47" display="https://leetcode.com/problems/best-time-to-buy-and-sell-stock/" xr:uid="{00000000-0004-0000-1200-00002E000000}"/>
    <hyperlink ref="O53" r:id="rId48" display="https://leetcode.com/problems/binary-tree-maximum-path-sum/" xr:uid="{00000000-0004-0000-1200-00002F000000}"/>
    <hyperlink ref="O54" r:id="rId49" display="https://leetcode.com/problems/valid-palindrome/" xr:uid="{00000000-0004-0000-1200-000030000000}"/>
    <hyperlink ref="O55" r:id="rId50" display="https://leetcode.com/problems/word-ladder/" xr:uid="{00000000-0004-0000-1200-000031000000}"/>
    <hyperlink ref="O56" r:id="rId51" display="https://leetcode.com/problems/longest-consecutive-sequence/" xr:uid="{00000000-0004-0000-1200-000032000000}"/>
    <hyperlink ref="O57" r:id="rId52" display="https://leetcode.com/problems/clone-graph/" xr:uid="{00000000-0004-0000-1200-000033000000}"/>
    <hyperlink ref="O58" r:id="rId53" display="https://leetcode.com/problems/candy/" xr:uid="{00000000-0004-0000-1200-000034000000}"/>
    <hyperlink ref="O59" r:id="rId54" display="https://leetcode.com/problems/copy-list-with-random-pointer/" xr:uid="{00000000-0004-0000-1200-000035000000}"/>
    <hyperlink ref="O60" r:id="rId55" display="https://leetcode.com/problems/word-break/" xr:uid="{00000000-0004-0000-1200-000036000000}"/>
    <hyperlink ref="O61" r:id="rId56" display="https://leetcode.com/problems/word-break-ii/" xr:uid="{00000000-0004-0000-1200-000037000000}"/>
    <hyperlink ref="O62" r:id="rId57" display="https://leetcode.com/problems/lru-cache/" xr:uid="{00000000-0004-0000-1200-000038000000}"/>
    <hyperlink ref="O63" r:id="rId58" display="https://leetcode.com/problems/find-minimum-in-rotated-sorted-array/" xr:uid="{00000000-0004-0000-1200-000039000000}"/>
    <hyperlink ref="O64" r:id="rId59" display="https://leetcode.com/problems/min-stack/" xr:uid="{00000000-0004-0000-1200-00003A000000}"/>
    <hyperlink ref="O65" r:id="rId60" display="https://leetcode.com/problems/one-edit-distance/" xr:uid="{00000000-0004-0000-1200-00003B000000}"/>
    <hyperlink ref="O66" r:id="rId61" display="https://leetcode.com/problems/find-peak-element/" xr:uid="{00000000-0004-0000-1200-00003C000000}"/>
    <hyperlink ref="O67" r:id="rId62" display="https://leetcode.com/problems/excel-sheet-column-number/" xr:uid="{00000000-0004-0000-1200-00003D000000}"/>
    <hyperlink ref="O68" r:id="rId63" display="https://leetcode.com/problems/dungeon-game/" xr:uid="{00000000-0004-0000-1200-00003E000000}"/>
    <hyperlink ref="O69" r:id="rId64" display="https://leetcode.com/problems/reverse-words-in-a-string-ii/" xr:uid="{00000000-0004-0000-1200-00003F000000}"/>
    <hyperlink ref="O70" r:id="rId65" display="https://leetcode.com/problems/house-robber/" xr:uid="{00000000-0004-0000-1200-000040000000}"/>
    <hyperlink ref="O71" r:id="rId66" display="https://leetcode.com/problems/binary-tree-right-side-view/" xr:uid="{00000000-0004-0000-1200-000041000000}"/>
    <hyperlink ref="O72" r:id="rId67" display="https://leetcode.com/problems/number-of-islands/" xr:uid="{00000000-0004-0000-1200-000042000000}"/>
    <hyperlink ref="O73" r:id="rId68" display="https://leetcode.com/problems/happy-number/" xr:uid="{00000000-0004-0000-1200-000043000000}"/>
    <hyperlink ref="O74" r:id="rId69" display="https://leetcode.com/problems/reverse-linked-list/" xr:uid="{00000000-0004-0000-1200-000044000000}"/>
    <hyperlink ref="O75" r:id="rId70" display="https://leetcode.com/problems/course-schedule/" xr:uid="{00000000-0004-0000-1200-000045000000}"/>
    <hyperlink ref="O76" r:id="rId71" display="https://leetcode.com/problems/implement-trie-prefix-tree/" xr:uid="{00000000-0004-0000-1200-000046000000}"/>
    <hyperlink ref="O77" r:id="rId72" display="https://leetcode.com/problems/course-schedule-ii/" xr:uid="{00000000-0004-0000-1200-000047000000}"/>
    <hyperlink ref="O78" r:id="rId73" display="https://leetcode.com/problems/word-search-ii/" xr:uid="{00000000-0004-0000-1200-000048000000}"/>
    <hyperlink ref="O79" r:id="rId74" display="https://leetcode.com/problems/house-robber-ii/" xr:uid="{00000000-0004-0000-1200-000049000000}"/>
    <hyperlink ref="O80" r:id="rId75" display="https://leetcode.com/problems/shortest-palindrome/" xr:uid="{00000000-0004-0000-1200-00004A000000}"/>
    <hyperlink ref="O81" r:id="rId76" display="https://leetcode.com/problems/kth-largest-element-in-an-array/" xr:uid="{00000000-0004-0000-1200-00004B000000}"/>
    <hyperlink ref="O82" r:id="rId77" display="https://leetcode.com/problems/the-skyline-problem/" xr:uid="{00000000-0004-0000-1200-00004C000000}"/>
    <hyperlink ref="O83" r:id="rId78" display="https://leetcode.com/problems/basic-calculator/" xr:uid="{00000000-0004-0000-1200-00004D000000}"/>
    <hyperlink ref="O84" r:id="rId79" display="https://leetcode.com/problems/basic-calculator-ii/" xr:uid="{00000000-0004-0000-1200-00004E000000}"/>
    <hyperlink ref="O85" r:id="rId80" display="https://leetcode.com/problems/kth-smallest-element-in-a-bst/" xr:uid="{00000000-0004-0000-1200-00004F000000}"/>
    <hyperlink ref="O86" r:id="rId81" display="https://leetcode.com/problems/product-of-array-except-self/" xr:uid="{00000000-0004-0000-1200-000050000000}"/>
    <hyperlink ref="O87" r:id="rId82" display="https://leetcode.com/problems/sliding-window-maximum/" xr:uid="{00000000-0004-0000-1200-000051000000}"/>
    <hyperlink ref="O88" r:id="rId83" display="https://leetcode.com/problems/search-a-2d-matrix-ii/" xr:uid="{00000000-0004-0000-1200-000052000000}"/>
    <hyperlink ref="O89" r:id="rId84" display="https://leetcode.com/problems/valid-anagram/" xr:uid="{00000000-0004-0000-1200-000053000000}"/>
    <hyperlink ref="O90" r:id="rId85" display="https://leetcode.com/problems/group-shifted-strings/" xr:uid="{00000000-0004-0000-1200-000054000000}"/>
    <hyperlink ref="O91" r:id="rId86" display="https://leetcode.com/problems/meeting-rooms/" xr:uid="{00000000-0004-0000-1200-000055000000}"/>
    <hyperlink ref="O92" r:id="rId87" display="https://leetcode.com/problems/meeting-rooms-ii/" xr:uid="{00000000-0004-0000-1200-000056000000}"/>
    <hyperlink ref="O93" r:id="rId88" display="https://leetcode.com/problems/factor-combinations/" xr:uid="{00000000-0004-0000-1200-000057000000}"/>
    <hyperlink ref="O94" r:id="rId89" display="https://leetcode.com/problems/add-digits/" xr:uid="{00000000-0004-0000-1200-000058000000}"/>
    <hyperlink ref="O95" r:id="rId90" display="https://leetcode.com/problems/palindrome-permutation/" xr:uid="{00000000-0004-0000-1200-000059000000}"/>
    <hyperlink ref="O96" r:id="rId91" display="https://leetcode.com/problems/alien-dictionary/" xr:uid="{00000000-0004-0000-1200-00005A000000}"/>
    <hyperlink ref="O97" r:id="rId92" display="https://leetcode.com/problems/move-zeroes/" xr:uid="{00000000-0004-0000-1200-00005B000000}"/>
    <hyperlink ref="O98" r:id="rId93" display="https://leetcode.com/problems/walls-and-gates/" xr:uid="{00000000-0004-0000-1200-00005C000000}"/>
    <hyperlink ref="O99" r:id="rId94" display="https://leetcode.com/problems/word-pattern/" xr:uid="{00000000-0004-0000-1200-00005D000000}"/>
    <hyperlink ref="O100" r:id="rId95" display="https://leetcode.com/problems/word-pattern-ii/" xr:uid="{00000000-0004-0000-1200-00005E000000}"/>
    <hyperlink ref="O101" r:id="rId96" display="https://leetcode.com/problems/find-median-from-data-stream/" xr:uid="{00000000-0004-0000-1200-00005F000000}"/>
    <hyperlink ref="O102" r:id="rId97" display="https://leetcode.com/problems/serialize-and-deserialize-binary-tree/" xr:uid="{00000000-0004-0000-1200-000060000000}"/>
    <hyperlink ref="O103" r:id="rId98" display="https://leetcode.com/problems/longest-increasing-subsequence/" xr:uid="{00000000-0004-0000-1200-000061000000}"/>
    <hyperlink ref="O104" r:id="rId99" display="https://leetcode.com/problems/number-of-islands-ii/" xr:uid="{00000000-0004-0000-1200-000062000000}"/>
    <hyperlink ref="O105" r:id="rId100" display="https://leetcode.com/problems/burst-balloons/" xr:uid="{00000000-0004-0000-1200-000063000000}"/>
    <hyperlink ref="O106" r:id="rId101" display="https://leetcode.com/problems/coin-change/" xr:uid="{00000000-0004-0000-1200-000064000000}"/>
    <hyperlink ref="O107" r:id="rId102" display="https://leetcode.com/problems/longest-increasing-path-in-a-matrix/" xr:uid="{00000000-0004-0000-1200-000065000000}"/>
    <hyperlink ref="O108" r:id="rId103" display="https://leetcode.com/problems/patching-array/" xr:uid="{00000000-0004-0000-1200-000066000000}"/>
    <hyperlink ref="O109" r:id="rId104" display="https://leetcode.com/problems/reconstruct-itinerary/" xr:uid="{00000000-0004-0000-1200-000067000000}"/>
    <hyperlink ref="O110" r:id="rId105" display="https://leetcode.com/problems/house-robber-iii/" xr:uid="{00000000-0004-0000-1200-000068000000}"/>
    <hyperlink ref="O111" r:id="rId106" display="https://leetcode.com/problems/top-k-frequent-elements/" xr:uid="{00000000-0004-0000-1200-000069000000}"/>
    <hyperlink ref="O112" r:id="rId107" display="https://leetcode.com/problems/design-hit-counter/" xr:uid="{00000000-0004-0000-1200-00006A000000}"/>
    <hyperlink ref="O113" r:id="rId108" display="https://leetcode.com/problems/find-k-pairs-with-smallest-sums/" xr:uid="{00000000-0004-0000-1200-00006B000000}"/>
    <hyperlink ref="O114" r:id="rId109" display="https://leetcode.com/problems/insert-delete-getrandom-o1/" xr:uid="{00000000-0004-0000-1200-00006C000000}"/>
    <hyperlink ref="O115" r:id="rId110" display="https://leetcode.com/problems/shuffle-an-array/" xr:uid="{00000000-0004-0000-1200-00006D000000}"/>
    <hyperlink ref="O116" r:id="rId111" display="https://leetcode.com/problems/evaluate-division/" xr:uid="{00000000-0004-0000-1200-00006E000000}"/>
    <hyperlink ref="O117" r:id="rId112" display="https://leetcode.com/problems/split-array-largest-sum/" xr:uid="{00000000-0004-0000-1200-00006F000000}"/>
    <hyperlink ref="O118" r:id="rId113" display="https://leetcode.com/problems/fizz-buzz/" xr:uid="{00000000-0004-0000-1200-000070000000}"/>
    <hyperlink ref="O119" r:id="rId114" display="https://leetcode.com/problems/pacific-atlantic-water-flow/" xr:uid="{00000000-0004-0000-1200-000071000000}"/>
    <hyperlink ref="O120" r:id="rId115" display="https://leetcode.com/problems/longest-repeating-character-replacement/" xr:uid="{00000000-0004-0000-1200-000072000000}"/>
    <hyperlink ref="O121" r:id="rId116" display="https://leetcode.com/problems/all-oone-data-structure/" xr:uid="{00000000-0004-0000-1200-000073000000}"/>
    <hyperlink ref="O122" r:id="rId117" display="https://leetcode.com/problems/find-all-anagrams-in-a-string/" xr:uid="{00000000-0004-0000-1200-000074000000}"/>
    <hyperlink ref="O123" r:id="rId118" display="https://leetcode.com/problems/delete-node-in-a-bst/" xr:uid="{00000000-0004-0000-1200-000075000000}"/>
    <hyperlink ref="O124" r:id="rId119" display="https://leetcode.com/problems/lfu-cache/" xr:uid="{00000000-0004-0000-1200-000076000000}"/>
    <hyperlink ref="O125" r:id="rId120" display="https://leetcode.com/problems/optimal-account-balancing/" xr:uid="{00000000-0004-0000-1200-000077000000}"/>
    <hyperlink ref="O126" r:id="rId121" display="https://leetcode.com/problems/matchsticks-to-square/" xr:uid="{00000000-0004-0000-1200-000078000000}"/>
    <hyperlink ref="O127" r:id="rId122" display="https://leetcode.com/problems/predict-the-winner/" xr:uid="{00000000-0004-0000-1200-000079000000}"/>
    <hyperlink ref="O128" r:id="rId123" display="https://leetcode.com/problems/the-maze/" xr:uid="{00000000-0004-0000-1200-00007A000000}"/>
    <hyperlink ref="O129" r:id="rId124" display="https://leetcode.com/problems/next-greater-element-i/" xr:uid="{00000000-0004-0000-1200-00007B000000}"/>
    <hyperlink ref="O130" r:id="rId125" display="https://leetcode.com/problems/freedom-trail/" xr:uid="{00000000-0004-0000-1200-00007C000000}"/>
    <hyperlink ref="O131" r:id="rId126" display="https://leetcode.com/problems/longest-palindromic-subsequence/" xr:uid="{00000000-0004-0000-1200-00007D000000}"/>
    <hyperlink ref="O132" r:id="rId127" display="https://leetcode.com/problems/random-pick-with-weight/" xr:uid="{00000000-0004-0000-1200-00007E000000}"/>
    <hyperlink ref="O133" r:id="rId128" display="https://leetcode.com/problems/encode-and-decode-tinyurl/" xr:uid="{00000000-0004-0000-1200-00007F000000}"/>
    <hyperlink ref="O134" r:id="rId129" display="https://leetcode.com/problems/01-matrix/" xr:uid="{00000000-0004-0000-1200-000080000000}"/>
    <hyperlink ref="O135" r:id="rId130" display="https://leetcode.com/problems/number-of-provinces/" xr:uid="{00000000-0004-0000-1200-000081000000}"/>
    <hyperlink ref="O136" r:id="rId131" display="https://leetcode.com/problems/subarray-sum-equals-k/" xr:uid="{00000000-0004-0000-1200-000082000000}"/>
    <hyperlink ref="O137" r:id="rId132" display="https://leetcode.com/problems/find-the-closest-palindrome/" xr:uid="{00000000-0004-0000-1200-000083000000}"/>
    <hyperlink ref="O138" r:id="rId133" display="https://leetcode.com/problems/design-in-memory-file-system/" xr:uid="{00000000-0004-0000-1200-000084000000}"/>
    <hyperlink ref="O139" r:id="rId134" display="https://leetcode.com/problems/task-scheduler/" xr:uid="{00000000-0004-0000-1200-000085000000}"/>
    <hyperlink ref="O140" r:id="rId135" display="https://leetcode.com/problems/exclusive-time-of-functions/" xr:uid="{00000000-0004-0000-1200-000086000000}"/>
    <hyperlink ref="O141" r:id="rId136" display="https://leetcode.com/problems/design-search-autocomplete-system/" xr:uid="{00000000-0004-0000-1200-000087000000}"/>
    <hyperlink ref="O142" r:id="rId137" display="https://leetcode.com/problems/replace-words/" xr:uid="{00000000-0004-0000-1200-000088000000}"/>
    <hyperlink ref="O143" r:id="rId138" display="https://leetcode.com/problems/find-k-closest-elements/" xr:uid="{00000000-0004-0000-1200-000089000000}"/>
    <hyperlink ref="O144" r:id="rId139" display="https://leetcode.com/problems/valid-palindrome-ii/" xr:uid="{00000000-0004-0000-1200-00008A000000}"/>
    <hyperlink ref="O145" r:id="rId140" display="https://leetcode.com/problems/employee-importance/" xr:uid="{00000000-0004-0000-1200-00008B000000}"/>
    <hyperlink ref="O146" r:id="rId141" display="https://leetcode.com/problems/top-k-frequent-words/" xr:uid="{00000000-0004-0000-1200-00008C000000}"/>
    <hyperlink ref="O147" r:id="rId142" display="https://leetcode.com/problems/falling-squares/" xr:uid="{00000000-0004-0000-1200-00008D000000}"/>
    <hyperlink ref="O148" r:id="rId143" display="https://leetcode.com/problems/candy-crush/" xr:uid="{00000000-0004-0000-1200-00008E000000}"/>
    <hyperlink ref="O149" r:id="rId144" display="https://leetcode.com/problems/my-calendar-i/" xr:uid="{00000000-0004-0000-1200-00008F000000}"/>
    <hyperlink ref="O150" r:id="rId145" display="https://leetcode.com/problems/flood-fill/" xr:uid="{00000000-0004-0000-1200-000090000000}"/>
    <hyperlink ref="O151" r:id="rId146" display="https://leetcode.com/problems/asteroid-collision/" xr:uid="{00000000-0004-0000-1200-000091000000}"/>
    <hyperlink ref="O152" r:id="rId147" display="https://leetcode.com/problems/cherry-pickup/" xr:uid="{00000000-0004-0000-1200-000092000000}"/>
    <hyperlink ref="O153" r:id="rId148" display="https://leetcode.com/problems/open-the-lock/" xr:uid="{00000000-0004-0000-1200-000093000000}"/>
    <hyperlink ref="O154" r:id="rId149" display="https://leetcode.com/problems/sliding-puzzle/" xr:uid="{00000000-0004-0000-1200-000094000000}"/>
    <hyperlink ref="O155" r:id="rId150" display="https://leetcode.com/problems/swim-in-rising-water/" xr:uid="{00000000-0004-0000-1200-000095000000}"/>
    <hyperlink ref="O156" r:id="rId151" display="https://leetcode.com/problems/is-graph-bipartite/" xr:uid="{00000000-0004-0000-1200-000096000000}"/>
    <hyperlink ref="O157" r:id="rId152" display="https://leetcode.com/problems/cheapest-flights-within-k-stops/" xr:uid="{00000000-0004-0000-1200-000097000000}"/>
    <hyperlink ref="O158" r:id="rId153" display="https://leetcode.com/problems/custom-sort-string/" xr:uid="{00000000-0004-0000-1200-000098000000}"/>
    <hyperlink ref="O159" r:id="rId154" display="https://leetcode.com/problems/number-of-matching-subsequences/" xr:uid="{00000000-0004-0000-1200-000099000000}"/>
    <hyperlink ref="O160" r:id="rId155" display="https://leetcode.com/problems/find-eventual-safe-states/" xr:uid="{00000000-0004-0000-1200-00009A000000}"/>
    <hyperlink ref="O161" r:id="rId156" display="https://leetcode.com/problems/bus-routes/" xr:uid="{00000000-0004-0000-1200-00009B000000}"/>
    <hyperlink ref="O162" r:id="rId157" display="https://leetcode.com/problems/making-a-large-island/" xr:uid="{00000000-0004-0000-1200-00009C000000}"/>
    <hyperlink ref="O163" r:id="rId158" display="https://leetcode.com/problems/exam-room/" xr:uid="{00000000-0004-0000-1200-00009D000000}"/>
    <hyperlink ref="O164" r:id="rId159" display="https://leetcode.com/problems/koko-eating-bananas/" xr:uid="{00000000-0004-0000-1200-00009E000000}"/>
    <hyperlink ref="O165" r:id="rId160" display="https://leetcode.com/problems/possible-bipartition/" xr:uid="{00000000-0004-0000-1200-00009F000000}"/>
    <hyperlink ref="O166" r:id="rId161" display="https://leetcode.com/problems/maximum-frequency-stack/" xr:uid="{00000000-0004-0000-1200-0000A0000000}"/>
    <hyperlink ref="O167" r:id="rId162" display="https://leetcode.com/problems/shortest-bridge/" xr:uid="{00000000-0004-0000-1200-0000A1000000}"/>
    <hyperlink ref="O168" r:id="rId163" display="https://leetcode.com/problems/verifying-an-alien-dictionary/" xr:uid="{00000000-0004-0000-1200-0000A2000000}"/>
    <hyperlink ref="O169" r:id="rId164" display="https://leetcode.com/problems/squares-of-a-sorted-array/" xr:uid="{00000000-0004-0000-1200-0000A3000000}"/>
    <hyperlink ref="O170" r:id="rId165" display="https://leetcode.com/problems/time-based-key-value-store/" xr:uid="{00000000-0004-0000-1200-0000A4000000}"/>
    <hyperlink ref="O171" r:id="rId166" display="https://leetcode.com/problems/minimum-cost-for-tickets/" xr:uid="{00000000-0004-0000-1200-0000A5000000}"/>
    <hyperlink ref="O172" r:id="rId167" display="https://leetcode.com/problems/interval-list-intersections/" xr:uid="{00000000-0004-0000-1200-0000A6000000}"/>
    <hyperlink ref="O173" r:id="rId168" display="https://leetcode.com/problems/rotting-oranges/" xr:uid="{00000000-0004-0000-1200-0000A7000000}"/>
    <hyperlink ref="O174" r:id="rId169" display="https://leetcode.com/problems/capacity-to-ship-packages-within-d-days/" xr:uid="{00000000-0004-0000-1200-0000A8000000}"/>
    <hyperlink ref="O175" r:id="rId170" display="https://leetcode.com/problems/parallel-courses/" xr:uid="{00000000-0004-0000-1200-0000A9000000}"/>
    <hyperlink ref="O176" r:id="rId171" display="https://leetcode.com/problems/remove-zero-sum-consecutive-nodes-from-linked-list/" xr:uid="{00000000-0004-0000-1200-0000AA000000}"/>
    <hyperlink ref="O177" r:id="rId172" display="https://leetcode.com/problems/maximum-profit-in-job-scheduling/" xr:uid="{00000000-0004-0000-1200-0000AB000000}"/>
    <hyperlink ref="O178" r:id="rId173" display="https://leetcode.com/problems/minimum-number-of-taps-to-open-to-water-a-garden/" xr:uid="{00000000-0004-0000-1200-0000AC000000}"/>
    <hyperlink ref="O179" r:id="rId174" display="https://leetcode.com/problems/find-the-city-with-the-smallest-number-of-neighbors-at-a-threshold-distance/" xr:uid="{00000000-0004-0000-1200-0000AD000000}"/>
    <hyperlink ref="O180" r:id="rId175" display="https://leetcode.com/problems/construct-k-palindrome-strings/" xr:uid="{00000000-0004-0000-1200-0000AE000000}"/>
    <hyperlink ref="O181" r:id="rId176" display="https://leetcode.com/problems/longest-continuous-subarray-with-absolute-diff-less-than-or-equal-to-limit/" xr:uid="{00000000-0004-0000-1200-0000AF000000}"/>
    <hyperlink ref="O182" r:id="rId177" display="https://leetcode.com/problems/course-schedule-iv/" xr:uid="{00000000-0004-0000-1200-0000B0000000}"/>
    <hyperlink ref="O183" r:id="rId178" display="https://leetcode.com/problems/number-of-nodes-in-the-sub-tree-with-the-same-label/" xr:uid="{00000000-0004-0000-1200-0000B1000000}"/>
    <hyperlink ref="O184" r:id="rId179" display="https://leetcode.com/problems/remove-max-number-of-edges-to-keep-graph-fully-traversable/" xr:uid="{00000000-0004-0000-1200-0000B2000000}"/>
    <hyperlink ref="O185" r:id="rId180" display="https://leetcode.com/problems/min-cost-to-connect-all-points/" xr:uid="{00000000-0004-0000-1200-0000B3000000}"/>
    <hyperlink ref="O186" r:id="rId181" display="https://leetcode.com/problems/furthest-building-you-can-reach/" xr:uid="{00000000-0004-0000-1200-0000B4000000}"/>
    <hyperlink ref="O187" r:id="rId182" display="https://leetcode.com/problems/merge-strings-alternately/" xr:uid="{00000000-0004-0000-1200-0000B5000000}"/>
    <hyperlink ref="O188" r:id="rId183" display="https://leetcode.com/problems/frequency-of-the-most-frequent-element/" xr:uid="{00000000-0004-0000-1200-0000B6000000}"/>
  </hyperlink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666"/>
  <sheetViews>
    <sheetView showGridLines="0" zoomScaleNormal="100" workbookViewId="0">
      <pane ySplit="5" topLeftCell="A6" activePane="bottomLeft" state="frozen"/>
      <selection pane="bottomLeft" activeCell="A6" sqref="A6"/>
    </sheetView>
  </sheetViews>
  <sheetFormatPr baseColWidth="10" defaultColWidth="8.6640625" defaultRowHeight="15" x14ac:dyDescent="0.2"/>
  <cols>
    <col min="1" max="1" width="4" customWidth="1"/>
    <col min="2" max="2" width="6" customWidth="1"/>
    <col min="3" max="3" width="42" customWidth="1"/>
    <col min="4" max="5" width="10" customWidth="1"/>
    <col min="6" max="6" width="40" customWidth="1"/>
    <col min="7" max="7" width="28" customWidth="1"/>
    <col min="8" max="9" width="14" customWidth="1"/>
    <col min="10" max="10" width="12" customWidth="1"/>
    <col min="11" max="11" width="30" customWidth="1"/>
    <col min="12" max="12" width="52" style="52" customWidth="1"/>
    <col min="13" max="14" width="33.33203125" customWidth="1"/>
    <col min="15" max="15" width="80" customWidth="1"/>
  </cols>
  <sheetData>
    <row r="1" spans="1:15" ht="27.75" customHeight="1" x14ac:dyDescent="0.2">
      <c r="A1" s="355" t="s">
        <v>4934</v>
      </c>
      <c r="B1" s="292"/>
      <c r="C1" s="292"/>
      <c r="D1" s="292"/>
      <c r="E1" s="292"/>
      <c r="F1" s="292"/>
      <c r="G1" s="292"/>
      <c r="H1" s="292"/>
      <c r="I1" s="292"/>
      <c r="J1" s="292"/>
      <c r="K1" s="292"/>
    </row>
    <row r="2" spans="1:15" ht="4.5" customHeight="1" x14ac:dyDescent="0.2">
      <c r="A2" s="292"/>
      <c r="B2" s="292"/>
      <c r="C2" s="292"/>
      <c r="D2" s="292"/>
      <c r="E2" s="292"/>
      <c r="F2" s="292"/>
      <c r="G2" s="292"/>
      <c r="H2" s="292"/>
      <c r="I2" s="292"/>
      <c r="J2" s="292"/>
      <c r="K2" s="292"/>
    </row>
    <row r="3" spans="1:15" ht="15.75" customHeight="1" x14ac:dyDescent="0.2">
      <c r="A3" s="352" t="s">
        <v>4935</v>
      </c>
      <c r="B3" s="292"/>
      <c r="C3" s="292"/>
      <c r="D3" s="292"/>
      <c r="E3" s="292"/>
      <c r="F3" s="292"/>
      <c r="G3" s="292"/>
      <c r="H3" s="292"/>
      <c r="I3" s="292"/>
      <c r="J3" s="292"/>
      <c r="K3" s="292"/>
    </row>
    <row r="4" spans="1:15" ht="15.75" customHeight="1" x14ac:dyDescent="0.2">
      <c r="A4" s="291" t="s">
        <v>5125</v>
      </c>
      <c r="B4" s="292"/>
      <c r="C4" s="292"/>
      <c r="D4" s="292"/>
      <c r="E4" s="292"/>
      <c r="F4" s="292"/>
      <c r="G4" s="292"/>
      <c r="H4" s="292"/>
      <c r="I4" s="292"/>
      <c r="J4" s="292"/>
      <c r="K4" s="292"/>
    </row>
    <row r="5" spans="1:15" ht="31.5" customHeight="1" x14ac:dyDescent="0.2">
      <c r="A5" s="144" t="s">
        <v>1</v>
      </c>
      <c r="B5" s="144" t="s">
        <v>2</v>
      </c>
      <c r="C5" s="144" t="s">
        <v>3</v>
      </c>
      <c r="D5" s="144" t="s">
        <v>4430</v>
      </c>
      <c r="E5" s="144" t="s">
        <v>5</v>
      </c>
      <c r="F5" s="144" t="s">
        <v>4122</v>
      </c>
      <c r="G5" s="144" t="s">
        <v>4242</v>
      </c>
      <c r="H5" s="144" t="s">
        <v>4120</v>
      </c>
      <c r="I5" s="144" t="s">
        <v>7</v>
      </c>
      <c r="J5" s="144" t="s">
        <v>8</v>
      </c>
      <c r="K5" s="144" t="s">
        <v>13</v>
      </c>
      <c r="L5" s="277" t="s">
        <v>14</v>
      </c>
      <c r="M5" s="144" t="s">
        <v>15</v>
      </c>
      <c r="N5" s="144" t="s">
        <v>16</v>
      </c>
      <c r="O5" s="213" t="s">
        <v>17</v>
      </c>
    </row>
    <row r="6" spans="1:15" ht="31.5" customHeight="1" x14ac:dyDescent="0.2">
      <c r="A6" s="7">
        <v>1</v>
      </c>
      <c r="B6" s="7">
        <v>1</v>
      </c>
      <c r="C6" s="13" t="s">
        <v>18</v>
      </c>
      <c r="D6" s="7" t="s">
        <v>4432</v>
      </c>
      <c r="E6" s="21" t="s">
        <v>20</v>
      </c>
      <c r="F6" s="3" t="s">
        <v>19</v>
      </c>
      <c r="G6" s="3" t="s">
        <v>4244</v>
      </c>
      <c r="H6" s="7">
        <f>IFERROR(VLOOKUP(B6,'📊 Problem Tracker'!$B$4:$F$1200,5,FALSE()),"")</f>
        <v>0</v>
      </c>
      <c r="I6" s="7"/>
      <c r="J6" s="7"/>
      <c r="K6" s="3"/>
      <c r="L6" s="228" t="s">
        <v>23</v>
      </c>
      <c r="M6" s="7" t="s">
        <v>24</v>
      </c>
      <c r="N6" s="7" t="s">
        <v>24</v>
      </c>
      <c r="O6" s="197" t="str">
        <f>HYPERLINK("https://leetcode.com/problems/two-sum/","https://leetcode.com/problems/two-sum/")</f>
        <v>https://leetcode.com/problems/two-sum/</v>
      </c>
    </row>
    <row r="7" spans="1:15" ht="31.5" customHeight="1" x14ac:dyDescent="0.2">
      <c r="A7" s="145">
        <v>2</v>
      </c>
      <c r="B7" s="145">
        <v>2</v>
      </c>
      <c r="C7" s="146" t="s">
        <v>26</v>
      </c>
      <c r="D7" s="145" t="s">
        <v>4433</v>
      </c>
      <c r="E7" s="147" t="s">
        <v>28</v>
      </c>
      <c r="F7" s="148" t="s">
        <v>27</v>
      </c>
      <c r="G7" s="148" t="s">
        <v>127</v>
      </c>
      <c r="H7" s="145">
        <f>IFERROR(VLOOKUP(B7,'📊 Problem Tracker'!$B$4:$F$1200,5,FALSE()),"")</f>
        <v>0</v>
      </c>
      <c r="I7" s="145"/>
      <c r="J7" s="145"/>
      <c r="K7" s="148"/>
      <c r="L7" s="278" t="s">
        <v>31</v>
      </c>
      <c r="M7" s="145" t="s">
        <v>32</v>
      </c>
      <c r="N7" s="145" t="s">
        <v>32</v>
      </c>
      <c r="O7" s="198" t="str">
        <f>HYPERLINK("https://leetcode.com/problems/add-two-numbers/","https://leetcode.com/problems/add-two-numbers/")</f>
        <v>https://leetcode.com/problems/add-two-numbers/</v>
      </c>
    </row>
    <row r="8" spans="1:15" ht="31.5" customHeight="1" x14ac:dyDescent="0.2">
      <c r="A8" s="7">
        <v>3</v>
      </c>
      <c r="B8" s="7">
        <v>3</v>
      </c>
      <c r="C8" s="13" t="s">
        <v>34</v>
      </c>
      <c r="D8" s="7" t="s">
        <v>4434</v>
      </c>
      <c r="E8" s="18" t="s">
        <v>28</v>
      </c>
      <c r="F8" s="3" t="s">
        <v>427</v>
      </c>
      <c r="G8" s="3" t="s">
        <v>917</v>
      </c>
      <c r="H8" s="7">
        <f>IFERROR(VLOOKUP(B8,'📊 Problem Tracker'!$B$4:$F$1200,5,FALSE()),"")</f>
        <v>0</v>
      </c>
      <c r="I8" s="7"/>
      <c r="J8" s="7"/>
      <c r="K8" s="3"/>
      <c r="L8" s="228" t="s">
        <v>37</v>
      </c>
      <c r="M8" s="7" t="s">
        <v>24</v>
      </c>
      <c r="N8" s="7" t="s">
        <v>38</v>
      </c>
      <c r="O8" s="197" t="str">
        <f>HYPERLINK("https://leetcode.com/problems/longest-substring-without-repeating-characters/","https://leetcode.com/problems/longest-substring-without-repeating-characters/")</f>
        <v>https://leetcode.com/problems/longest-substring-without-repeating-characters/</v>
      </c>
    </row>
    <row r="9" spans="1:15" ht="31.5" customHeight="1" x14ac:dyDescent="0.2">
      <c r="A9" s="145">
        <v>4</v>
      </c>
      <c r="B9" s="145">
        <v>5</v>
      </c>
      <c r="C9" s="146" t="s">
        <v>49</v>
      </c>
      <c r="D9" s="145" t="s">
        <v>4436</v>
      </c>
      <c r="E9" s="147" t="s">
        <v>28</v>
      </c>
      <c r="F9" s="148" t="s">
        <v>50</v>
      </c>
      <c r="G9" s="148" t="s">
        <v>4731</v>
      </c>
      <c r="H9" s="145">
        <f>IFERROR(VLOOKUP(B9,'📊 Problem Tracker'!$B$4:$F$1200,5,FALSE()),"")</f>
        <v>0</v>
      </c>
      <c r="I9" s="145"/>
      <c r="J9" s="145"/>
      <c r="K9" s="148"/>
      <c r="L9" s="278" t="s">
        <v>52</v>
      </c>
      <c r="M9" s="145" t="s">
        <v>53</v>
      </c>
      <c r="N9" s="145" t="s">
        <v>47</v>
      </c>
      <c r="O9" s="198" t="str">
        <f>HYPERLINK("https://leetcode.com/problems/longest-palindromic-substring/","https://leetcode.com/problems/longest-palindromic-substring/")</f>
        <v>https://leetcode.com/problems/longest-palindromic-substring/</v>
      </c>
    </row>
    <row r="10" spans="1:15" ht="31.5" customHeight="1" x14ac:dyDescent="0.2">
      <c r="A10" s="7">
        <v>5</v>
      </c>
      <c r="B10" s="7">
        <v>7</v>
      </c>
      <c r="C10" s="13" t="s">
        <v>61</v>
      </c>
      <c r="D10" s="7" t="s">
        <v>4438</v>
      </c>
      <c r="E10" s="18" t="s">
        <v>28</v>
      </c>
      <c r="F10" s="3" t="s">
        <v>62</v>
      </c>
      <c r="G10" s="3" t="s">
        <v>62</v>
      </c>
      <c r="H10" s="7">
        <f>IFERROR(VLOOKUP(B10,'📊 Problem Tracker'!$B$4:$F$1200,5,FALSE()),"")</f>
        <v>0</v>
      </c>
      <c r="I10" s="7"/>
      <c r="J10" s="7"/>
      <c r="K10" s="3"/>
      <c r="L10" s="228" t="s">
        <v>64</v>
      </c>
      <c r="M10" s="7" t="s">
        <v>65</v>
      </c>
      <c r="N10" s="7" t="s">
        <v>47</v>
      </c>
      <c r="O10" s="197" t="str">
        <f>HYPERLINK("https://leetcode.com/problems/reverse-integer/","https://leetcode.com/problems/reverse-integer/")</f>
        <v>https://leetcode.com/problems/reverse-integer/</v>
      </c>
    </row>
    <row r="11" spans="1:15" ht="31.5" customHeight="1" x14ac:dyDescent="0.2">
      <c r="A11" s="145">
        <v>6</v>
      </c>
      <c r="B11" s="145">
        <v>8</v>
      </c>
      <c r="C11" s="146" t="s">
        <v>67</v>
      </c>
      <c r="D11" s="145" t="s">
        <v>4439</v>
      </c>
      <c r="E11" s="147" t="s">
        <v>28</v>
      </c>
      <c r="F11" s="148" t="s">
        <v>56</v>
      </c>
      <c r="G11" s="148" t="s">
        <v>4246</v>
      </c>
      <c r="H11" s="145">
        <f>IFERROR(VLOOKUP(B11,'📊 Problem Tracker'!$B$4:$F$1200,5,FALSE()),"")</f>
        <v>0</v>
      </c>
      <c r="I11" s="145"/>
      <c r="J11" s="145"/>
      <c r="K11" s="148"/>
      <c r="L11" s="278" t="s">
        <v>70</v>
      </c>
      <c r="M11" s="145" t="s">
        <v>24</v>
      </c>
      <c r="N11" s="145" t="s">
        <v>47</v>
      </c>
      <c r="O11" s="198" t="str">
        <f>HYPERLINK("https://leetcode.com/problems/string-to-integer-atoi/","https://leetcode.com/problems/string-to-integer-atoi/")</f>
        <v>https://leetcode.com/problems/string-to-integer-atoi/</v>
      </c>
    </row>
    <row r="12" spans="1:15" ht="31.5" customHeight="1" x14ac:dyDescent="0.2">
      <c r="A12" s="7">
        <v>7</v>
      </c>
      <c r="B12" s="7">
        <v>9</v>
      </c>
      <c r="C12" s="13" t="s">
        <v>72</v>
      </c>
      <c r="D12" s="7" t="s">
        <v>4440</v>
      </c>
      <c r="E12" s="21" t="s">
        <v>20</v>
      </c>
      <c r="F12" s="3" t="s">
        <v>62</v>
      </c>
      <c r="G12" s="3" t="s">
        <v>62</v>
      </c>
      <c r="H12" s="7">
        <f>IFERROR(VLOOKUP(B12,'📊 Problem Tracker'!$B$4:$F$1200,5,FALSE()),"")</f>
        <v>0</v>
      </c>
      <c r="I12" s="7"/>
      <c r="J12" s="7"/>
      <c r="K12" s="3"/>
      <c r="L12" s="228" t="s">
        <v>75</v>
      </c>
      <c r="M12" s="7" t="s">
        <v>65</v>
      </c>
      <c r="N12" s="7" t="s">
        <v>47</v>
      </c>
      <c r="O12" s="197" t="str">
        <f>HYPERLINK("https://leetcode.com/problems/palindrome-number/","https://leetcode.com/problems/palindrome-number/")</f>
        <v>https://leetcode.com/problems/palindrome-number/</v>
      </c>
    </row>
    <row r="13" spans="1:15" ht="31.5" customHeight="1" x14ac:dyDescent="0.2">
      <c r="A13" s="145">
        <v>8</v>
      </c>
      <c r="B13" s="145">
        <v>10</v>
      </c>
      <c r="C13" s="146" t="s">
        <v>77</v>
      </c>
      <c r="D13" s="145" t="s">
        <v>4441</v>
      </c>
      <c r="E13" s="149" t="s">
        <v>42</v>
      </c>
      <c r="F13" s="148" t="s">
        <v>675</v>
      </c>
      <c r="G13" s="148" t="s">
        <v>1042</v>
      </c>
      <c r="H13" s="145">
        <f>IFERROR(VLOOKUP(B13,'📊 Problem Tracker'!$B$4:$F$1200,5,FALSE()),"")</f>
        <v>0</v>
      </c>
      <c r="I13" s="145"/>
      <c r="J13" s="145"/>
      <c r="K13" s="148"/>
      <c r="L13" s="278" t="s">
        <v>80</v>
      </c>
      <c r="M13" s="145" t="s">
        <v>81</v>
      </c>
      <c r="N13" s="145" t="s">
        <v>81</v>
      </c>
      <c r="O13" s="198" t="str">
        <f>HYPERLINK("https://leetcode.com/problems/regular-expression-matching/","https://leetcode.com/problems/regular-expression-matching/")</f>
        <v>https://leetcode.com/problems/regular-expression-matching/</v>
      </c>
    </row>
    <row r="14" spans="1:15" ht="31.5" customHeight="1" x14ac:dyDescent="0.2">
      <c r="A14" s="7">
        <v>9</v>
      </c>
      <c r="B14" s="7">
        <v>11</v>
      </c>
      <c r="C14" s="13" t="s">
        <v>83</v>
      </c>
      <c r="D14" s="7" t="s">
        <v>4442</v>
      </c>
      <c r="E14" s="18" t="s">
        <v>28</v>
      </c>
      <c r="F14" s="3" t="s">
        <v>84</v>
      </c>
      <c r="G14" s="3" t="s">
        <v>689</v>
      </c>
      <c r="H14" s="7">
        <f>IFERROR(VLOOKUP(B14,'📊 Problem Tracker'!$B$4:$F$1200,5,FALSE()),"")</f>
        <v>0</v>
      </c>
      <c r="I14" s="7"/>
      <c r="J14" s="7"/>
      <c r="K14" s="3"/>
      <c r="L14" s="228" t="s">
        <v>86</v>
      </c>
      <c r="M14" s="7" t="s">
        <v>24</v>
      </c>
      <c r="N14" s="7" t="s">
        <v>47</v>
      </c>
      <c r="O14" s="197" t="str">
        <f>HYPERLINK("https://leetcode.com/problems/container-with-most-water/","https://leetcode.com/problems/container-with-most-water/")</f>
        <v>https://leetcode.com/problems/container-with-most-water/</v>
      </c>
    </row>
    <row r="15" spans="1:15" ht="31.5" customHeight="1" x14ac:dyDescent="0.2">
      <c r="A15" s="145">
        <v>10</v>
      </c>
      <c r="B15" s="145">
        <v>12</v>
      </c>
      <c r="C15" s="146" t="s">
        <v>88</v>
      </c>
      <c r="D15" s="145" t="s">
        <v>4443</v>
      </c>
      <c r="E15" s="147" t="s">
        <v>28</v>
      </c>
      <c r="F15" s="148" t="s">
        <v>56</v>
      </c>
      <c r="G15" s="148" t="s">
        <v>62</v>
      </c>
      <c r="H15" s="145">
        <f>IFERROR(VLOOKUP(B15,'📊 Problem Tracker'!$B$4:$F$1200,5,FALSE()),"")</f>
        <v>0</v>
      </c>
      <c r="I15" s="145"/>
      <c r="J15" s="145"/>
      <c r="K15" s="148"/>
      <c r="L15" s="278" t="s">
        <v>91</v>
      </c>
      <c r="M15" s="145" t="s">
        <v>47</v>
      </c>
      <c r="N15" s="145" t="s">
        <v>47</v>
      </c>
      <c r="O15" s="198" t="str">
        <f>HYPERLINK("https://leetcode.com/problems/integer-to-roman/","https://leetcode.com/problems/integer-to-roman/")</f>
        <v>https://leetcode.com/problems/integer-to-roman/</v>
      </c>
    </row>
    <row r="16" spans="1:15" ht="31.5" customHeight="1" x14ac:dyDescent="0.2">
      <c r="A16" s="7">
        <v>11</v>
      </c>
      <c r="B16" s="7">
        <v>13</v>
      </c>
      <c r="C16" s="13" t="s">
        <v>93</v>
      </c>
      <c r="D16" s="7" t="s">
        <v>4444</v>
      </c>
      <c r="E16" s="21" t="s">
        <v>20</v>
      </c>
      <c r="F16" s="3" t="s">
        <v>56</v>
      </c>
      <c r="G16" s="3" t="s">
        <v>62</v>
      </c>
      <c r="H16" s="7">
        <f>IFERROR(VLOOKUP(B16,'📊 Problem Tracker'!$B$4:$F$1200,5,FALSE()),"")</f>
        <v>0</v>
      </c>
      <c r="I16" s="7"/>
      <c r="J16" s="7"/>
      <c r="K16" s="3"/>
      <c r="L16" s="228" t="s">
        <v>95</v>
      </c>
      <c r="M16" s="7" t="s">
        <v>24</v>
      </c>
      <c r="N16" s="7" t="s">
        <v>47</v>
      </c>
      <c r="O16" s="197" t="str">
        <f>HYPERLINK("https://leetcode.com/problems/roman-to-integer/","https://leetcode.com/problems/roman-to-integer/")</f>
        <v>https://leetcode.com/problems/roman-to-integer/</v>
      </c>
    </row>
    <row r="17" spans="1:15" ht="31.5" customHeight="1" x14ac:dyDescent="0.2">
      <c r="A17" s="145">
        <v>12</v>
      </c>
      <c r="B17" s="145">
        <v>14</v>
      </c>
      <c r="C17" s="146" t="s">
        <v>97</v>
      </c>
      <c r="D17" s="145" t="s">
        <v>4445</v>
      </c>
      <c r="E17" s="150" t="s">
        <v>20</v>
      </c>
      <c r="F17" s="148" t="s">
        <v>98</v>
      </c>
      <c r="G17" s="148" t="s">
        <v>98</v>
      </c>
      <c r="H17" s="145">
        <f>IFERROR(VLOOKUP(B17,'📊 Problem Tracker'!$B$4:$F$1200,5,FALSE()),"")</f>
        <v>0</v>
      </c>
      <c r="I17" s="145"/>
      <c r="J17" s="145"/>
      <c r="K17" s="148"/>
      <c r="L17" s="278" t="s">
        <v>100</v>
      </c>
      <c r="M17" s="145" t="s">
        <v>101</v>
      </c>
      <c r="N17" s="145" t="s">
        <v>47</v>
      </c>
      <c r="O17" s="198" t="str">
        <f>HYPERLINK("https://leetcode.com/problems/longest-common-prefix/","https://leetcode.com/problems/longest-common-prefix/")</f>
        <v>https://leetcode.com/problems/longest-common-prefix/</v>
      </c>
    </row>
    <row r="18" spans="1:15" ht="31.5" customHeight="1" x14ac:dyDescent="0.2">
      <c r="A18" s="7">
        <v>13</v>
      </c>
      <c r="B18" s="7">
        <v>15</v>
      </c>
      <c r="C18" s="13" t="s">
        <v>103</v>
      </c>
      <c r="D18" s="7" t="s">
        <v>4446</v>
      </c>
      <c r="E18" s="18" t="s">
        <v>28</v>
      </c>
      <c r="F18" s="3" t="s">
        <v>84</v>
      </c>
      <c r="G18" s="3" t="s">
        <v>689</v>
      </c>
      <c r="H18" s="7">
        <f>IFERROR(VLOOKUP(B18,'📊 Problem Tracker'!$B$4:$F$1200,5,FALSE()),"")</f>
        <v>0</v>
      </c>
      <c r="I18" s="7"/>
      <c r="J18" s="7"/>
      <c r="K18" s="3"/>
      <c r="L18" s="228" t="s">
        <v>106</v>
      </c>
      <c r="M18" s="7" t="s">
        <v>53</v>
      </c>
      <c r="N18" s="7" t="s">
        <v>47</v>
      </c>
      <c r="O18" s="197" t="str">
        <f>HYPERLINK("https://leetcode.com/problems/3sum/","https://leetcode.com/problems/3sum/")</f>
        <v>https://leetcode.com/problems/3sum/</v>
      </c>
    </row>
    <row r="19" spans="1:15" ht="31.5" customHeight="1" x14ac:dyDescent="0.2">
      <c r="A19" s="145">
        <v>14</v>
      </c>
      <c r="B19" s="145">
        <v>16</v>
      </c>
      <c r="C19" s="146" t="s">
        <v>108</v>
      </c>
      <c r="D19" s="145" t="s">
        <v>4447</v>
      </c>
      <c r="E19" s="147" t="s">
        <v>28</v>
      </c>
      <c r="F19" s="148" t="s">
        <v>84</v>
      </c>
      <c r="G19" s="148" t="s">
        <v>689</v>
      </c>
      <c r="H19" s="145">
        <f>IFERROR(VLOOKUP(B19,'📊 Problem Tracker'!$B$4:$F$1200,5,FALSE()),"")</f>
        <v>0</v>
      </c>
      <c r="I19" s="145"/>
      <c r="J19" s="145"/>
      <c r="K19" s="148"/>
      <c r="L19" s="278" t="s">
        <v>111</v>
      </c>
      <c r="M19" s="145" t="s">
        <v>53</v>
      </c>
      <c r="N19" s="145" t="s">
        <v>47</v>
      </c>
      <c r="O19" s="198" t="str">
        <f>HYPERLINK("https://leetcode.com/problems/3sum-closest/","https://leetcode.com/problems/3sum-closest/")</f>
        <v>https://leetcode.com/problems/3sum-closest/</v>
      </c>
    </row>
    <row r="20" spans="1:15" ht="31.5" customHeight="1" x14ac:dyDescent="0.2">
      <c r="A20" s="7">
        <v>15</v>
      </c>
      <c r="B20" s="7">
        <v>17</v>
      </c>
      <c r="C20" s="13" t="s">
        <v>113</v>
      </c>
      <c r="D20" s="7" t="s">
        <v>4448</v>
      </c>
      <c r="E20" s="18" t="s">
        <v>28</v>
      </c>
      <c r="F20" s="3" t="s">
        <v>114</v>
      </c>
      <c r="G20" s="3" t="s">
        <v>300</v>
      </c>
      <c r="H20" s="7">
        <f>IFERROR(VLOOKUP(B20,'📊 Problem Tracker'!$B$4:$F$1200,5,FALSE()),"")</f>
        <v>0</v>
      </c>
      <c r="I20" s="7"/>
      <c r="J20" s="7"/>
      <c r="K20" s="3"/>
      <c r="L20" s="228" t="s">
        <v>117</v>
      </c>
      <c r="M20" s="7" t="s">
        <v>118</v>
      </c>
      <c r="N20" s="7" t="s">
        <v>24</v>
      </c>
      <c r="O20" s="197" t="str">
        <f>HYPERLINK("https://leetcode.com/problems/letter-combinations-of-a-phone-number/","https://leetcode.com/problems/letter-combinations-of-a-phone-number/")</f>
        <v>https://leetcode.com/problems/letter-combinations-of-a-phone-number/</v>
      </c>
    </row>
    <row r="21" spans="1:15" ht="31.5" customHeight="1" x14ac:dyDescent="0.2">
      <c r="A21" s="145">
        <v>16</v>
      </c>
      <c r="B21" s="145">
        <v>18</v>
      </c>
      <c r="C21" s="146" t="s">
        <v>120</v>
      </c>
      <c r="D21" s="145" t="s">
        <v>4449</v>
      </c>
      <c r="E21" s="147" t="s">
        <v>28</v>
      </c>
      <c r="F21" s="148" t="s">
        <v>84</v>
      </c>
      <c r="G21" s="148" t="s">
        <v>689</v>
      </c>
      <c r="H21" s="145">
        <f>IFERROR(VLOOKUP(B21,'📊 Problem Tracker'!$B$4:$F$1200,5,FALSE()),"")</f>
        <v>0</v>
      </c>
      <c r="I21" s="145"/>
      <c r="J21" s="145"/>
      <c r="K21" s="148"/>
      <c r="L21" s="278" t="s">
        <v>123</v>
      </c>
      <c r="M21" s="145" t="s">
        <v>124</v>
      </c>
      <c r="N21" s="145" t="s">
        <v>47</v>
      </c>
      <c r="O21" s="198" t="str">
        <f>HYPERLINK("https://leetcode.com/problems/4sum/","https://leetcode.com/problems/4sum/")</f>
        <v>https://leetcode.com/problems/4sum/</v>
      </c>
    </row>
    <row r="22" spans="1:15" ht="31.5" customHeight="1" x14ac:dyDescent="0.2">
      <c r="A22" s="7">
        <v>17</v>
      </c>
      <c r="B22" s="7">
        <v>19</v>
      </c>
      <c r="C22" s="13" t="s">
        <v>126</v>
      </c>
      <c r="D22" s="7" t="s">
        <v>4450</v>
      </c>
      <c r="E22" s="18" t="s">
        <v>28</v>
      </c>
      <c r="F22" s="3" t="s">
        <v>679</v>
      </c>
      <c r="G22" s="3" t="s">
        <v>127</v>
      </c>
      <c r="H22" s="7">
        <f>IFERROR(VLOOKUP(B22,'📊 Problem Tracker'!$B$4:$F$1200,5,FALSE()),"")</f>
        <v>0</v>
      </c>
      <c r="I22" s="7"/>
      <c r="J22" s="7"/>
      <c r="K22" s="3"/>
      <c r="L22" s="228" t="s">
        <v>130</v>
      </c>
      <c r="M22" s="7" t="s">
        <v>24</v>
      </c>
      <c r="N22" s="7" t="s">
        <v>47</v>
      </c>
      <c r="O22" s="197" t="str">
        <f>HYPERLINK("https://leetcode.com/problems/remove-nth-node-from-end-of-list/","https://leetcode.com/problems/remove-nth-node-from-end-of-list/")</f>
        <v>https://leetcode.com/problems/remove-nth-node-from-end-of-list/</v>
      </c>
    </row>
    <row r="23" spans="1:15" ht="31.5" customHeight="1" x14ac:dyDescent="0.2">
      <c r="A23" s="145">
        <v>18</v>
      </c>
      <c r="B23" s="145">
        <v>20</v>
      </c>
      <c r="C23" s="146" t="s">
        <v>132</v>
      </c>
      <c r="D23" s="145" t="s">
        <v>4451</v>
      </c>
      <c r="E23" s="150" t="s">
        <v>20</v>
      </c>
      <c r="F23" s="148" t="s">
        <v>133</v>
      </c>
      <c r="G23" s="148" t="s">
        <v>540</v>
      </c>
      <c r="H23" s="145">
        <f>IFERROR(VLOOKUP(B23,'📊 Problem Tracker'!$B$4:$F$1200,5,FALSE()),"")</f>
        <v>0</v>
      </c>
      <c r="I23" s="145"/>
      <c r="J23" s="145"/>
      <c r="K23" s="148"/>
      <c r="L23" s="278" t="s">
        <v>135</v>
      </c>
      <c r="M23" s="145" t="s">
        <v>24</v>
      </c>
      <c r="N23" s="145" t="s">
        <v>24</v>
      </c>
      <c r="O23" s="198" t="str">
        <f>HYPERLINK("https://leetcode.com/problems/valid-parentheses/","https://leetcode.com/problems/valid-parentheses/")</f>
        <v>https://leetcode.com/problems/valid-parentheses/</v>
      </c>
    </row>
    <row r="24" spans="1:15" ht="31.5" customHeight="1" x14ac:dyDescent="0.2">
      <c r="A24" s="7">
        <v>19</v>
      </c>
      <c r="B24" s="7">
        <v>21</v>
      </c>
      <c r="C24" s="13" t="s">
        <v>137</v>
      </c>
      <c r="D24" s="7" t="s">
        <v>4452</v>
      </c>
      <c r="E24" s="21" t="s">
        <v>20</v>
      </c>
      <c r="F24" s="3" t="s">
        <v>127</v>
      </c>
      <c r="G24" s="3" t="s">
        <v>127</v>
      </c>
      <c r="H24" s="7">
        <f>IFERROR(VLOOKUP(B24,'📊 Problem Tracker'!$B$4:$F$1200,5,FALSE()),"")</f>
        <v>0</v>
      </c>
      <c r="I24" s="7"/>
      <c r="J24" s="7"/>
      <c r="K24" s="3"/>
      <c r="L24" s="228" t="s">
        <v>139</v>
      </c>
      <c r="M24" s="7" t="s">
        <v>140</v>
      </c>
      <c r="N24" s="7" t="s">
        <v>141</v>
      </c>
      <c r="O24" s="197" t="str">
        <f>HYPERLINK("https://leetcode.com/problems/merge-two-sorted-lists/","https://leetcode.com/problems/merge-two-sorted-lists/")</f>
        <v>https://leetcode.com/problems/merge-two-sorted-lists/</v>
      </c>
    </row>
    <row r="25" spans="1:15" ht="31.5" customHeight="1" x14ac:dyDescent="0.2">
      <c r="A25" s="145">
        <v>20</v>
      </c>
      <c r="B25" s="145">
        <v>22</v>
      </c>
      <c r="C25" s="146" t="s">
        <v>143</v>
      </c>
      <c r="D25" s="145" t="s">
        <v>4453</v>
      </c>
      <c r="E25" s="147" t="s">
        <v>28</v>
      </c>
      <c r="F25" s="148" t="s">
        <v>4251</v>
      </c>
      <c r="G25" s="148" t="s">
        <v>300</v>
      </c>
      <c r="H25" s="145">
        <f>IFERROR(VLOOKUP(B25,'📊 Problem Tracker'!$B$4:$F$1200,5,FALSE()),"")</f>
        <v>0</v>
      </c>
      <c r="I25" s="145"/>
      <c r="J25" s="145"/>
      <c r="K25" s="148"/>
      <c r="L25" s="278" t="s">
        <v>145</v>
      </c>
      <c r="M25" s="145" t="s">
        <v>146</v>
      </c>
      <c r="N25" s="145" t="s">
        <v>24</v>
      </c>
      <c r="O25" s="198" t="str">
        <f>HYPERLINK("https://leetcode.com/problems/generate-parentheses/","https://leetcode.com/problems/generate-parentheses/")</f>
        <v>https://leetcode.com/problems/generate-parentheses/</v>
      </c>
    </row>
    <row r="26" spans="1:15" ht="31.5" customHeight="1" x14ac:dyDescent="0.2">
      <c r="A26" s="7">
        <v>21</v>
      </c>
      <c r="B26" s="7">
        <v>23</v>
      </c>
      <c r="C26" s="13" t="s">
        <v>148</v>
      </c>
      <c r="D26" s="7" t="s">
        <v>4454</v>
      </c>
      <c r="E26" s="20" t="s">
        <v>42</v>
      </c>
      <c r="F26" s="3" t="s">
        <v>149</v>
      </c>
      <c r="G26" s="3" t="s">
        <v>4455</v>
      </c>
      <c r="H26" s="7">
        <f>IFERROR(VLOOKUP(B26,'📊 Problem Tracker'!$B$4:$F$1200,5,FALSE()),"")</f>
        <v>0</v>
      </c>
      <c r="I26" s="7"/>
      <c r="J26" s="7"/>
      <c r="K26" s="3"/>
      <c r="L26" s="228" t="s">
        <v>151</v>
      </c>
      <c r="M26" s="7" t="s">
        <v>152</v>
      </c>
      <c r="N26" s="7" t="s">
        <v>153</v>
      </c>
      <c r="O26" s="197" t="str">
        <f>HYPERLINK("https://leetcode.com/problems/merge-k-sorted-lists/","https://leetcode.com/problems/merge-k-sorted-lists/")</f>
        <v>https://leetcode.com/problems/merge-k-sorted-lists/</v>
      </c>
    </row>
    <row r="27" spans="1:15" ht="31.5" customHeight="1" x14ac:dyDescent="0.2">
      <c r="A27" s="145">
        <v>22</v>
      </c>
      <c r="B27" s="145">
        <v>24</v>
      </c>
      <c r="C27" s="146" t="s">
        <v>155</v>
      </c>
      <c r="D27" s="145" t="s">
        <v>4456</v>
      </c>
      <c r="E27" s="147" t="s">
        <v>28</v>
      </c>
      <c r="F27" s="148" t="s">
        <v>127</v>
      </c>
      <c r="G27" s="148" t="s">
        <v>127</v>
      </c>
      <c r="H27" s="145">
        <f>IFERROR(VLOOKUP(B27,'📊 Problem Tracker'!$B$4:$F$1200,5,FALSE()),"")</f>
        <v>0</v>
      </c>
      <c r="I27" s="145"/>
      <c r="J27" s="145"/>
      <c r="K27" s="148"/>
      <c r="L27" s="278" t="s">
        <v>158</v>
      </c>
      <c r="M27" s="145" t="s">
        <v>24</v>
      </c>
      <c r="N27" s="145" t="s">
        <v>47</v>
      </c>
      <c r="O27" s="198" t="str">
        <f>HYPERLINK("https://leetcode.com/problems/swap-nodes-in-pairs/","https://leetcode.com/problems/swap-nodes-in-pairs/")</f>
        <v>https://leetcode.com/problems/swap-nodes-in-pairs/</v>
      </c>
    </row>
    <row r="28" spans="1:15" ht="31.5" customHeight="1" x14ac:dyDescent="0.2">
      <c r="A28" s="7">
        <v>23</v>
      </c>
      <c r="B28" s="7">
        <v>25</v>
      </c>
      <c r="C28" s="13" t="s">
        <v>160</v>
      </c>
      <c r="D28" s="7" t="s">
        <v>4457</v>
      </c>
      <c r="E28" s="20" t="s">
        <v>42</v>
      </c>
      <c r="F28" s="3" t="s">
        <v>127</v>
      </c>
      <c r="G28" s="3" t="s">
        <v>4458</v>
      </c>
      <c r="H28" s="7">
        <f>IFERROR(VLOOKUP(B28,'📊 Problem Tracker'!$B$4:$F$1200,5,FALSE()),"")</f>
        <v>0</v>
      </c>
      <c r="I28" s="7"/>
      <c r="J28" s="7"/>
      <c r="K28" s="3"/>
      <c r="L28" s="228" t="s">
        <v>163</v>
      </c>
      <c r="M28" s="7" t="s">
        <v>24</v>
      </c>
      <c r="N28" s="7" t="s">
        <v>47</v>
      </c>
      <c r="O28" s="197" t="str">
        <f>HYPERLINK("https://leetcode.com/problems/reverse-nodes-in-k-group/","https://leetcode.com/problems/reverse-nodes-in-k-group/")</f>
        <v>https://leetcode.com/problems/reverse-nodes-in-k-group/</v>
      </c>
    </row>
    <row r="29" spans="1:15" ht="31.5" customHeight="1" x14ac:dyDescent="0.2">
      <c r="A29" s="145">
        <v>24</v>
      </c>
      <c r="B29" s="145">
        <v>26</v>
      </c>
      <c r="C29" s="146" t="s">
        <v>165</v>
      </c>
      <c r="D29" s="145" t="s">
        <v>4459</v>
      </c>
      <c r="E29" s="150" t="s">
        <v>20</v>
      </c>
      <c r="F29" s="148" t="s">
        <v>84</v>
      </c>
      <c r="G29" s="148" t="s">
        <v>689</v>
      </c>
      <c r="H29" s="145">
        <f>IFERROR(VLOOKUP(B29,'📊 Problem Tracker'!$B$4:$F$1200,5,FALSE()),"")</f>
        <v>0</v>
      </c>
      <c r="I29" s="145"/>
      <c r="J29" s="145"/>
      <c r="K29" s="148"/>
      <c r="L29" s="278" t="s">
        <v>169</v>
      </c>
      <c r="M29" s="145" t="s">
        <v>24</v>
      </c>
      <c r="N29" s="145" t="s">
        <v>47</v>
      </c>
      <c r="O29" s="198" t="str">
        <f>HYPERLINK("https://leetcode.com/problems/remove-duplicates-from-sorted-array/","https://leetcode.com/problems/remove-duplicates-from-sorted-array/")</f>
        <v>https://leetcode.com/problems/remove-duplicates-from-sorted-array/</v>
      </c>
    </row>
    <row r="30" spans="1:15" ht="31.5" customHeight="1" x14ac:dyDescent="0.2">
      <c r="A30" s="7">
        <v>25</v>
      </c>
      <c r="B30" s="7">
        <v>27</v>
      </c>
      <c r="C30" s="13" t="s">
        <v>171</v>
      </c>
      <c r="D30" s="7" t="s">
        <v>4460</v>
      </c>
      <c r="E30" s="21" t="s">
        <v>20</v>
      </c>
      <c r="F30" s="3" t="s">
        <v>166</v>
      </c>
      <c r="G30" s="3" t="s">
        <v>166</v>
      </c>
      <c r="H30" s="7">
        <f>IFERROR(VLOOKUP(B30,'📊 Problem Tracker'!$B$4:$F$1200,5,FALSE()),"")</f>
        <v>0</v>
      </c>
      <c r="I30" s="7"/>
      <c r="J30" s="7"/>
      <c r="K30" s="3"/>
      <c r="L30" s="228" t="s">
        <v>173</v>
      </c>
      <c r="M30" s="7" t="s">
        <v>24</v>
      </c>
      <c r="N30" s="7" t="s">
        <v>47</v>
      </c>
      <c r="O30" s="197" t="str">
        <f>HYPERLINK("https://leetcode.com/problems/remove-element/","https://leetcode.com/problems/remove-element/")</f>
        <v>https://leetcode.com/problems/remove-element/</v>
      </c>
    </row>
    <row r="31" spans="1:15" ht="31.5" customHeight="1" x14ac:dyDescent="0.2">
      <c r="A31" s="145">
        <v>26</v>
      </c>
      <c r="B31" s="145">
        <v>28</v>
      </c>
      <c r="C31" s="146" t="s">
        <v>175</v>
      </c>
      <c r="D31" s="145" t="s">
        <v>4461</v>
      </c>
      <c r="E31" s="150" t="s">
        <v>20</v>
      </c>
      <c r="F31" s="148" t="s">
        <v>611</v>
      </c>
      <c r="G31" s="148" t="s">
        <v>4732</v>
      </c>
      <c r="H31" s="145">
        <f>IFERROR(VLOOKUP(B31,'📊 Problem Tracker'!$B$4:$F$1200,5,FALSE()),"")</f>
        <v>0</v>
      </c>
      <c r="I31" s="145"/>
      <c r="J31" s="145"/>
      <c r="K31" s="148"/>
      <c r="L31" s="278" t="s">
        <v>177</v>
      </c>
      <c r="M31" s="145" t="s">
        <v>178</v>
      </c>
      <c r="N31" s="145" t="s">
        <v>47</v>
      </c>
      <c r="O31" s="198" t="str">
        <f>HYPERLINK("https://leetcode.com/problems/find-the-index-of-the-first-occurrence-in-a-string/","https://leetcode.com/problems/find-the-index-of-the-first-occurrence-in-a-string/")</f>
        <v>https://leetcode.com/problems/find-the-index-of-the-first-occurrence-in-a-string/</v>
      </c>
    </row>
    <row r="32" spans="1:15" ht="31.5" customHeight="1" x14ac:dyDescent="0.2">
      <c r="A32" s="7">
        <v>27</v>
      </c>
      <c r="B32" s="7">
        <v>29</v>
      </c>
      <c r="C32" s="13" t="s">
        <v>180</v>
      </c>
      <c r="D32" s="7" t="s">
        <v>4462</v>
      </c>
      <c r="E32" s="18" t="s">
        <v>28</v>
      </c>
      <c r="F32" s="3" t="s">
        <v>181</v>
      </c>
      <c r="G32" s="3" t="s">
        <v>666</v>
      </c>
      <c r="H32" s="7">
        <f>IFERROR(VLOOKUP(B32,'📊 Problem Tracker'!$B$4:$F$1200,5,FALSE()),"")</f>
        <v>0</v>
      </c>
      <c r="I32" s="7"/>
      <c r="J32" s="7"/>
      <c r="K32" s="3"/>
      <c r="L32" s="228" t="s">
        <v>184</v>
      </c>
      <c r="M32" s="7" t="s">
        <v>65</v>
      </c>
      <c r="N32" s="7" t="s">
        <v>47</v>
      </c>
      <c r="O32" s="197" t="str">
        <f>HYPERLINK("https://leetcode.com/problems/divide-two-integers/","https://leetcode.com/problems/divide-two-integers/")</f>
        <v>https://leetcode.com/problems/divide-two-integers/</v>
      </c>
    </row>
    <row r="33" spans="1:15" ht="31.5" customHeight="1" x14ac:dyDescent="0.2">
      <c r="A33" s="145">
        <v>28</v>
      </c>
      <c r="B33" s="145">
        <v>31</v>
      </c>
      <c r="C33" s="146" t="s">
        <v>192</v>
      </c>
      <c r="D33" s="145" t="s">
        <v>4463</v>
      </c>
      <c r="E33" s="147" t="s">
        <v>28</v>
      </c>
      <c r="F33" s="148" t="s">
        <v>84</v>
      </c>
      <c r="G33" s="148" t="s">
        <v>689</v>
      </c>
      <c r="H33" s="145">
        <f>IFERROR(VLOOKUP(B33,'📊 Problem Tracker'!$B$4:$F$1200,5,FALSE()),"")</f>
        <v>0</v>
      </c>
      <c r="I33" s="145"/>
      <c r="J33" s="145"/>
      <c r="K33" s="148"/>
      <c r="L33" s="278" t="s">
        <v>195</v>
      </c>
      <c r="M33" s="145" t="s">
        <v>24</v>
      </c>
      <c r="N33" s="145" t="s">
        <v>47</v>
      </c>
      <c r="O33" s="198" t="str">
        <f>HYPERLINK("https://leetcode.com/problems/next-permutation/","https://leetcode.com/problems/next-permutation/")</f>
        <v>https://leetcode.com/problems/next-permutation/</v>
      </c>
    </row>
    <row r="34" spans="1:15" ht="31.5" customHeight="1" x14ac:dyDescent="0.2">
      <c r="A34" s="7">
        <v>29</v>
      </c>
      <c r="B34" s="7">
        <v>32</v>
      </c>
      <c r="C34" s="13" t="s">
        <v>197</v>
      </c>
      <c r="D34" s="7" t="s">
        <v>4464</v>
      </c>
      <c r="E34" s="20" t="s">
        <v>42</v>
      </c>
      <c r="F34" s="3" t="s">
        <v>198</v>
      </c>
      <c r="G34" s="3" t="s">
        <v>4465</v>
      </c>
      <c r="H34" s="7">
        <f>IFERROR(VLOOKUP(B34,'📊 Problem Tracker'!$B$4:$F$1200,5,FALSE()),"")</f>
        <v>0</v>
      </c>
      <c r="I34" s="7"/>
      <c r="J34" s="7"/>
      <c r="K34" s="3"/>
      <c r="L34" s="228" t="s">
        <v>200</v>
      </c>
      <c r="M34" s="7" t="s">
        <v>24</v>
      </c>
      <c r="N34" s="7" t="s">
        <v>24</v>
      </c>
      <c r="O34" s="197" t="str">
        <f>HYPERLINK("https://leetcode.com/problems/longest-valid-parentheses/","https://leetcode.com/problems/longest-valid-parentheses/")</f>
        <v>https://leetcode.com/problems/longest-valid-parentheses/</v>
      </c>
    </row>
    <row r="35" spans="1:15" ht="31.5" customHeight="1" x14ac:dyDescent="0.2">
      <c r="A35" s="145">
        <v>30</v>
      </c>
      <c r="B35" s="145">
        <v>33</v>
      </c>
      <c r="C35" s="146" t="s">
        <v>202</v>
      </c>
      <c r="D35" s="145" t="s">
        <v>4466</v>
      </c>
      <c r="E35" s="147" t="s">
        <v>28</v>
      </c>
      <c r="F35" s="148" t="s">
        <v>41</v>
      </c>
      <c r="G35" s="148" t="s">
        <v>4255</v>
      </c>
      <c r="H35" s="145">
        <f>IFERROR(VLOOKUP(B35,'📊 Problem Tracker'!$B$4:$F$1200,5,FALSE()),"")</f>
        <v>0</v>
      </c>
      <c r="I35" s="145"/>
      <c r="J35" s="145"/>
      <c r="K35" s="148"/>
      <c r="L35" s="278" t="s">
        <v>204</v>
      </c>
      <c r="M35" s="145" t="s">
        <v>65</v>
      </c>
      <c r="N35" s="145" t="s">
        <v>47</v>
      </c>
      <c r="O35" s="198" t="str">
        <f>HYPERLINK("https://leetcode.com/problems/search-in-rotated-sorted-array/","https://leetcode.com/problems/search-in-rotated-sorted-array/")</f>
        <v>https://leetcode.com/problems/search-in-rotated-sorted-array/</v>
      </c>
    </row>
    <row r="36" spans="1:15" ht="31.5" customHeight="1" x14ac:dyDescent="0.2">
      <c r="A36" s="7">
        <v>31</v>
      </c>
      <c r="B36" s="7">
        <v>34</v>
      </c>
      <c r="C36" s="13" t="s">
        <v>206</v>
      </c>
      <c r="D36" s="7" t="s">
        <v>4467</v>
      </c>
      <c r="E36" s="18" t="s">
        <v>28</v>
      </c>
      <c r="F36" s="3" t="s">
        <v>41</v>
      </c>
      <c r="G36" s="3" t="s">
        <v>512</v>
      </c>
      <c r="H36" s="7">
        <f>IFERROR(VLOOKUP(B36,'📊 Problem Tracker'!$B$4:$F$1200,5,FALSE()),"")</f>
        <v>0</v>
      </c>
      <c r="I36" s="7"/>
      <c r="J36" s="7"/>
      <c r="K36" s="3"/>
      <c r="L36" s="228" t="s">
        <v>208</v>
      </c>
      <c r="M36" s="7" t="s">
        <v>65</v>
      </c>
      <c r="N36" s="7" t="s">
        <v>47</v>
      </c>
      <c r="O36" s="197" t="str">
        <f>HYPERLINK("https://leetcode.com/problems/find-first-and-last-position-of-element-in-sorted-array/","https://leetcode.com/problems/find-first-and-last-position-of-element-in-sorted-array/")</f>
        <v>https://leetcode.com/problems/find-first-and-last-position-of-element-in-sorted-array/</v>
      </c>
    </row>
    <row r="37" spans="1:15" ht="31.5" customHeight="1" x14ac:dyDescent="0.2">
      <c r="A37" s="145">
        <v>32</v>
      </c>
      <c r="B37" s="145">
        <v>35</v>
      </c>
      <c r="C37" s="146" t="s">
        <v>210</v>
      </c>
      <c r="D37" s="145" t="s">
        <v>4468</v>
      </c>
      <c r="E37" s="150" t="s">
        <v>20</v>
      </c>
      <c r="F37" s="148" t="s">
        <v>41</v>
      </c>
      <c r="G37" s="148" t="s">
        <v>512</v>
      </c>
      <c r="H37" s="145">
        <f>IFERROR(VLOOKUP(B37,'📊 Problem Tracker'!$B$4:$F$1200,5,FALSE()),"")</f>
        <v>0</v>
      </c>
      <c r="I37" s="145"/>
      <c r="J37" s="145"/>
      <c r="K37" s="148"/>
      <c r="L37" s="278" t="s">
        <v>212</v>
      </c>
      <c r="M37" s="145" t="s">
        <v>65</v>
      </c>
      <c r="N37" s="145" t="s">
        <v>47</v>
      </c>
      <c r="O37" s="198" t="str">
        <f>HYPERLINK("https://leetcode.com/problems/search-insert-position/","https://leetcode.com/problems/search-insert-position/")</f>
        <v>https://leetcode.com/problems/search-insert-position/</v>
      </c>
    </row>
    <row r="38" spans="1:15" ht="31.5" customHeight="1" x14ac:dyDescent="0.2">
      <c r="A38" s="7">
        <v>33</v>
      </c>
      <c r="B38" s="7">
        <v>36</v>
      </c>
      <c r="C38" s="13" t="s">
        <v>214</v>
      </c>
      <c r="D38" s="7" t="s">
        <v>4469</v>
      </c>
      <c r="E38" s="18" t="s">
        <v>28</v>
      </c>
      <c r="F38" s="3" t="s">
        <v>215</v>
      </c>
      <c r="G38" s="3" t="s">
        <v>4470</v>
      </c>
      <c r="H38" s="7">
        <f>IFERROR(VLOOKUP(B38,'📊 Problem Tracker'!$B$4:$F$1200,5,FALSE()),"")</f>
        <v>0</v>
      </c>
      <c r="I38" s="7"/>
      <c r="J38" s="7"/>
      <c r="K38" s="3"/>
      <c r="L38" s="228" t="s">
        <v>218</v>
      </c>
      <c r="M38" s="7" t="s">
        <v>47</v>
      </c>
      <c r="N38" s="7" t="s">
        <v>47</v>
      </c>
      <c r="O38" s="197" t="str">
        <f>HYPERLINK("https://leetcode.com/problems/valid-sudoku/","https://leetcode.com/problems/valid-sudoku/")</f>
        <v>https://leetcode.com/problems/valid-sudoku/</v>
      </c>
    </row>
    <row r="39" spans="1:15" ht="31.5" customHeight="1" x14ac:dyDescent="0.2">
      <c r="A39" s="145">
        <v>34</v>
      </c>
      <c r="B39" s="145">
        <v>37</v>
      </c>
      <c r="C39" s="146" t="s">
        <v>220</v>
      </c>
      <c r="D39" s="145" t="s">
        <v>4471</v>
      </c>
      <c r="E39" s="149" t="s">
        <v>42</v>
      </c>
      <c r="F39" s="148" t="s">
        <v>221</v>
      </c>
      <c r="G39" s="148" t="s">
        <v>300</v>
      </c>
      <c r="H39" s="145">
        <f>IFERROR(VLOOKUP(B39,'📊 Problem Tracker'!$B$4:$F$1200,5,FALSE()),"")</f>
        <v>0</v>
      </c>
      <c r="I39" s="145"/>
      <c r="J39" s="145"/>
      <c r="K39" s="148"/>
      <c r="L39" s="278" t="s">
        <v>224</v>
      </c>
      <c r="M39" s="145" t="s">
        <v>225</v>
      </c>
      <c r="N39" s="145" t="s">
        <v>226</v>
      </c>
      <c r="O39" s="198" t="str">
        <f>HYPERLINK("https://leetcode.com/problems/sudoku-solver/","https://leetcode.com/problems/sudoku-solver/")</f>
        <v>https://leetcode.com/problems/sudoku-solver/</v>
      </c>
    </row>
    <row r="40" spans="1:15" ht="31.5" customHeight="1" x14ac:dyDescent="0.2">
      <c r="A40" s="7">
        <v>35</v>
      </c>
      <c r="B40" s="7">
        <v>39</v>
      </c>
      <c r="C40" s="13" t="s">
        <v>233</v>
      </c>
      <c r="D40" s="7" t="s">
        <v>4473</v>
      </c>
      <c r="E40" s="18" t="s">
        <v>28</v>
      </c>
      <c r="F40" s="3" t="s">
        <v>234</v>
      </c>
      <c r="G40" s="3" t="s">
        <v>300</v>
      </c>
      <c r="H40" s="7">
        <f>IFERROR(VLOOKUP(B40,'📊 Problem Tracker'!$B$4:$F$1200,5,FALSE()),"")</f>
        <v>0</v>
      </c>
      <c r="I40" s="7"/>
      <c r="J40" s="7"/>
      <c r="K40" s="3"/>
      <c r="L40" s="228" t="s">
        <v>237</v>
      </c>
      <c r="M40" s="7" t="s">
        <v>238</v>
      </c>
      <c r="N40" s="7" t="s">
        <v>239</v>
      </c>
      <c r="O40" s="197" t="str">
        <f>HYPERLINK("https://leetcode.com/problems/combination-sum/","https://leetcode.com/problems/combination-sum/")</f>
        <v>https://leetcode.com/problems/combination-sum/</v>
      </c>
    </row>
    <row r="41" spans="1:15" ht="31.5" customHeight="1" x14ac:dyDescent="0.2">
      <c r="A41" s="145">
        <v>36</v>
      </c>
      <c r="B41" s="145">
        <v>41</v>
      </c>
      <c r="C41" s="146" t="s">
        <v>246</v>
      </c>
      <c r="D41" s="145" t="s">
        <v>4475</v>
      </c>
      <c r="E41" s="149" t="s">
        <v>42</v>
      </c>
      <c r="F41" s="148" t="s">
        <v>19</v>
      </c>
      <c r="G41" s="148" t="s">
        <v>1699</v>
      </c>
      <c r="H41" s="145">
        <f>IFERROR(VLOOKUP(B41,'📊 Problem Tracker'!$B$4:$F$1200,5,FALSE()),"")</f>
        <v>0</v>
      </c>
      <c r="I41" s="145"/>
      <c r="J41" s="145"/>
      <c r="K41" s="148"/>
      <c r="L41" s="278" t="s">
        <v>249</v>
      </c>
      <c r="M41" s="145" t="s">
        <v>24</v>
      </c>
      <c r="N41" s="145" t="s">
        <v>47</v>
      </c>
      <c r="O41" s="198" t="str">
        <f>HYPERLINK("https://leetcode.com/problems/first-missing-positive/","https://leetcode.com/problems/first-missing-positive/")</f>
        <v>https://leetcode.com/problems/first-missing-positive/</v>
      </c>
    </row>
    <row r="42" spans="1:15" ht="31.5" customHeight="1" x14ac:dyDescent="0.2">
      <c r="A42" s="7">
        <v>37</v>
      </c>
      <c r="B42" s="7">
        <v>42</v>
      </c>
      <c r="C42" s="13" t="s">
        <v>251</v>
      </c>
      <c r="D42" s="7" t="s">
        <v>4476</v>
      </c>
      <c r="E42" s="20" t="s">
        <v>42</v>
      </c>
      <c r="F42" s="3" t="s">
        <v>4259</v>
      </c>
      <c r="G42" s="3" t="s">
        <v>4477</v>
      </c>
      <c r="H42" s="7">
        <f>IFERROR(VLOOKUP(B42,'📊 Problem Tracker'!$B$4:$F$1200,5,FALSE()),"")</f>
        <v>0</v>
      </c>
      <c r="I42" s="7"/>
      <c r="J42" s="7"/>
      <c r="K42" s="3"/>
      <c r="L42" s="228" t="s">
        <v>254</v>
      </c>
      <c r="M42" s="7" t="s">
        <v>24</v>
      </c>
      <c r="N42" s="7" t="s">
        <v>47</v>
      </c>
      <c r="O42" s="197" t="str">
        <f>HYPERLINK("https://leetcode.com/problems/trapping-rain-water/","https://leetcode.com/problems/trapping-rain-water/")</f>
        <v>https://leetcode.com/problems/trapping-rain-water/</v>
      </c>
    </row>
    <row r="43" spans="1:15" ht="31.5" customHeight="1" x14ac:dyDescent="0.2">
      <c r="A43" s="145">
        <v>38</v>
      </c>
      <c r="B43" s="145">
        <v>45</v>
      </c>
      <c r="C43" s="146" t="s">
        <v>266</v>
      </c>
      <c r="D43" s="145" t="s">
        <v>4479</v>
      </c>
      <c r="E43" s="147" t="s">
        <v>28</v>
      </c>
      <c r="F43" s="148" t="s">
        <v>267</v>
      </c>
      <c r="G43" s="148" t="s">
        <v>4348</v>
      </c>
      <c r="H43" s="145">
        <f>IFERROR(VLOOKUP(B43,'📊 Problem Tracker'!$B$4:$F$1200,5,FALSE()),"")</f>
        <v>0</v>
      </c>
      <c r="I43" s="145"/>
      <c r="J43" s="145"/>
      <c r="K43" s="148"/>
      <c r="L43" s="278" t="s">
        <v>270</v>
      </c>
      <c r="M43" s="145" t="s">
        <v>24</v>
      </c>
      <c r="N43" s="145" t="s">
        <v>47</v>
      </c>
      <c r="O43" s="198" t="str">
        <f>HYPERLINK("https://leetcode.com/problems/jump-game-ii/","https://leetcode.com/problems/jump-game-ii/")</f>
        <v>https://leetcode.com/problems/jump-game-ii/</v>
      </c>
    </row>
    <row r="44" spans="1:15" ht="31.5" customHeight="1" x14ac:dyDescent="0.2">
      <c r="A44" s="7">
        <v>39</v>
      </c>
      <c r="B44" s="7">
        <v>46</v>
      </c>
      <c r="C44" s="13" t="s">
        <v>272</v>
      </c>
      <c r="D44" s="7" t="s">
        <v>4480</v>
      </c>
      <c r="E44" s="18" t="s">
        <v>28</v>
      </c>
      <c r="F44" s="3" t="s">
        <v>234</v>
      </c>
      <c r="G44" s="3" t="s">
        <v>300</v>
      </c>
      <c r="H44" s="7">
        <f>IFERROR(VLOOKUP(B44,'📊 Problem Tracker'!$B$4:$F$1200,5,FALSE()),"")</f>
        <v>0</v>
      </c>
      <c r="I44" s="7"/>
      <c r="J44" s="7"/>
      <c r="K44" s="3"/>
      <c r="L44" s="228" t="s">
        <v>274</v>
      </c>
      <c r="M44" s="7" t="s">
        <v>275</v>
      </c>
      <c r="N44" s="7" t="s">
        <v>24</v>
      </c>
      <c r="O44" s="197" t="str">
        <f>HYPERLINK("https://leetcode.com/problems/permutations/","https://leetcode.com/problems/permutations/")</f>
        <v>https://leetcode.com/problems/permutations/</v>
      </c>
    </row>
    <row r="45" spans="1:15" ht="31.5" customHeight="1" x14ac:dyDescent="0.2">
      <c r="A45" s="145">
        <v>40</v>
      </c>
      <c r="B45" s="145">
        <v>47</v>
      </c>
      <c r="C45" s="146" t="s">
        <v>277</v>
      </c>
      <c r="D45" s="145" t="s">
        <v>4623</v>
      </c>
      <c r="E45" s="147" t="s">
        <v>28</v>
      </c>
      <c r="F45" s="148" t="s">
        <v>234</v>
      </c>
      <c r="G45" s="148" t="s">
        <v>300</v>
      </c>
      <c r="H45" s="145">
        <f>IFERROR(VLOOKUP(B45,'📊 Problem Tracker'!$B$4:$F$1200,5,FALSE()),"")</f>
        <v>0</v>
      </c>
      <c r="I45" s="145"/>
      <c r="J45" s="145"/>
      <c r="K45" s="148"/>
      <c r="L45" s="278" t="s">
        <v>280</v>
      </c>
      <c r="M45" s="145" t="s">
        <v>275</v>
      </c>
      <c r="N45" s="145" t="s">
        <v>24</v>
      </c>
      <c r="O45" s="198" t="str">
        <f>HYPERLINK("https://leetcode.com/problems/permutations-ii/","https://leetcode.com/problems/permutations-ii/")</f>
        <v>https://leetcode.com/problems/permutations-ii/</v>
      </c>
    </row>
    <row r="46" spans="1:15" ht="31.5" customHeight="1" x14ac:dyDescent="0.2">
      <c r="A46" s="7">
        <v>41</v>
      </c>
      <c r="B46" s="7">
        <v>48</v>
      </c>
      <c r="C46" s="13" t="s">
        <v>282</v>
      </c>
      <c r="D46" s="7" t="s">
        <v>4481</v>
      </c>
      <c r="E46" s="18" t="s">
        <v>28</v>
      </c>
      <c r="F46" s="3" t="s">
        <v>283</v>
      </c>
      <c r="G46" s="3" t="s">
        <v>4187</v>
      </c>
      <c r="H46" s="7">
        <f>IFERROR(VLOOKUP(B46,'📊 Problem Tracker'!$B$4:$F$1200,5,FALSE()),"")</f>
        <v>0</v>
      </c>
      <c r="I46" s="7"/>
      <c r="J46" s="7"/>
      <c r="K46" s="3"/>
      <c r="L46" s="228" t="s">
        <v>286</v>
      </c>
      <c r="M46" s="7" t="s">
        <v>53</v>
      </c>
      <c r="N46" s="7" t="s">
        <v>47</v>
      </c>
      <c r="O46" s="197" t="str">
        <f>HYPERLINK("https://leetcode.com/problems/rotate-image/","https://leetcode.com/problems/rotate-image/")</f>
        <v>https://leetcode.com/problems/rotate-image/</v>
      </c>
    </row>
    <row r="47" spans="1:15" ht="31.5" customHeight="1" x14ac:dyDescent="0.2">
      <c r="A47" s="145">
        <v>42</v>
      </c>
      <c r="B47" s="145">
        <v>49</v>
      </c>
      <c r="C47" s="146" t="s">
        <v>288</v>
      </c>
      <c r="D47" s="145" t="s">
        <v>4482</v>
      </c>
      <c r="E47" s="147" t="s">
        <v>28</v>
      </c>
      <c r="F47" s="148" t="s">
        <v>289</v>
      </c>
      <c r="G47" s="148" t="s">
        <v>4244</v>
      </c>
      <c r="H47" s="145">
        <f>IFERROR(VLOOKUP(B47,'📊 Problem Tracker'!$B$4:$F$1200,5,FALSE()),"")</f>
        <v>0</v>
      </c>
      <c r="I47" s="145"/>
      <c r="J47" s="145"/>
      <c r="K47" s="148"/>
      <c r="L47" s="278" t="s">
        <v>291</v>
      </c>
      <c r="M47" s="145" t="s">
        <v>292</v>
      </c>
      <c r="N47" s="145" t="s">
        <v>292</v>
      </c>
      <c r="O47" s="198" t="str">
        <f>HYPERLINK("https://leetcode.com/problems/group-anagrams/","https://leetcode.com/problems/group-anagrams/")</f>
        <v>https://leetcode.com/problems/group-anagrams/</v>
      </c>
    </row>
    <row r="48" spans="1:15" ht="31.5" customHeight="1" x14ac:dyDescent="0.2">
      <c r="A48" s="7">
        <v>43</v>
      </c>
      <c r="B48" s="7">
        <v>50</v>
      </c>
      <c r="C48" s="13" t="s">
        <v>294</v>
      </c>
      <c r="D48" s="7" t="s">
        <v>4483</v>
      </c>
      <c r="E48" s="18" t="s">
        <v>28</v>
      </c>
      <c r="F48" s="3" t="s">
        <v>295</v>
      </c>
      <c r="G48" s="3" t="s">
        <v>4484</v>
      </c>
      <c r="H48" s="7">
        <f>IFERROR(VLOOKUP(B48,'📊 Problem Tracker'!$B$4:$F$1200,5,FALSE()),"")</f>
        <v>0</v>
      </c>
      <c r="I48" s="7"/>
      <c r="J48" s="7"/>
      <c r="K48" s="3"/>
      <c r="L48" s="228" t="s">
        <v>297</v>
      </c>
      <c r="M48" s="7" t="s">
        <v>65</v>
      </c>
      <c r="N48" s="7" t="s">
        <v>47</v>
      </c>
      <c r="O48" s="197" t="str">
        <f>HYPERLINK("https://leetcode.com/problems/powx-n/","https://leetcode.com/problems/powx-n/")</f>
        <v>https://leetcode.com/problems/powx-n/</v>
      </c>
    </row>
    <row r="49" spans="1:15" ht="31.5" customHeight="1" x14ac:dyDescent="0.2">
      <c r="A49" s="145">
        <v>44</v>
      </c>
      <c r="B49" s="145">
        <v>51</v>
      </c>
      <c r="C49" s="146" t="s">
        <v>299</v>
      </c>
      <c r="D49" s="145" t="s">
        <v>4485</v>
      </c>
      <c r="E49" s="149" t="s">
        <v>42</v>
      </c>
      <c r="F49" s="148" t="s">
        <v>234</v>
      </c>
      <c r="G49" s="148" t="s">
        <v>300</v>
      </c>
      <c r="H49" s="145">
        <f>IFERROR(VLOOKUP(B49,'📊 Problem Tracker'!$B$4:$F$1200,5,FALSE()),"")</f>
        <v>0</v>
      </c>
      <c r="I49" s="145"/>
      <c r="J49" s="145"/>
      <c r="K49" s="148"/>
      <c r="L49" s="278" t="s">
        <v>302</v>
      </c>
      <c r="M49" s="145" t="s">
        <v>303</v>
      </c>
      <c r="N49" s="145" t="s">
        <v>304</v>
      </c>
      <c r="O49" s="198" t="str">
        <f>HYPERLINK("https://leetcode.com/problems/n-queens/","https://leetcode.com/problems/n-queens/")</f>
        <v>https://leetcode.com/problems/n-queens/</v>
      </c>
    </row>
    <row r="50" spans="1:15" ht="31.5" customHeight="1" x14ac:dyDescent="0.2">
      <c r="A50" s="7">
        <v>45</v>
      </c>
      <c r="B50" s="7">
        <v>53</v>
      </c>
      <c r="C50" s="13" t="s">
        <v>308</v>
      </c>
      <c r="D50" s="7" t="s">
        <v>4486</v>
      </c>
      <c r="E50" s="18" t="s">
        <v>28</v>
      </c>
      <c r="F50" s="3" t="s">
        <v>309</v>
      </c>
      <c r="G50" s="3" t="s">
        <v>4261</v>
      </c>
      <c r="H50" s="7">
        <f>IFERROR(VLOOKUP(B50,'📊 Problem Tracker'!$B$4:$F$1200,5,FALSE()),"")</f>
        <v>0</v>
      </c>
      <c r="I50" s="7"/>
      <c r="J50" s="7"/>
      <c r="K50" s="3"/>
      <c r="L50" s="228" t="s">
        <v>311</v>
      </c>
      <c r="M50" s="7" t="s">
        <v>24</v>
      </c>
      <c r="N50" s="7" t="s">
        <v>47</v>
      </c>
      <c r="O50" s="197" t="str">
        <f>HYPERLINK("https://leetcode.com/problems/maximum-subarray/","https://leetcode.com/problems/maximum-subarray/")</f>
        <v>https://leetcode.com/problems/maximum-subarray/</v>
      </c>
    </row>
    <row r="51" spans="1:15" ht="31.5" customHeight="1" x14ac:dyDescent="0.2">
      <c r="A51" s="145">
        <v>46</v>
      </c>
      <c r="B51" s="145">
        <v>54</v>
      </c>
      <c r="C51" s="146" t="s">
        <v>313</v>
      </c>
      <c r="D51" s="145" t="s">
        <v>4487</v>
      </c>
      <c r="E51" s="147" t="s">
        <v>28</v>
      </c>
      <c r="F51" s="148" t="s">
        <v>283</v>
      </c>
      <c r="G51" s="148" t="s">
        <v>4488</v>
      </c>
      <c r="H51" s="145">
        <f>IFERROR(VLOOKUP(B51,'📊 Problem Tracker'!$B$4:$F$1200,5,FALSE()),"")</f>
        <v>0</v>
      </c>
      <c r="I51" s="145"/>
      <c r="J51" s="145"/>
      <c r="K51" s="148"/>
      <c r="L51" s="278" t="s">
        <v>315</v>
      </c>
      <c r="M51" s="145" t="s">
        <v>81</v>
      </c>
      <c r="N51" s="145" t="s">
        <v>47</v>
      </c>
      <c r="O51" s="198" t="str">
        <f>HYPERLINK("https://leetcode.com/problems/spiral-matrix/","https://leetcode.com/problems/spiral-matrix/")</f>
        <v>https://leetcode.com/problems/spiral-matrix/</v>
      </c>
    </row>
    <row r="52" spans="1:15" ht="31.5" customHeight="1" x14ac:dyDescent="0.2">
      <c r="A52" s="7">
        <v>47</v>
      </c>
      <c r="B52" s="7">
        <v>55</v>
      </c>
      <c r="C52" s="13" t="s">
        <v>317</v>
      </c>
      <c r="D52" s="7" t="s">
        <v>4489</v>
      </c>
      <c r="E52" s="18" t="s">
        <v>28</v>
      </c>
      <c r="F52" s="3" t="s">
        <v>318</v>
      </c>
      <c r="G52" s="3" t="s">
        <v>3091</v>
      </c>
      <c r="H52" s="7">
        <f>IFERROR(VLOOKUP(B52,'📊 Problem Tracker'!$B$4:$F$1200,5,FALSE()),"")</f>
        <v>0</v>
      </c>
      <c r="I52" s="7"/>
      <c r="J52" s="7"/>
      <c r="K52" s="3"/>
      <c r="L52" s="228" t="s">
        <v>320</v>
      </c>
      <c r="M52" s="7" t="s">
        <v>24</v>
      </c>
      <c r="N52" s="7" t="s">
        <v>47</v>
      </c>
      <c r="O52" s="197" t="str">
        <f>HYPERLINK("https://leetcode.com/problems/jump-game/","https://leetcode.com/problems/jump-game/")</f>
        <v>https://leetcode.com/problems/jump-game/</v>
      </c>
    </row>
    <row r="53" spans="1:15" ht="31.5" customHeight="1" x14ac:dyDescent="0.2">
      <c r="A53" s="145">
        <v>48</v>
      </c>
      <c r="B53" s="145">
        <v>56</v>
      </c>
      <c r="C53" s="146" t="s">
        <v>322</v>
      </c>
      <c r="D53" s="145" t="s">
        <v>4490</v>
      </c>
      <c r="E53" s="147" t="s">
        <v>28</v>
      </c>
      <c r="F53" s="148" t="s">
        <v>323</v>
      </c>
      <c r="G53" s="148" t="s">
        <v>322</v>
      </c>
      <c r="H53" s="145">
        <f>IFERROR(VLOOKUP(B53,'📊 Problem Tracker'!$B$4:$F$1200,5,FALSE()),"")</f>
        <v>0</v>
      </c>
      <c r="I53" s="145"/>
      <c r="J53" s="145"/>
      <c r="K53" s="148"/>
      <c r="L53" s="278" t="s">
        <v>325</v>
      </c>
      <c r="M53" s="145" t="s">
        <v>326</v>
      </c>
      <c r="N53" s="145" t="s">
        <v>24</v>
      </c>
      <c r="O53" s="198" t="str">
        <f>HYPERLINK("https://leetcode.com/problems/merge-intervals/","https://leetcode.com/problems/merge-intervals/")</f>
        <v>https://leetcode.com/problems/merge-intervals/</v>
      </c>
    </row>
    <row r="54" spans="1:15" ht="31.5" customHeight="1" x14ac:dyDescent="0.2">
      <c r="A54" s="7">
        <v>49</v>
      </c>
      <c r="B54" s="7">
        <v>57</v>
      </c>
      <c r="C54" s="13" t="s">
        <v>328</v>
      </c>
      <c r="D54" s="7" t="s">
        <v>4463</v>
      </c>
      <c r="E54" s="18" t="s">
        <v>28</v>
      </c>
      <c r="F54" s="3" t="s">
        <v>323</v>
      </c>
      <c r="G54" s="3" t="s">
        <v>322</v>
      </c>
      <c r="H54" s="7">
        <f>IFERROR(VLOOKUP(B54,'📊 Problem Tracker'!$B$4:$F$1200,5,FALSE()),"")</f>
        <v>0</v>
      </c>
      <c r="I54" s="7"/>
      <c r="J54" s="7"/>
      <c r="K54" s="3"/>
      <c r="L54" s="228" t="s">
        <v>331</v>
      </c>
      <c r="M54" s="7" t="s">
        <v>24</v>
      </c>
      <c r="N54" s="7" t="s">
        <v>24</v>
      </c>
      <c r="O54" s="197" t="str">
        <f>HYPERLINK("https://leetcode.com/problems/insert-interval/","https://leetcode.com/problems/insert-interval/")</f>
        <v>https://leetcode.com/problems/insert-interval/</v>
      </c>
    </row>
    <row r="55" spans="1:15" ht="31.5" customHeight="1" x14ac:dyDescent="0.2">
      <c r="A55" s="145">
        <v>50</v>
      </c>
      <c r="B55" s="145">
        <v>61</v>
      </c>
      <c r="C55" s="146" t="s">
        <v>348</v>
      </c>
      <c r="D55" s="145" t="s">
        <v>4494</v>
      </c>
      <c r="E55" s="147" t="s">
        <v>28</v>
      </c>
      <c r="F55" s="148" t="s">
        <v>127</v>
      </c>
      <c r="G55" s="148" t="s">
        <v>127</v>
      </c>
      <c r="H55" s="145">
        <f>IFERROR(VLOOKUP(B55,'📊 Problem Tracker'!$B$4:$F$1200,5,FALSE()),"")</f>
        <v>0</v>
      </c>
      <c r="I55" s="145"/>
      <c r="J55" s="145"/>
      <c r="K55" s="148"/>
      <c r="L55" s="278" t="s">
        <v>351</v>
      </c>
      <c r="M55" s="145" t="s">
        <v>24</v>
      </c>
      <c r="N55" s="145" t="s">
        <v>47</v>
      </c>
      <c r="O55" s="198" t="str">
        <f>HYPERLINK("https://leetcode.com/problems/rotate-list/","https://leetcode.com/problems/rotate-list/")</f>
        <v>https://leetcode.com/problems/rotate-list/</v>
      </c>
    </row>
    <row r="56" spans="1:15" ht="31.5" customHeight="1" x14ac:dyDescent="0.2">
      <c r="A56" s="7">
        <v>51</v>
      </c>
      <c r="B56" s="7">
        <v>62</v>
      </c>
      <c r="C56" s="13" t="s">
        <v>353</v>
      </c>
      <c r="D56" s="7" t="s">
        <v>4495</v>
      </c>
      <c r="E56" s="18" t="s">
        <v>28</v>
      </c>
      <c r="F56" s="3" t="s">
        <v>354</v>
      </c>
      <c r="G56" s="3" t="s">
        <v>1042</v>
      </c>
      <c r="H56" s="7">
        <f>IFERROR(VLOOKUP(B56,'📊 Problem Tracker'!$B$4:$F$1200,5,FALSE()),"")</f>
        <v>0</v>
      </c>
      <c r="I56" s="7"/>
      <c r="J56" s="7"/>
      <c r="K56" s="3"/>
      <c r="L56" s="228" t="s">
        <v>357</v>
      </c>
      <c r="M56" s="7" t="s">
        <v>81</v>
      </c>
      <c r="N56" s="7" t="s">
        <v>24</v>
      </c>
      <c r="O56" s="197" t="str">
        <f>HYPERLINK("https://leetcode.com/problems/unique-paths/","https://leetcode.com/problems/unique-paths/")</f>
        <v>https://leetcode.com/problems/unique-paths/</v>
      </c>
    </row>
    <row r="57" spans="1:15" ht="31.5" customHeight="1" x14ac:dyDescent="0.2">
      <c r="A57" s="145">
        <v>52</v>
      </c>
      <c r="B57" s="145">
        <v>64</v>
      </c>
      <c r="C57" s="146" t="s">
        <v>365</v>
      </c>
      <c r="D57" s="145" t="s">
        <v>4496</v>
      </c>
      <c r="E57" s="147" t="s">
        <v>28</v>
      </c>
      <c r="F57" s="148" t="s">
        <v>360</v>
      </c>
      <c r="G57" s="148" t="s">
        <v>1042</v>
      </c>
      <c r="H57" s="145">
        <f>IFERROR(VLOOKUP(B57,'📊 Problem Tracker'!$B$4:$F$1200,5,FALSE()),"")</f>
        <v>0</v>
      </c>
      <c r="I57" s="145"/>
      <c r="J57" s="145"/>
      <c r="K57" s="148"/>
      <c r="L57" s="278" t="s">
        <v>368</v>
      </c>
      <c r="M57" s="145" t="s">
        <v>81</v>
      </c>
      <c r="N57" s="145" t="s">
        <v>24</v>
      </c>
      <c r="O57" s="198" t="str">
        <f>HYPERLINK("https://leetcode.com/problems/minimum-path-sum/","https://leetcode.com/problems/minimum-path-sum/")</f>
        <v>https://leetcode.com/problems/minimum-path-sum/</v>
      </c>
    </row>
    <row r="58" spans="1:15" ht="31.5" customHeight="1" x14ac:dyDescent="0.2">
      <c r="A58" s="7">
        <v>53</v>
      </c>
      <c r="B58" s="7">
        <v>66</v>
      </c>
      <c r="C58" s="13" t="s">
        <v>375</v>
      </c>
      <c r="D58" s="7" t="s">
        <v>4497</v>
      </c>
      <c r="E58" s="21" t="s">
        <v>20</v>
      </c>
      <c r="F58" s="3" t="s">
        <v>376</v>
      </c>
      <c r="G58" s="3" t="s">
        <v>62</v>
      </c>
      <c r="H58" s="7">
        <f>IFERROR(VLOOKUP(B58,'📊 Problem Tracker'!$B$4:$F$1200,5,FALSE()),"")</f>
        <v>0</v>
      </c>
      <c r="I58" s="7"/>
      <c r="J58" s="7"/>
      <c r="K58" s="3"/>
      <c r="L58" s="228" t="s">
        <v>378</v>
      </c>
      <c r="M58" s="7" t="s">
        <v>24</v>
      </c>
      <c r="N58" s="7" t="s">
        <v>47</v>
      </c>
      <c r="O58" s="197" t="str">
        <f>HYPERLINK("https://leetcode.com/problems/plus-one/","https://leetcode.com/problems/plus-one/")</f>
        <v>https://leetcode.com/problems/plus-one/</v>
      </c>
    </row>
    <row r="59" spans="1:15" ht="31.5" customHeight="1" x14ac:dyDescent="0.2">
      <c r="A59" s="145">
        <v>54</v>
      </c>
      <c r="B59" s="145">
        <v>70</v>
      </c>
      <c r="C59" s="146" t="s">
        <v>398</v>
      </c>
      <c r="D59" s="145" t="s">
        <v>4437</v>
      </c>
      <c r="E59" s="150" t="s">
        <v>20</v>
      </c>
      <c r="F59" s="148" t="s">
        <v>1314</v>
      </c>
      <c r="G59" s="148" t="s">
        <v>4264</v>
      </c>
      <c r="H59" s="145">
        <f>IFERROR(VLOOKUP(B59,'📊 Problem Tracker'!$B$4:$F$1200,5,FALSE()),"")</f>
        <v>0</v>
      </c>
      <c r="I59" s="145"/>
      <c r="J59" s="145"/>
      <c r="K59" s="148"/>
      <c r="L59" s="278" t="s">
        <v>400</v>
      </c>
      <c r="M59" s="145" t="s">
        <v>24</v>
      </c>
      <c r="N59" s="145" t="s">
        <v>47</v>
      </c>
      <c r="O59" s="198" t="str">
        <f>HYPERLINK("https://leetcode.com/problems/climbing-stairs/","https://leetcode.com/problems/climbing-stairs/")</f>
        <v>https://leetcode.com/problems/climbing-stairs/</v>
      </c>
    </row>
    <row r="60" spans="1:15" ht="31.5" customHeight="1" x14ac:dyDescent="0.2">
      <c r="A60" s="7">
        <v>55</v>
      </c>
      <c r="B60" s="7">
        <v>71</v>
      </c>
      <c r="C60" s="13" t="s">
        <v>402</v>
      </c>
      <c r="D60" s="7" t="s">
        <v>4502</v>
      </c>
      <c r="E60" s="18" t="s">
        <v>28</v>
      </c>
      <c r="F60" s="3" t="s">
        <v>133</v>
      </c>
      <c r="G60" s="3" t="s">
        <v>540</v>
      </c>
      <c r="H60" s="7">
        <f>IFERROR(VLOOKUP(B60,'📊 Problem Tracker'!$B$4:$F$1200,5,FALSE()),"")</f>
        <v>0</v>
      </c>
      <c r="I60" s="7"/>
      <c r="J60" s="7"/>
      <c r="K60" s="3"/>
      <c r="L60" s="228" t="s">
        <v>404</v>
      </c>
      <c r="M60" s="7" t="s">
        <v>24</v>
      </c>
      <c r="N60" s="7" t="s">
        <v>24</v>
      </c>
      <c r="O60" s="197" t="str">
        <f>HYPERLINK("https://leetcode.com/problems/simplify-path/","https://leetcode.com/problems/simplify-path/")</f>
        <v>https://leetcode.com/problems/simplify-path/</v>
      </c>
    </row>
    <row r="61" spans="1:15" ht="31.5" customHeight="1" x14ac:dyDescent="0.2">
      <c r="A61" s="145">
        <v>56</v>
      </c>
      <c r="B61" s="145">
        <v>72</v>
      </c>
      <c r="C61" s="146" t="s">
        <v>406</v>
      </c>
      <c r="D61" s="145" t="s">
        <v>4503</v>
      </c>
      <c r="E61" s="147" t="s">
        <v>28</v>
      </c>
      <c r="F61" s="148" t="s">
        <v>50</v>
      </c>
      <c r="G61" s="148" t="s">
        <v>4504</v>
      </c>
      <c r="H61" s="145">
        <f>IFERROR(VLOOKUP(B61,'📊 Problem Tracker'!$B$4:$F$1200,5,FALSE()),"")</f>
        <v>0</v>
      </c>
      <c r="I61" s="145"/>
      <c r="J61" s="145"/>
      <c r="K61" s="148"/>
      <c r="L61" s="278" t="s">
        <v>408</v>
      </c>
      <c r="M61" s="145" t="s">
        <v>81</v>
      </c>
      <c r="N61" s="145" t="s">
        <v>409</v>
      </c>
      <c r="O61" s="198" t="str">
        <f>HYPERLINK("https://leetcode.com/problems/edit-distance/","https://leetcode.com/problems/edit-distance/")</f>
        <v>https://leetcode.com/problems/edit-distance/</v>
      </c>
    </row>
    <row r="62" spans="1:15" ht="31.5" customHeight="1" x14ac:dyDescent="0.2">
      <c r="A62" s="7">
        <v>57</v>
      </c>
      <c r="B62" s="7">
        <v>73</v>
      </c>
      <c r="C62" s="13" t="s">
        <v>411</v>
      </c>
      <c r="D62" s="7" t="s">
        <v>4472</v>
      </c>
      <c r="E62" s="18" t="s">
        <v>28</v>
      </c>
      <c r="F62" s="3" t="s">
        <v>283</v>
      </c>
      <c r="G62" s="3" t="s">
        <v>4187</v>
      </c>
      <c r="H62" s="7">
        <f>IFERROR(VLOOKUP(B62,'📊 Problem Tracker'!$B$4:$F$1200,5,FALSE()),"")</f>
        <v>0</v>
      </c>
      <c r="I62" s="7"/>
      <c r="J62" s="7"/>
      <c r="K62" s="3"/>
      <c r="L62" s="228" t="s">
        <v>413</v>
      </c>
      <c r="M62" s="7" t="s">
        <v>81</v>
      </c>
      <c r="N62" s="7" t="s">
        <v>47</v>
      </c>
      <c r="O62" s="197" t="str">
        <f>HYPERLINK("https://leetcode.com/problems/set-matrix-zeroes/","https://leetcode.com/problems/set-matrix-zeroes/")</f>
        <v>https://leetcode.com/problems/set-matrix-zeroes/</v>
      </c>
    </row>
    <row r="63" spans="1:15" ht="31.5" customHeight="1" x14ac:dyDescent="0.2">
      <c r="A63" s="145">
        <v>58</v>
      </c>
      <c r="B63" s="145">
        <v>74</v>
      </c>
      <c r="C63" s="146" t="s">
        <v>415</v>
      </c>
      <c r="D63" s="145" t="s">
        <v>4505</v>
      </c>
      <c r="E63" s="147" t="s">
        <v>28</v>
      </c>
      <c r="F63" s="148" t="s">
        <v>416</v>
      </c>
      <c r="G63" s="148" t="s">
        <v>512</v>
      </c>
      <c r="H63" s="145">
        <f>IFERROR(VLOOKUP(B63,'📊 Problem Tracker'!$B$4:$F$1200,5,FALSE()),"")</f>
        <v>0</v>
      </c>
      <c r="I63" s="145"/>
      <c r="J63" s="145"/>
      <c r="K63" s="148"/>
      <c r="L63" s="278" t="s">
        <v>419</v>
      </c>
      <c r="M63" s="145" t="s">
        <v>420</v>
      </c>
      <c r="N63" s="145" t="s">
        <v>47</v>
      </c>
      <c r="O63" s="198" t="str">
        <f>HYPERLINK("https://leetcode.com/problems/search-a-2d-matrix/","https://leetcode.com/problems/search-a-2d-matrix/")</f>
        <v>https://leetcode.com/problems/search-a-2d-matrix/</v>
      </c>
    </row>
    <row r="64" spans="1:15" ht="31.5" customHeight="1" x14ac:dyDescent="0.2">
      <c r="A64" s="7">
        <v>59</v>
      </c>
      <c r="B64" s="7">
        <v>75</v>
      </c>
      <c r="C64" s="13" t="s">
        <v>422</v>
      </c>
      <c r="D64" s="7" t="s">
        <v>4506</v>
      </c>
      <c r="E64" s="18" t="s">
        <v>28</v>
      </c>
      <c r="F64" s="3" t="s">
        <v>84</v>
      </c>
      <c r="G64" s="3" t="s">
        <v>4507</v>
      </c>
      <c r="H64" s="7">
        <f>IFERROR(VLOOKUP(B64,'📊 Problem Tracker'!$B$4:$F$1200,5,FALSE()),"")</f>
        <v>0</v>
      </c>
      <c r="I64" s="7"/>
      <c r="J64" s="7"/>
      <c r="K64" s="3"/>
      <c r="L64" s="228" t="s">
        <v>424</v>
      </c>
      <c r="M64" s="7" t="s">
        <v>24</v>
      </c>
      <c r="N64" s="7" t="s">
        <v>47</v>
      </c>
      <c r="O64" s="197" t="str">
        <f>HYPERLINK("https://leetcode.com/problems/sort-colors/","https://leetcode.com/problems/sort-colors/")</f>
        <v>https://leetcode.com/problems/sort-colors/</v>
      </c>
    </row>
    <row r="65" spans="1:15" ht="31.5" customHeight="1" x14ac:dyDescent="0.2">
      <c r="A65" s="145">
        <v>60</v>
      </c>
      <c r="B65" s="145">
        <v>76</v>
      </c>
      <c r="C65" s="146" t="s">
        <v>426</v>
      </c>
      <c r="D65" s="145" t="s">
        <v>4445</v>
      </c>
      <c r="E65" s="149" t="s">
        <v>42</v>
      </c>
      <c r="F65" s="148" t="s">
        <v>427</v>
      </c>
      <c r="G65" s="148" t="s">
        <v>917</v>
      </c>
      <c r="H65" s="145">
        <f>IFERROR(VLOOKUP(B65,'📊 Problem Tracker'!$B$4:$F$1200,5,FALSE()),"")</f>
        <v>0</v>
      </c>
      <c r="I65" s="145"/>
      <c r="J65" s="145"/>
      <c r="K65" s="148"/>
      <c r="L65" s="278" t="s">
        <v>430</v>
      </c>
      <c r="M65" s="145" t="s">
        <v>178</v>
      </c>
      <c r="N65" s="145" t="s">
        <v>153</v>
      </c>
      <c r="O65" s="198" t="str">
        <f>HYPERLINK("https://leetcode.com/problems/minimum-window-substring/","https://leetcode.com/problems/minimum-window-substring/")</f>
        <v>https://leetcode.com/problems/minimum-window-substring/</v>
      </c>
    </row>
    <row r="66" spans="1:15" ht="31.5" customHeight="1" x14ac:dyDescent="0.2">
      <c r="A66" s="7">
        <v>61</v>
      </c>
      <c r="B66" s="7">
        <v>78</v>
      </c>
      <c r="C66" s="13" t="s">
        <v>436</v>
      </c>
      <c r="D66" s="7" t="s">
        <v>4508</v>
      </c>
      <c r="E66" s="18" t="s">
        <v>28</v>
      </c>
      <c r="F66" s="3" t="s">
        <v>234</v>
      </c>
      <c r="G66" s="3" t="s">
        <v>4509</v>
      </c>
      <c r="H66" s="7">
        <f>IFERROR(VLOOKUP(B66,'📊 Problem Tracker'!$B$4:$F$1200,5,FALSE()),"")</f>
        <v>0</v>
      </c>
      <c r="I66" s="7"/>
      <c r="J66" s="7"/>
      <c r="K66" s="3"/>
      <c r="L66" s="228" t="s">
        <v>439</v>
      </c>
      <c r="M66" s="7" t="s">
        <v>440</v>
      </c>
      <c r="N66" s="7" t="s">
        <v>24</v>
      </c>
      <c r="O66" s="197" t="str">
        <f>HYPERLINK("https://leetcode.com/problems/subsets/","https://leetcode.com/problems/subsets/")</f>
        <v>https://leetcode.com/problems/subsets/</v>
      </c>
    </row>
    <row r="67" spans="1:15" ht="31.5" customHeight="1" x14ac:dyDescent="0.2">
      <c r="A67" s="145">
        <v>62</v>
      </c>
      <c r="B67" s="145">
        <v>79</v>
      </c>
      <c r="C67" s="146" t="s">
        <v>442</v>
      </c>
      <c r="D67" s="145" t="s">
        <v>4510</v>
      </c>
      <c r="E67" s="147" t="s">
        <v>28</v>
      </c>
      <c r="F67" s="148" t="s">
        <v>4192</v>
      </c>
      <c r="G67" s="148" t="s">
        <v>4268</v>
      </c>
      <c r="H67" s="145">
        <f>IFERROR(VLOOKUP(B67,'📊 Problem Tracker'!$B$4:$F$1200,5,FALSE()),"")</f>
        <v>0</v>
      </c>
      <c r="I67" s="145"/>
      <c r="J67" s="145"/>
      <c r="K67" s="148"/>
      <c r="L67" s="278" t="s">
        <v>445</v>
      </c>
      <c r="M67" s="145" t="s">
        <v>446</v>
      </c>
      <c r="N67" s="145" t="s">
        <v>392</v>
      </c>
      <c r="O67" s="198" t="str">
        <f>HYPERLINK("https://leetcode.com/problems/word-search/","https://leetcode.com/problems/word-search/")</f>
        <v>https://leetcode.com/problems/word-search/</v>
      </c>
    </row>
    <row r="68" spans="1:15" ht="31.5" customHeight="1" x14ac:dyDescent="0.2">
      <c r="A68" s="7">
        <v>63</v>
      </c>
      <c r="B68" s="7">
        <v>80</v>
      </c>
      <c r="C68" s="13" t="s">
        <v>448</v>
      </c>
      <c r="D68" s="7" t="s">
        <v>4511</v>
      </c>
      <c r="E68" s="18" t="s">
        <v>28</v>
      </c>
      <c r="F68" s="3" t="s">
        <v>84</v>
      </c>
      <c r="G68" s="3" t="s">
        <v>689</v>
      </c>
      <c r="H68" s="7">
        <f>IFERROR(VLOOKUP(B68,'📊 Problem Tracker'!$B$4:$F$1200,5,FALSE()),"")</f>
        <v>0</v>
      </c>
      <c r="I68" s="7"/>
      <c r="J68" s="7"/>
      <c r="K68" s="3"/>
      <c r="L68" s="228" t="s">
        <v>450</v>
      </c>
      <c r="M68" s="7" t="s">
        <v>24</v>
      </c>
      <c r="N68" s="7" t="s">
        <v>47</v>
      </c>
      <c r="O68" s="197" t="str">
        <f>HYPERLINK("https://leetcode.com/problems/remove-duplicates-from-sorted-array-ii/","https://leetcode.com/problems/remove-duplicates-from-sorted-array-ii/")</f>
        <v>https://leetcode.com/problems/remove-duplicates-from-sorted-array-ii/</v>
      </c>
    </row>
    <row r="69" spans="1:15" ht="31.5" customHeight="1" x14ac:dyDescent="0.2">
      <c r="A69" s="145">
        <v>64</v>
      </c>
      <c r="B69" s="145">
        <v>84</v>
      </c>
      <c r="C69" s="146" t="s">
        <v>465</v>
      </c>
      <c r="D69" s="145" t="s">
        <v>4497</v>
      </c>
      <c r="E69" s="149" t="s">
        <v>42</v>
      </c>
      <c r="F69" s="148" t="s">
        <v>466</v>
      </c>
      <c r="G69" s="148" t="s">
        <v>1473</v>
      </c>
      <c r="H69" s="145">
        <f>IFERROR(VLOOKUP(B69,'📊 Problem Tracker'!$B$4:$F$1200,5,FALSE()),"")</f>
        <v>0</v>
      </c>
      <c r="I69" s="145"/>
      <c r="J69" s="145"/>
      <c r="K69" s="148"/>
      <c r="L69" s="278" t="s">
        <v>468</v>
      </c>
      <c r="M69" s="145" t="s">
        <v>24</v>
      </c>
      <c r="N69" s="145" t="s">
        <v>24</v>
      </c>
      <c r="O69" s="198" t="str">
        <f>HYPERLINK("https://leetcode.com/problems/largest-rectangle-in-histogram/","https://leetcode.com/problems/largest-rectangle-in-histogram/")</f>
        <v>https://leetcode.com/problems/largest-rectangle-in-histogram/</v>
      </c>
    </row>
    <row r="70" spans="1:15" ht="31.5" customHeight="1" x14ac:dyDescent="0.2">
      <c r="A70" s="7">
        <v>65</v>
      </c>
      <c r="B70" s="7">
        <v>85</v>
      </c>
      <c r="C70" s="13" t="s">
        <v>470</v>
      </c>
      <c r="D70" s="7" t="s">
        <v>4512</v>
      </c>
      <c r="E70" s="20" t="s">
        <v>42</v>
      </c>
      <c r="F70" s="3" t="s">
        <v>471</v>
      </c>
      <c r="G70" s="3" t="s">
        <v>4513</v>
      </c>
      <c r="H70" s="7">
        <f>IFERROR(VLOOKUP(B70,'📊 Problem Tracker'!$B$4:$F$1200,5,FALSE()),"")</f>
        <v>0</v>
      </c>
      <c r="I70" s="7"/>
      <c r="J70" s="7"/>
      <c r="K70" s="3"/>
      <c r="L70" s="228" t="s">
        <v>473</v>
      </c>
      <c r="M70" s="7" t="s">
        <v>81</v>
      </c>
      <c r="N70" s="7" t="s">
        <v>24</v>
      </c>
      <c r="O70" s="197" t="str">
        <f>HYPERLINK("https://leetcode.com/problems/maximal-rectangle/","https://leetcode.com/problems/maximal-rectangle/")</f>
        <v>https://leetcode.com/problems/maximal-rectangle/</v>
      </c>
    </row>
    <row r="71" spans="1:15" ht="31.5" customHeight="1" x14ac:dyDescent="0.2">
      <c r="A71" s="145">
        <v>66</v>
      </c>
      <c r="B71" s="145">
        <v>88</v>
      </c>
      <c r="C71" s="146" t="s">
        <v>479</v>
      </c>
      <c r="D71" s="145" t="s">
        <v>4514</v>
      </c>
      <c r="E71" s="150" t="s">
        <v>20</v>
      </c>
      <c r="F71" s="148" t="s">
        <v>84</v>
      </c>
      <c r="G71" s="148" t="s">
        <v>689</v>
      </c>
      <c r="H71" s="145">
        <f>IFERROR(VLOOKUP(B71,'📊 Problem Tracker'!$B$4:$F$1200,5,FALSE()),"")</f>
        <v>0</v>
      </c>
      <c r="I71" s="145"/>
      <c r="J71" s="145"/>
      <c r="K71" s="148"/>
      <c r="L71" s="278" t="s">
        <v>481</v>
      </c>
      <c r="M71" s="145" t="s">
        <v>259</v>
      </c>
      <c r="N71" s="145" t="s">
        <v>47</v>
      </c>
      <c r="O71" s="198" t="str">
        <f>HYPERLINK("https://leetcode.com/problems/merge-sorted-array/","https://leetcode.com/problems/merge-sorted-array/")</f>
        <v>https://leetcode.com/problems/merge-sorted-array/</v>
      </c>
    </row>
    <row r="72" spans="1:15" ht="31.5" customHeight="1" x14ac:dyDescent="0.2">
      <c r="A72" s="7">
        <v>67</v>
      </c>
      <c r="B72" s="7">
        <v>90</v>
      </c>
      <c r="C72" s="13" t="s">
        <v>487</v>
      </c>
      <c r="D72" s="7" t="s">
        <v>4515</v>
      </c>
      <c r="E72" s="18" t="s">
        <v>28</v>
      </c>
      <c r="F72" s="3" t="s">
        <v>234</v>
      </c>
      <c r="G72" s="3" t="s">
        <v>300</v>
      </c>
      <c r="H72" s="7">
        <f>IFERROR(VLOOKUP(B72,'📊 Problem Tracker'!$B$4:$F$1200,5,FALSE()),"")</f>
        <v>0</v>
      </c>
      <c r="I72" s="7"/>
      <c r="J72" s="7"/>
      <c r="K72" s="3"/>
      <c r="L72" s="228" t="s">
        <v>302</v>
      </c>
      <c r="M72" s="7" t="s">
        <v>440</v>
      </c>
      <c r="N72" s="7" t="s">
        <v>24</v>
      </c>
      <c r="O72" s="197" t="str">
        <f>HYPERLINK("https://leetcode.com/problems/subsets-ii/","https://leetcode.com/problems/subsets-ii/")</f>
        <v>https://leetcode.com/problems/subsets-ii/</v>
      </c>
    </row>
    <row r="73" spans="1:15" ht="31.5" customHeight="1" x14ac:dyDescent="0.2">
      <c r="A73" s="145">
        <v>68</v>
      </c>
      <c r="B73" s="145">
        <v>91</v>
      </c>
      <c r="C73" s="146" t="s">
        <v>490</v>
      </c>
      <c r="D73" s="145" t="s">
        <v>4516</v>
      </c>
      <c r="E73" s="147" t="s">
        <v>28</v>
      </c>
      <c r="F73" s="148" t="s">
        <v>50</v>
      </c>
      <c r="G73" s="148" t="s">
        <v>1042</v>
      </c>
      <c r="H73" s="145">
        <f>IFERROR(VLOOKUP(B73,'📊 Problem Tracker'!$B$4:$F$1200,5,FALSE()),"")</f>
        <v>0</v>
      </c>
      <c r="I73" s="145"/>
      <c r="J73" s="145"/>
      <c r="K73" s="148"/>
      <c r="L73" s="278" t="s">
        <v>492</v>
      </c>
      <c r="M73" s="145" t="s">
        <v>24</v>
      </c>
      <c r="N73" s="145" t="s">
        <v>47</v>
      </c>
      <c r="O73" s="198" t="str">
        <f>HYPERLINK("https://leetcode.com/problems/decode-ways/","https://leetcode.com/problems/decode-ways/")</f>
        <v>https://leetcode.com/problems/decode-ways/</v>
      </c>
    </row>
    <row r="74" spans="1:15" ht="31.5" customHeight="1" x14ac:dyDescent="0.2">
      <c r="A74" s="7">
        <v>69</v>
      </c>
      <c r="B74" s="7">
        <v>92</v>
      </c>
      <c r="C74" s="13" t="s">
        <v>494</v>
      </c>
      <c r="D74" s="7" t="s">
        <v>4517</v>
      </c>
      <c r="E74" s="18" t="s">
        <v>28</v>
      </c>
      <c r="F74" s="3" t="s">
        <v>127</v>
      </c>
      <c r="G74" s="3" t="s">
        <v>127</v>
      </c>
      <c r="H74" s="7">
        <f>IFERROR(VLOOKUP(B74,'📊 Problem Tracker'!$B$4:$F$1200,5,FALSE()),"")</f>
        <v>0</v>
      </c>
      <c r="I74" s="7"/>
      <c r="J74" s="7"/>
      <c r="K74" s="3"/>
      <c r="L74" s="228" t="s">
        <v>461</v>
      </c>
      <c r="M74" s="7" t="s">
        <v>24</v>
      </c>
      <c r="N74" s="7" t="s">
        <v>47</v>
      </c>
      <c r="O74" s="197" t="str">
        <f>HYPERLINK("https://leetcode.com/problems/reverse-linked-list-ii/","https://leetcode.com/problems/reverse-linked-list-ii/")</f>
        <v>https://leetcode.com/problems/reverse-linked-list-ii/</v>
      </c>
    </row>
    <row r="75" spans="1:15" ht="31.5" customHeight="1" x14ac:dyDescent="0.2">
      <c r="A75" s="145">
        <v>70</v>
      </c>
      <c r="B75" s="145">
        <v>98</v>
      </c>
      <c r="C75" s="146" t="s">
        <v>517</v>
      </c>
      <c r="D75" s="145" t="s">
        <v>4519</v>
      </c>
      <c r="E75" s="147" t="s">
        <v>28</v>
      </c>
      <c r="F75" s="148" t="s">
        <v>518</v>
      </c>
      <c r="G75" s="148" t="s">
        <v>4520</v>
      </c>
      <c r="H75" s="145">
        <f>IFERROR(VLOOKUP(B75,'📊 Problem Tracker'!$B$4:$F$1200,5,FALSE()),"")</f>
        <v>0</v>
      </c>
      <c r="I75" s="145"/>
      <c r="J75" s="145"/>
      <c r="K75" s="148"/>
      <c r="L75" s="278" t="s">
        <v>520</v>
      </c>
      <c r="M75" s="145" t="s">
        <v>24</v>
      </c>
      <c r="N75" s="145" t="s">
        <v>503</v>
      </c>
      <c r="O75" s="198" t="str">
        <f>HYPERLINK("https://leetcode.com/problems/validate-binary-search-tree/","https://leetcode.com/problems/validate-binary-search-tree/")</f>
        <v>https://leetcode.com/problems/validate-binary-search-tree/</v>
      </c>
    </row>
    <row r="76" spans="1:15" ht="31.5" customHeight="1" x14ac:dyDescent="0.2">
      <c r="A76" s="7">
        <v>71</v>
      </c>
      <c r="B76" s="7">
        <v>100</v>
      </c>
      <c r="C76" s="13" t="s">
        <v>524</v>
      </c>
      <c r="D76" s="7" t="s">
        <v>4522</v>
      </c>
      <c r="E76" s="21" t="s">
        <v>20</v>
      </c>
      <c r="F76" s="3" t="s">
        <v>500</v>
      </c>
      <c r="G76" s="3" t="s">
        <v>4256</v>
      </c>
      <c r="H76" s="7">
        <f>IFERROR(VLOOKUP(B76,'📊 Problem Tracker'!$B$4:$F$1200,5,FALSE()),"")</f>
        <v>0</v>
      </c>
      <c r="I76" s="7"/>
      <c r="J76" s="7"/>
      <c r="K76" s="3"/>
      <c r="L76" s="228" t="s">
        <v>526</v>
      </c>
      <c r="M76" s="7" t="s">
        <v>24</v>
      </c>
      <c r="N76" s="7" t="s">
        <v>503</v>
      </c>
      <c r="O76" s="197" t="str">
        <f>HYPERLINK("https://leetcode.com/problems/same-tree/","https://leetcode.com/problems/same-tree/")</f>
        <v>https://leetcode.com/problems/same-tree/</v>
      </c>
    </row>
    <row r="77" spans="1:15" ht="31.5" customHeight="1" x14ac:dyDescent="0.2">
      <c r="A77" s="145">
        <v>72</v>
      </c>
      <c r="B77" s="145">
        <v>101</v>
      </c>
      <c r="C77" s="146" t="s">
        <v>528</v>
      </c>
      <c r="D77" s="145" t="s">
        <v>4523</v>
      </c>
      <c r="E77" s="150" t="s">
        <v>20</v>
      </c>
      <c r="F77" s="148" t="s">
        <v>529</v>
      </c>
      <c r="G77" s="148" t="s">
        <v>4256</v>
      </c>
      <c r="H77" s="145">
        <f>IFERROR(VLOOKUP(B77,'📊 Problem Tracker'!$B$4:$F$1200,5,FALSE()),"")</f>
        <v>0</v>
      </c>
      <c r="I77" s="145"/>
      <c r="J77" s="145"/>
      <c r="K77" s="148"/>
      <c r="L77" s="278" t="s">
        <v>531</v>
      </c>
      <c r="M77" s="145" t="s">
        <v>24</v>
      </c>
      <c r="N77" s="145" t="s">
        <v>503</v>
      </c>
      <c r="O77" s="198" t="str">
        <f>HYPERLINK("https://leetcode.com/problems/symmetric-tree/","https://leetcode.com/problems/symmetric-tree/")</f>
        <v>https://leetcode.com/problems/symmetric-tree/</v>
      </c>
    </row>
    <row r="78" spans="1:15" ht="31.5" customHeight="1" x14ac:dyDescent="0.2">
      <c r="A78" s="7">
        <v>73</v>
      </c>
      <c r="B78" s="7">
        <v>102</v>
      </c>
      <c r="C78" s="13" t="s">
        <v>533</v>
      </c>
      <c r="D78" s="7" t="s">
        <v>4524</v>
      </c>
      <c r="E78" s="18" t="s">
        <v>28</v>
      </c>
      <c r="F78" s="3" t="s">
        <v>534</v>
      </c>
      <c r="G78" s="3" t="s">
        <v>4270</v>
      </c>
      <c r="H78" s="7">
        <f>IFERROR(VLOOKUP(B78,'📊 Problem Tracker'!$B$4:$F$1200,5,FALSE()),"")</f>
        <v>0</v>
      </c>
      <c r="I78" s="7"/>
      <c r="J78" s="7"/>
      <c r="K78" s="3"/>
      <c r="L78" s="228" t="s">
        <v>536</v>
      </c>
      <c r="M78" s="7" t="s">
        <v>24</v>
      </c>
      <c r="N78" s="7" t="s">
        <v>24</v>
      </c>
      <c r="O78" s="197" t="str">
        <f>HYPERLINK("https://leetcode.com/problems/binary-tree-level-order-traversal/","https://leetcode.com/problems/binary-tree-level-order-traversal/")</f>
        <v>https://leetcode.com/problems/binary-tree-level-order-traversal/</v>
      </c>
    </row>
    <row r="79" spans="1:15" ht="31.5" customHeight="1" x14ac:dyDescent="0.2">
      <c r="A79" s="145">
        <v>74</v>
      </c>
      <c r="B79" s="145">
        <v>103</v>
      </c>
      <c r="C79" s="146" t="s">
        <v>538</v>
      </c>
      <c r="D79" s="145" t="s">
        <v>4525</v>
      </c>
      <c r="E79" s="147" t="s">
        <v>28</v>
      </c>
      <c r="F79" s="148" t="s">
        <v>539</v>
      </c>
      <c r="G79" s="148" t="s">
        <v>4270</v>
      </c>
      <c r="H79" s="145">
        <f>IFERROR(VLOOKUP(B79,'📊 Problem Tracker'!$B$4:$F$1200,5,FALSE()),"")</f>
        <v>0</v>
      </c>
      <c r="I79" s="145"/>
      <c r="J79" s="145"/>
      <c r="K79" s="148"/>
      <c r="L79" s="278" t="s">
        <v>542</v>
      </c>
      <c r="M79" s="145" t="s">
        <v>24</v>
      </c>
      <c r="N79" s="145" t="s">
        <v>24</v>
      </c>
      <c r="O79" s="198" t="str">
        <f>HYPERLINK("https://leetcode.com/problems/binary-tree-zigzag-level-order-traversal/","https://leetcode.com/problems/binary-tree-zigzag-level-order-traversal/")</f>
        <v>https://leetcode.com/problems/binary-tree-zigzag-level-order-traversal/</v>
      </c>
    </row>
    <row r="80" spans="1:15" ht="31.5" customHeight="1" x14ac:dyDescent="0.2">
      <c r="A80" s="7">
        <v>75</v>
      </c>
      <c r="B80" s="7">
        <v>104</v>
      </c>
      <c r="C80" s="13" t="s">
        <v>544</v>
      </c>
      <c r="D80" s="7" t="s">
        <v>4526</v>
      </c>
      <c r="E80" s="21" t="s">
        <v>20</v>
      </c>
      <c r="F80" s="3" t="s">
        <v>500</v>
      </c>
      <c r="G80" s="3" t="s">
        <v>4256</v>
      </c>
      <c r="H80" s="7">
        <f>IFERROR(VLOOKUP(B80,'📊 Problem Tracker'!$B$4:$F$1200,5,FALSE()),"")</f>
        <v>0</v>
      </c>
      <c r="I80" s="7"/>
      <c r="J80" s="7"/>
      <c r="K80" s="3"/>
      <c r="L80" s="228" t="s">
        <v>546</v>
      </c>
      <c r="M80" s="7" t="s">
        <v>24</v>
      </c>
      <c r="N80" s="7" t="s">
        <v>503</v>
      </c>
      <c r="O80" s="197" t="str">
        <f>HYPERLINK("https://leetcode.com/problems/maximum-depth-of-binary-tree/","https://leetcode.com/problems/maximum-depth-of-binary-tree/")</f>
        <v>https://leetcode.com/problems/maximum-depth-of-binary-tree/</v>
      </c>
    </row>
    <row r="81" spans="1:15" ht="31.5" customHeight="1" x14ac:dyDescent="0.2">
      <c r="A81" s="145">
        <v>76</v>
      </c>
      <c r="B81" s="145">
        <v>105</v>
      </c>
      <c r="C81" s="146" t="s">
        <v>548</v>
      </c>
      <c r="D81" s="145" t="s">
        <v>4527</v>
      </c>
      <c r="E81" s="147" t="s">
        <v>28</v>
      </c>
      <c r="F81" s="148" t="s">
        <v>549</v>
      </c>
      <c r="G81" s="148" t="s">
        <v>4256</v>
      </c>
      <c r="H81" s="145">
        <f>IFERROR(VLOOKUP(B81,'📊 Problem Tracker'!$B$4:$F$1200,5,FALSE()),"")</f>
        <v>0</v>
      </c>
      <c r="I81" s="145"/>
      <c r="J81" s="145"/>
      <c r="K81" s="148"/>
      <c r="L81" s="278" t="s">
        <v>551</v>
      </c>
      <c r="M81" s="145" t="s">
        <v>24</v>
      </c>
      <c r="N81" s="145" t="s">
        <v>24</v>
      </c>
      <c r="O81" s="198" t="str">
        <f>HYPERLINK("https://leetcode.com/problems/construct-binary-tree-from-preorder-and-inorder-traversal/","https://leetcode.com/problems/construct-binary-tree-from-preorder-and-inorder-traversal/")</f>
        <v>https://leetcode.com/problems/construct-binary-tree-from-preorder-and-inorder-traversal/</v>
      </c>
    </row>
    <row r="82" spans="1:15" ht="31.5" customHeight="1" x14ac:dyDescent="0.2">
      <c r="A82" s="7">
        <v>77</v>
      </c>
      <c r="B82" s="7">
        <v>118</v>
      </c>
      <c r="C82" s="13" t="s">
        <v>591</v>
      </c>
      <c r="D82" s="7" t="s">
        <v>4533</v>
      </c>
      <c r="E82" s="21" t="s">
        <v>20</v>
      </c>
      <c r="F82" s="3" t="s">
        <v>376</v>
      </c>
      <c r="G82" s="3" t="s">
        <v>4534</v>
      </c>
      <c r="H82" s="7">
        <f>IFERROR(VLOOKUP(B82,'📊 Problem Tracker'!$B$4:$F$1200,5,FALSE()),"")</f>
        <v>0</v>
      </c>
      <c r="I82" s="7"/>
      <c r="J82" s="7"/>
      <c r="K82" s="3"/>
      <c r="L82" s="228" t="s">
        <v>508</v>
      </c>
      <c r="M82" s="7" t="s">
        <v>53</v>
      </c>
      <c r="N82" s="7" t="s">
        <v>53</v>
      </c>
      <c r="O82" s="197" t="str">
        <f>HYPERLINK("https://leetcode.com/problems/pascals-triangle/","https://leetcode.com/problems/pascals-triangle/")</f>
        <v>https://leetcode.com/problems/pascals-triangle/</v>
      </c>
    </row>
    <row r="83" spans="1:15" ht="31.5" customHeight="1" x14ac:dyDescent="0.2">
      <c r="A83" s="145">
        <v>78</v>
      </c>
      <c r="B83" s="145">
        <v>120</v>
      </c>
      <c r="C83" s="146" t="s">
        <v>593</v>
      </c>
      <c r="D83" s="145" t="s">
        <v>4535</v>
      </c>
      <c r="E83" s="147" t="s">
        <v>28</v>
      </c>
      <c r="F83" s="148" t="s">
        <v>309</v>
      </c>
      <c r="G83" s="148" t="s">
        <v>1042</v>
      </c>
      <c r="H83" s="145">
        <f>IFERROR(VLOOKUP(B83,'📊 Problem Tracker'!$B$4:$F$1200,5,FALSE()),"")</f>
        <v>0</v>
      </c>
      <c r="I83" s="145"/>
      <c r="J83" s="145"/>
      <c r="K83" s="148"/>
      <c r="L83" s="278" t="s">
        <v>508</v>
      </c>
      <c r="M83" s="145" t="s">
        <v>53</v>
      </c>
      <c r="N83" s="145" t="s">
        <v>24</v>
      </c>
      <c r="O83" s="198" t="str">
        <f>HYPERLINK("https://leetcode.com/problems/triangle/","https://leetcode.com/problems/triangle/")</f>
        <v>https://leetcode.com/problems/triangle/</v>
      </c>
    </row>
    <row r="84" spans="1:15" ht="31.5" customHeight="1" x14ac:dyDescent="0.2">
      <c r="A84" s="7">
        <v>79</v>
      </c>
      <c r="B84" s="7">
        <v>121</v>
      </c>
      <c r="C84" s="13" t="s">
        <v>595</v>
      </c>
      <c r="D84" s="7" t="s">
        <v>4536</v>
      </c>
      <c r="E84" s="21" t="s">
        <v>20</v>
      </c>
      <c r="F84" s="3" t="s">
        <v>318</v>
      </c>
      <c r="G84" s="3" t="s">
        <v>3091</v>
      </c>
      <c r="H84" s="7">
        <f>IFERROR(VLOOKUP(B84,'📊 Problem Tracker'!$B$4:$F$1200,5,FALSE()),"")</f>
        <v>0</v>
      </c>
      <c r="I84" s="7"/>
      <c r="J84" s="7"/>
      <c r="K84" s="3"/>
      <c r="L84" s="228" t="s">
        <v>597</v>
      </c>
      <c r="M84" s="7" t="s">
        <v>24</v>
      </c>
      <c r="N84" s="7" t="s">
        <v>47</v>
      </c>
      <c r="O84" s="197" t="str">
        <f>HYPERLINK("https://leetcode.com/problems/best-time-to-buy-and-sell-stock/","https://leetcode.com/problems/best-time-to-buy-and-sell-stock/")</f>
        <v>https://leetcode.com/problems/best-time-to-buy-and-sell-stock/</v>
      </c>
    </row>
    <row r="85" spans="1:15" ht="31.5" customHeight="1" x14ac:dyDescent="0.2">
      <c r="A85" s="145">
        <v>80</v>
      </c>
      <c r="B85" s="145">
        <v>122</v>
      </c>
      <c r="C85" s="146" t="s">
        <v>599</v>
      </c>
      <c r="D85" s="145" t="s">
        <v>4537</v>
      </c>
      <c r="E85" s="147" t="s">
        <v>28</v>
      </c>
      <c r="F85" s="148" t="s">
        <v>267</v>
      </c>
      <c r="G85" s="148" t="s">
        <v>4348</v>
      </c>
      <c r="H85" s="145">
        <f>IFERROR(VLOOKUP(B85,'📊 Problem Tracker'!$B$4:$F$1200,5,FALSE()),"")</f>
        <v>0</v>
      </c>
      <c r="I85" s="145"/>
      <c r="J85" s="145"/>
      <c r="K85" s="148"/>
      <c r="L85" s="278" t="s">
        <v>601</v>
      </c>
      <c r="M85" s="145" t="s">
        <v>24</v>
      </c>
      <c r="N85" s="145" t="s">
        <v>47</v>
      </c>
      <c r="O85" s="198" t="str">
        <f>HYPERLINK("https://leetcode.com/problems/best-time-to-buy-and-sell-stock-ii/","https://leetcode.com/problems/best-time-to-buy-and-sell-stock-ii/")</f>
        <v>https://leetcode.com/problems/best-time-to-buy-and-sell-stock-ii/</v>
      </c>
    </row>
    <row r="86" spans="1:15" ht="31.5" customHeight="1" x14ac:dyDescent="0.2">
      <c r="A86" s="7">
        <v>81</v>
      </c>
      <c r="B86" s="7">
        <v>123</v>
      </c>
      <c r="C86" s="13" t="s">
        <v>603</v>
      </c>
      <c r="D86" s="7" t="s">
        <v>4538</v>
      </c>
      <c r="E86" s="20" t="s">
        <v>42</v>
      </c>
      <c r="F86" s="3" t="s">
        <v>309</v>
      </c>
      <c r="G86" s="3" t="s">
        <v>4539</v>
      </c>
      <c r="H86" s="7">
        <f>IFERROR(VLOOKUP(B86,'📊 Problem Tracker'!$B$4:$F$1200,5,FALSE()),"")</f>
        <v>0</v>
      </c>
      <c r="I86" s="7"/>
      <c r="J86" s="7"/>
      <c r="K86" s="3"/>
      <c r="L86" s="228" t="s">
        <v>508</v>
      </c>
      <c r="M86" s="7" t="s">
        <v>24</v>
      </c>
      <c r="N86" s="7" t="s">
        <v>47</v>
      </c>
      <c r="O86" s="197" t="str">
        <f>HYPERLINK("https://leetcode.com/problems/best-time-to-buy-and-sell-stock-iii/","https://leetcode.com/problems/best-time-to-buy-and-sell-stock-iii/")</f>
        <v>https://leetcode.com/problems/best-time-to-buy-and-sell-stock-iii/</v>
      </c>
    </row>
    <row r="87" spans="1:15" ht="31.5" customHeight="1" x14ac:dyDescent="0.2">
      <c r="A87" s="145">
        <v>82</v>
      </c>
      <c r="B87" s="145">
        <v>124</v>
      </c>
      <c r="C87" s="146" t="s">
        <v>605</v>
      </c>
      <c r="D87" s="145" t="s">
        <v>4540</v>
      </c>
      <c r="E87" s="149" t="s">
        <v>42</v>
      </c>
      <c r="F87" s="148" t="s">
        <v>606</v>
      </c>
      <c r="G87" s="148" t="s">
        <v>4256</v>
      </c>
      <c r="H87" s="145">
        <f>IFERROR(VLOOKUP(B87,'📊 Problem Tracker'!$B$4:$F$1200,5,FALSE()),"")</f>
        <v>0</v>
      </c>
      <c r="I87" s="145"/>
      <c r="J87" s="145"/>
      <c r="K87" s="148"/>
      <c r="L87" s="278" t="s">
        <v>608</v>
      </c>
      <c r="M87" s="145" t="s">
        <v>24</v>
      </c>
      <c r="N87" s="145" t="s">
        <v>503</v>
      </c>
      <c r="O87" s="198" t="str">
        <f>HYPERLINK("https://leetcode.com/problems/binary-tree-maximum-path-sum/","https://leetcode.com/problems/binary-tree-maximum-path-sum/")</f>
        <v>https://leetcode.com/problems/binary-tree-maximum-path-sum/</v>
      </c>
    </row>
    <row r="88" spans="1:15" ht="31.5" customHeight="1" x14ac:dyDescent="0.2">
      <c r="A88" s="7">
        <v>83</v>
      </c>
      <c r="B88" s="7">
        <v>125</v>
      </c>
      <c r="C88" s="13" t="s">
        <v>610</v>
      </c>
      <c r="D88" s="7" t="s">
        <v>4486</v>
      </c>
      <c r="E88" s="21" t="s">
        <v>20</v>
      </c>
      <c r="F88" s="3" t="s">
        <v>611</v>
      </c>
      <c r="G88" s="3" t="s">
        <v>689</v>
      </c>
      <c r="H88" s="7">
        <f>IFERROR(VLOOKUP(B88,'📊 Problem Tracker'!$B$4:$F$1200,5,FALSE()),"")</f>
        <v>0</v>
      </c>
      <c r="I88" s="7"/>
      <c r="J88" s="7"/>
      <c r="K88" s="3"/>
      <c r="L88" s="228" t="s">
        <v>613</v>
      </c>
      <c r="M88" s="7" t="s">
        <v>24</v>
      </c>
      <c r="N88" s="7" t="s">
        <v>47</v>
      </c>
      <c r="O88" s="197" t="str">
        <f>HYPERLINK("https://leetcode.com/problems/valid-palindrome/","https://leetcode.com/problems/valid-palindrome/")</f>
        <v>https://leetcode.com/problems/valid-palindrome/</v>
      </c>
    </row>
    <row r="89" spans="1:15" ht="31.5" customHeight="1" x14ac:dyDescent="0.2">
      <c r="A89" s="145">
        <v>84</v>
      </c>
      <c r="B89" s="145">
        <v>127</v>
      </c>
      <c r="C89" s="146" t="s">
        <v>623</v>
      </c>
      <c r="D89" s="145" t="s">
        <v>4543</v>
      </c>
      <c r="E89" s="149" t="s">
        <v>42</v>
      </c>
      <c r="F89" s="148" t="s">
        <v>624</v>
      </c>
      <c r="G89" s="148" t="s">
        <v>4258</v>
      </c>
      <c r="H89" s="145">
        <f>IFERROR(VLOOKUP(B89,'📊 Problem Tracker'!$B$4:$F$1200,5,FALSE()),"")</f>
        <v>0</v>
      </c>
      <c r="I89" s="145"/>
      <c r="J89" s="145"/>
      <c r="K89" s="148"/>
      <c r="L89" s="278" t="s">
        <v>619</v>
      </c>
      <c r="M89" s="145" t="s">
        <v>625</v>
      </c>
      <c r="N89" s="145" t="s">
        <v>626</v>
      </c>
      <c r="O89" s="198" t="str">
        <f>HYPERLINK("https://leetcode.com/problems/word-ladder/","https://leetcode.com/problems/word-ladder/")</f>
        <v>https://leetcode.com/problems/word-ladder/</v>
      </c>
    </row>
    <row r="90" spans="1:15" ht="31.5" customHeight="1" x14ac:dyDescent="0.2">
      <c r="A90" s="7">
        <v>85</v>
      </c>
      <c r="B90" s="7">
        <v>128</v>
      </c>
      <c r="C90" s="13" t="s">
        <v>628</v>
      </c>
      <c r="D90" s="7" t="s">
        <v>4544</v>
      </c>
      <c r="E90" s="18" t="s">
        <v>28</v>
      </c>
      <c r="F90" s="3" t="s">
        <v>629</v>
      </c>
      <c r="G90" s="3" t="s">
        <v>4545</v>
      </c>
      <c r="H90" s="7">
        <f>IFERROR(VLOOKUP(B90,'📊 Problem Tracker'!$B$4:$F$1200,5,FALSE()),"")</f>
        <v>0</v>
      </c>
      <c r="I90" s="7"/>
      <c r="J90" s="7"/>
      <c r="K90" s="3"/>
      <c r="L90" s="228" t="s">
        <v>631</v>
      </c>
      <c r="M90" s="7" t="s">
        <v>24</v>
      </c>
      <c r="N90" s="7" t="s">
        <v>24</v>
      </c>
      <c r="O90" s="197" t="str">
        <f>HYPERLINK("https://leetcode.com/problems/longest-consecutive-sequence/","https://leetcode.com/problems/longest-consecutive-sequence/")</f>
        <v>https://leetcode.com/problems/longest-consecutive-sequence/</v>
      </c>
    </row>
    <row r="91" spans="1:15" ht="31.5" customHeight="1" x14ac:dyDescent="0.2">
      <c r="A91" s="145">
        <v>86</v>
      </c>
      <c r="B91" s="145">
        <v>130</v>
      </c>
      <c r="C91" s="146" t="s">
        <v>636</v>
      </c>
      <c r="D91" s="145" t="s">
        <v>4547</v>
      </c>
      <c r="E91" s="147" t="s">
        <v>28</v>
      </c>
      <c r="F91" s="148" t="s">
        <v>637</v>
      </c>
      <c r="G91" s="148" t="s">
        <v>4548</v>
      </c>
      <c r="H91" s="145">
        <f>IFERROR(VLOOKUP(B91,'📊 Problem Tracker'!$B$4:$F$1200,5,FALSE()),"")</f>
        <v>0</v>
      </c>
      <c r="I91" s="145"/>
      <c r="J91" s="145"/>
      <c r="K91" s="148"/>
      <c r="L91" s="278" t="s">
        <v>619</v>
      </c>
      <c r="M91" s="145" t="s">
        <v>81</v>
      </c>
      <c r="N91" s="145" t="s">
        <v>81</v>
      </c>
      <c r="O91" s="198" t="str">
        <f>HYPERLINK("https://leetcode.com/problems/surrounded-regions/","https://leetcode.com/problems/surrounded-regions/")</f>
        <v>https://leetcode.com/problems/surrounded-regions/</v>
      </c>
    </row>
    <row r="92" spans="1:15" ht="31.5" customHeight="1" x14ac:dyDescent="0.2">
      <c r="A92" s="7">
        <v>87</v>
      </c>
      <c r="B92" s="7">
        <v>131</v>
      </c>
      <c r="C92" s="13" t="s">
        <v>640</v>
      </c>
      <c r="D92" s="7" t="s">
        <v>4549</v>
      </c>
      <c r="E92" s="18" t="s">
        <v>28</v>
      </c>
      <c r="F92" s="3" t="s">
        <v>641</v>
      </c>
      <c r="G92" s="3" t="s">
        <v>300</v>
      </c>
      <c r="H92" s="7">
        <f>IFERROR(VLOOKUP(B92,'📊 Problem Tracker'!$B$4:$F$1200,5,FALSE()),"")</f>
        <v>0</v>
      </c>
      <c r="I92" s="7"/>
      <c r="J92" s="7"/>
      <c r="K92" s="3"/>
      <c r="L92" s="228" t="s">
        <v>508</v>
      </c>
      <c r="M92" s="7" t="s">
        <v>643</v>
      </c>
      <c r="N92" s="7" t="s">
        <v>53</v>
      </c>
      <c r="O92" s="197" t="str">
        <f>HYPERLINK("https://leetcode.com/problems/palindrome-partitioning/","https://leetcode.com/problems/palindrome-partitioning/")</f>
        <v>https://leetcode.com/problems/palindrome-partitioning/</v>
      </c>
    </row>
    <row r="93" spans="1:15" ht="31.5" customHeight="1" x14ac:dyDescent="0.2">
      <c r="A93" s="145">
        <v>88</v>
      </c>
      <c r="B93" s="145">
        <v>133</v>
      </c>
      <c r="C93" s="146" t="s">
        <v>645</v>
      </c>
      <c r="D93" s="145" t="s">
        <v>4737</v>
      </c>
      <c r="E93" s="147" t="s">
        <v>28</v>
      </c>
      <c r="F93" s="148" t="s">
        <v>646</v>
      </c>
      <c r="G93" s="148" t="s">
        <v>4274</v>
      </c>
      <c r="H93" s="145">
        <f>IFERROR(VLOOKUP(B93,'📊 Problem Tracker'!$B$4:$F$1200,5,FALSE()),"")</f>
        <v>0</v>
      </c>
      <c r="I93" s="145"/>
      <c r="J93" s="145"/>
      <c r="K93" s="148"/>
      <c r="L93" s="278" t="s">
        <v>619</v>
      </c>
      <c r="M93" s="145" t="s">
        <v>648</v>
      </c>
      <c r="N93" s="145" t="s">
        <v>649</v>
      </c>
      <c r="O93" s="198" t="str">
        <f>HYPERLINK("https://leetcode.com/problems/clone-graph/","https://leetcode.com/problems/clone-graph/")</f>
        <v>https://leetcode.com/problems/clone-graph/</v>
      </c>
    </row>
    <row r="94" spans="1:15" ht="31.5" customHeight="1" x14ac:dyDescent="0.2">
      <c r="A94" s="7">
        <v>89</v>
      </c>
      <c r="B94" s="7">
        <v>134</v>
      </c>
      <c r="C94" s="13" t="s">
        <v>651</v>
      </c>
      <c r="D94" s="7" t="s">
        <v>4550</v>
      </c>
      <c r="E94" s="18" t="s">
        <v>28</v>
      </c>
      <c r="F94" s="3" t="s">
        <v>318</v>
      </c>
      <c r="G94" s="3" t="s">
        <v>3091</v>
      </c>
      <c r="H94" s="7">
        <f>IFERROR(VLOOKUP(B94,'📊 Problem Tracker'!$B$4:$F$1200,5,FALSE()),"")</f>
        <v>0</v>
      </c>
      <c r="I94" s="7"/>
      <c r="J94" s="7"/>
      <c r="K94" s="3"/>
      <c r="L94" s="228" t="s">
        <v>654</v>
      </c>
      <c r="M94" s="7" t="s">
        <v>24</v>
      </c>
      <c r="N94" s="7" t="s">
        <v>47</v>
      </c>
      <c r="O94" s="197" t="str">
        <f>HYPERLINK("https://leetcode.com/problems/gas-station/","https://leetcode.com/problems/gas-station/")</f>
        <v>https://leetcode.com/problems/gas-station/</v>
      </c>
    </row>
    <row r="95" spans="1:15" ht="31.5" customHeight="1" x14ac:dyDescent="0.2">
      <c r="A95" s="145">
        <v>90</v>
      </c>
      <c r="B95" s="145">
        <v>135</v>
      </c>
      <c r="C95" s="146" t="s">
        <v>656</v>
      </c>
      <c r="D95" s="145" t="s">
        <v>4433</v>
      </c>
      <c r="E95" s="149" t="s">
        <v>42</v>
      </c>
      <c r="F95" s="148" t="s">
        <v>318</v>
      </c>
      <c r="G95" s="148" t="s">
        <v>3091</v>
      </c>
      <c r="H95" s="145">
        <f>IFERROR(VLOOKUP(B95,'📊 Problem Tracker'!$B$4:$F$1200,5,FALSE()),"")</f>
        <v>0</v>
      </c>
      <c r="I95" s="145"/>
      <c r="J95" s="145"/>
      <c r="K95" s="148"/>
      <c r="L95" s="278" t="s">
        <v>654</v>
      </c>
      <c r="M95" s="145" t="s">
        <v>24</v>
      </c>
      <c r="N95" s="145" t="s">
        <v>24</v>
      </c>
      <c r="O95" s="198" t="str">
        <f>HYPERLINK("https://leetcode.com/problems/candy/","https://leetcode.com/problems/candy/")</f>
        <v>https://leetcode.com/problems/candy/</v>
      </c>
    </row>
    <row r="96" spans="1:15" ht="31.5" customHeight="1" x14ac:dyDescent="0.2">
      <c r="A96" s="7">
        <v>91</v>
      </c>
      <c r="B96" s="7">
        <v>136</v>
      </c>
      <c r="C96" s="13" t="s">
        <v>659</v>
      </c>
      <c r="D96" s="7" t="s">
        <v>4551</v>
      </c>
      <c r="E96" s="21" t="s">
        <v>20</v>
      </c>
      <c r="F96" s="3" t="s">
        <v>660</v>
      </c>
      <c r="G96" s="3" t="s">
        <v>666</v>
      </c>
      <c r="H96" s="7">
        <f>IFERROR(VLOOKUP(B96,'📊 Problem Tracker'!$B$4:$F$1200,5,FALSE()),"")</f>
        <v>0</v>
      </c>
      <c r="I96" s="7"/>
      <c r="J96" s="7"/>
      <c r="K96" s="3"/>
      <c r="L96" s="228" t="s">
        <v>663</v>
      </c>
      <c r="M96" s="7" t="s">
        <v>24</v>
      </c>
      <c r="N96" s="7" t="s">
        <v>47</v>
      </c>
      <c r="O96" s="197" t="str">
        <f>HYPERLINK("https://leetcode.com/problems/single-number/","https://leetcode.com/problems/single-number/")</f>
        <v>https://leetcode.com/problems/single-number/</v>
      </c>
    </row>
    <row r="97" spans="1:15" ht="31.5" customHeight="1" x14ac:dyDescent="0.2">
      <c r="A97" s="145">
        <v>92</v>
      </c>
      <c r="B97" s="145">
        <v>138</v>
      </c>
      <c r="C97" s="146" t="s">
        <v>668</v>
      </c>
      <c r="D97" s="145" t="s">
        <v>4472</v>
      </c>
      <c r="E97" s="147" t="s">
        <v>28</v>
      </c>
      <c r="F97" s="148" t="s">
        <v>669</v>
      </c>
      <c r="G97" s="148" t="s">
        <v>4552</v>
      </c>
      <c r="H97" s="145">
        <f>IFERROR(VLOOKUP(B97,'📊 Problem Tracker'!$B$4:$F$1200,5,FALSE()),"")</f>
        <v>0</v>
      </c>
      <c r="I97" s="145"/>
      <c r="J97" s="145"/>
      <c r="K97" s="148"/>
      <c r="L97" s="278" t="s">
        <v>461</v>
      </c>
      <c r="M97" s="145" t="s">
        <v>24</v>
      </c>
      <c r="N97" s="145" t="s">
        <v>24</v>
      </c>
      <c r="O97" s="198" t="str">
        <f>HYPERLINK("https://leetcode.com/problems/copy-list-with-random-pointer/","https://leetcode.com/problems/copy-list-with-random-pointer/")</f>
        <v>https://leetcode.com/problems/copy-list-with-random-pointer/</v>
      </c>
    </row>
    <row r="98" spans="1:15" ht="31.5" customHeight="1" x14ac:dyDescent="0.2">
      <c r="A98" s="7">
        <v>93</v>
      </c>
      <c r="B98" s="7">
        <v>139</v>
      </c>
      <c r="C98" s="13" t="s">
        <v>671</v>
      </c>
      <c r="D98" s="7" t="s">
        <v>4553</v>
      </c>
      <c r="E98" s="18" t="s">
        <v>28</v>
      </c>
      <c r="F98" s="3" t="s">
        <v>672</v>
      </c>
      <c r="G98" s="3" t="s">
        <v>1042</v>
      </c>
      <c r="H98" s="7">
        <f>IFERROR(VLOOKUP(B98,'📊 Problem Tracker'!$B$4:$F$1200,5,FALSE()),"")</f>
        <v>0</v>
      </c>
      <c r="I98" s="7"/>
      <c r="J98" s="7"/>
      <c r="K98" s="3"/>
      <c r="L98" s="228" t="s">
        <v>508</v>
      </c>
      <c r="M98" s="7" t="s">
        <v>53</v>
      </c>
      <c r="N98" s="7" t="s">
        <v>24</v>
      </c>
      <c r="O98" s="197" t="str">
        <f>HYPERLINK("https://leetcode.com/problems/word-break/","https://leetcode.com/problems/word-break/")</f>
        <v>https://leetcode.com/problems/word-break/</v>
      </c>
    </row>
    <row r="99" spans="1:15" ht="31.5" customHeight="1" x14ac:dyDescent="0.2">
      <c r="A99" s="145">
        <v>94</v>
      </c>
      <c r="B99" s="145">
        <v>140</v>
      </c>
      <c r="C99" s="146" t="s">
        <v>674</v>
      </c>
      <c r="D99" s="145" t="s">
        <v>4585</v>
      </c>
      <c r="E99" s="149" t="s">
        <v>42</v>
      </c>
      <c r="F99" s="148" t="s">
        <v>675</v>
      </c>
      <c r="G99" s="148" t="s">
        <v>4345</v>
      </c>
      <c r="H99" s="145">
        <f>IFERROR(VLOOKUP(B99,'📊 Problem Tracker'!$B$4:$F$1200,5,FALSE()),"")</f>
        <v>0</v>
      </c>
      <c r="I99" s="145"/>
      <c r="J99" s="145"/>
      <c r="K99" s="148"/>
      <c r="L99" s="278" t="s">
        <v>508</v>
      </c>
      <c r="M99" s="145" t="s">
        <v>676</v>
      </c>
      <c r="N99" s="145" t="s">
        <v>676</v>
      </c>
      <c r="O99" s="198" t="str">
        <f>HYPERLINK("https://leetcode.com/problems/word-break-ii/","https://leetcode.com/problems/word-break-ii/")</f>
        <v>https://leetcode.com/problems/word-break-ii/</v>
      </c>
    </row>
    <row r="100" spans="1:15" ht="31.5" customHeight="1" x14ac:dyDescent="0.2">
      <c r="A100" s="7">
        <v>95</v>
      </c>
      <c r="B100" s="7">
        <v>141</v>
      </c>
      <c r="C100" s="13" t="s">
        <v>678</v>
      </c>
      <c r="D100" s="7" t="s">
        <v>4554</v>
      </c>
      <c r="E100" s="21" t="s">
        <v>20</v>
      </c>
      <c r="F100" s="3" t="s">
        <v>679</v>
      </c>
      <c r="G100" s="3" t="s">
        <v>4034</v>
      </c>
      <c r="H100" s="7">
        <f>IFERROR(VLOOKUP(B100,'📊 Problem Tracker'!$B$4:$F$1200,5,FALSE()),"")</f>
        <v>0</v>
      </c>
      <c r="I100" s="7"/>
      <c r="J100" s="7"/>
      <c r="K100" s="3"/>
      <c r="L100" s="228" t="s">
        <v>682</v>
      </c>
      <c r="M100" s="7" t="s">
        <v>24</v>
      </c>
      <c r="N100" s="7" t="s">
        <v>47</v>
      </c>
      <c r="O100" s="197" t="str">
        <f>HYPERLINK("https://leetcode.com/problems/linked-list-cycle/","https://leetcode.com/problems/linked-list-cycle/")</f>
        <v>https://leetcode.com/problems/linked-list-cycle/</v>
      </c>
    </row>
    <row r="101" spans="1:15" ht="31.5" customHeight="1" x14ac:dyDescent="0.2">
      <c r="A101" s="145">
        <v>96</v>
      </c>
      <c r="B101" s="145">
        <v>142</v>
      </c>
      <c r="C101" s="146" t="s">
        <v>684</v>
      </c>
      <c r="D101" s="145" t="s">
        <v>4555</v>
      </c>
      <c r="E101" s="147" t="s">
        <v>28</v>
      </c>
      <c r="F101" s="148" t="s">
        <v>679</v>
      </c>
      <c r="G101" s="148" t="s">
        <v>4034</v>
      </c>
      <c r="H101" s="145">
        <f>IFERROR(VLOOKUP(B101,'📊 Problem Tracker'!$B$4:$F$1200,5,FALSE()),"")</f>
        <v>0</v>
      </c>
      <c r="I101" s="145"/>
      <c r="J101" s="145"/>
      <c r="K101" s="148"/>
      <c r="L101" s="278" t="s">
        <v>686</v>
      </c>
      <c r="M101" s="145" t="s">
        <v>24</v>
      </c>
      <c r="N101" s="145" t="s">
        <v>47</v>
      </c>
      <c r="O101" s="198" t="str">
        <f>HYPERLINK("https://leetcode.com/problems/linked-list-cycle-ii/","https://leetcode.com/problems/linked-list-cycle-ii/")</f>
        <v>https://leetcode.com/problems/linked-list-cycle-ii/</v>
      </c>
    </row>
    <row r="102" spans="1:15" ht="31.5" customHeight="1" x14ac:dyDescent="0.2">
      <c r="A102" s="7">
        <v>97</v>
      </c>
      <c r="B102" s="7">
        <v>143</v>
      </c>
      <c r="C102" s="13" t="s">
        <v>688</v>
      </c>
      <c r="D102" s="7" t="s">
        <v>4556</v>
      </c>
      <c r="E102" s="18" t="s">
        <v>28</v>
      </c>
      <c r="F102" s="3" t="s">
        <v>679</v>
      </c>
      <c r="G102" s="3" t="s">
        <v>127</v>
      </c>
      <c r="H102" s="7">
        <f>IFERROR(VLOOKUP(B102,'📊 Problem Tracker'!$B$4:$F$1200,5,FALSE()),"")</f>
        <v>0</v>
      </c>
      <c r="I102" s="7"/>
      <c r="J102" s="7"/>
      <c r="K102" s="3"/>
      <c r="L102" s="228" t="s">
        <v>690</v>
      </c>
      <c r="M102" s="7" t="s">
        <v>24</v>
      </c>
      <c r="N102" s="7" t="s">
        <v>47</v>
      </c>
      <c r="O102" s="197" t="str">
        <f>HYPERLINK("https://leetcode.com/problems/reorder-list/","https://leetcode.com/problems/reorder-list/")</f>
        <v>https://leetcode.com/problems/reorder-list/</v>
      </c>
    </row>
    <row r="103" spans="1:15" ht="31.5" customHeight="1" x14ac:dyDescent="0.2">
      <c r="A103" s="145">
        <v>98</v>
      </c>
      <c r="B103" s="145">
        <v>146</v>
      </c>
      <c r="C103" s="146" t="s">
        <v>692</v>
      </c>
      <c r="D103" s="145" t="s">
        <v>4510</v>
      </c>
      <c r="E103" s="147" t="s">
        <v>28</v>
      </c>
      <c r="F103" s="148" t="s">
        <v>693</v>
      </c>
      <c r="G103" s="148" t="s">
        <v>4557</v>
      </c>
      <c r="H103" s="145">
        <f>IFERROR(VLOOKUP(B103,'📊 Problem Tracker'!$B$4:$F$1200,5,FALSE()),"")</f>
        <v>0</v>
      </c>
      <c r="I103" s="145"/>
      <c r="J103" s="145"/>
      <c r="K103" s="148"/>
      <c r="L103" s="278" t="s">
        <v>695</v>
      </c>
      <c r="M103" s="145" t="s">
        <v>696</v>
      </c>
      <c r="N103" s="145" t="s">
        <v>697</v>
      </c>
      <c r="O103" s="198" t="str">
        <f>HYPERLINK("https://leetcode.com/problems/lru-cache/","https://leetcode.com/problems/lru-cache/")</f>
        <v>https://leetcode.com/problems/lru-cache/</v>
      </c>
    </row>
    <row r="104" spans="1:15" ht="31.5" customHeight="1" x14ac:dyDescent="0.2">
      <c r="A104" s="7">
        <v>99</v>
      </c>
      <c r="B104" s="7">
        <v>148</v>
      </c>
      <c r="C104" s="13" t="s">
        <v>699</v>
      </c>
      <c r="D104" s="7" t="s">
        <v>4558</v>
      </c>
      <c r="E104" s="18" t="s">
        <v>28</v>
      </c>
      <c r="F104" s="3" t="s">
        <v>700</v>
      </c>
      <c r="G104" s="3" t="s">
        <v>4559</v>
      </c>
      <c r="H104" s="7">
        <f>IFERROR(VLOOKUP(B104,'📊 Problem Tracker'!$B$4:$F$1200,5,FALSE()),"")</f>
        <v>0</v>
      </c>
      <c r="I104" s="7"/>
      <c r="J104" s="7"/>
      <c r="K104" s="3"/>
      <c r="L104" s="228" t="s">
        <v>461</v>
      </c>
      <c r="M104" s="7" t="s">
        <v>326</v>
      </c>
      <c r="N104" s="7" t="s">
        <v>65</v>
      </c>
      <c r="O104" s="197" t="str">
        <f>HYPERLINK("https://leetcode.com/problems/sort-list/","https://leetcode.com/problems/sort-list/")</f>
        <v>https://leetcode.com/problems/sort-list/</v>
      </c>
    </row>
    <row r="105" spans="1:15" ht="31.5" customHeight="1" x14ac:dyDescent="0.2">
      <c r="A105" s="145">
        <v>100</v>
      </c>
      <c r="B105" s="145">
        <v>150</v>
      </c>
      <c r="C105" s="146" t="s">
        <v>707</v>
      </c>
      <c r="D105" s="145" t="s">
        <v>4562</v>
      </c>
      <c r="E105" s="147" t="s">
        <v>28</v>
      </c>
      <c r="F105" s="148" t="s">
        <v>708</v>
      </c>
      <c r="G105" s="148" t="s">
        <v>540</v>
      </c>
      <c r="H105" s="145">
        <f>IFERROR(VLOOKUP(B105,'📊 Problem Tracker'!$B$4:$F$1200,5,FALSE()),"")</f>
        <v>0</v>
      </c>
      <c r="I105" s="145"/>
      <c r="J105" s="145"/>
      <c r="K105" s="148"/>
      <c r="L105" s="278" t="s">
        <v>711</v>
      </c>
      <c r="M105" s="145" t="s">
        <v>24</v>
      </c>
      <c r="N105" s="145" t="s">
        <v>24</v>
      </c>
      <c r="O105" s="198" t="str">
        <f>HYPERLINK("https://leetcode.com/problems/evaluate-reverse-polish-notation/","https://leetcode.com/problems/evaluate-reverse-polish-notation/")</f>
        <v>https://leetcode.com/problems/evaluate-reverse-polish-notation/</v>
      </c>
    </row>
    <row r="106" spans="1:15" ht="31.5" customHeight="1" x14ac:dyDescent="0.2">
      <c r="A106" s="7">
        <v>101</v>
      </c>
      <c r="B106" s="7">
        <v>151</v>
      </c>
      <c r="C106" s="13" t="s">
        <v>713</v>
      </c>
      <c r="D106" s="7" t="s">
        <v>4563</v>
      </c>
      <c r="E106" s="18" t="s">
        <v>28</v>
      </c>
      <c r="F106" s="3" t="s">
        <v>611</v>
      </c>
      <c r="G106" s="3" t="s">
        <v>4564</v>
      </c>
      <c r="H106" s="7">
        <f>IFERROR(VLOOKUP(B106,'📊 Problem Tracker'!$B$4:$F$1200,5,FALSE()),"")</f>
        <v>0</v>
      </c>
      <c r="I106" s="7"/>
      <c r="J106" s="7"/>
      <c r="K106" s="3"/>
      <c r="L106" s="228" t="s">
        <v>690</v>
      </c>
      <c r="M106" s="7" t="s">
        <v>24</v>
      </c>
      <c r="N106" s="7" t="s">
        <v>24</v>
      </c>
      <c r="O106" s="197" t="str">
        <f>HYPERLINK("https://leetcode.com/problems/reverse-words-in-a-string/","https://leetcode.com/problems/reverse-words-in-a-string/")</f>
        <v>https://leetcode.com/problems/reverse-words-in-a-string/</v>
      </c>
    </row>
    <row r="107" spans="1:15" ht="31.5" customHeight="1" x14ac:dyDescent="0.2">
      <c r="A107" s="145">
        <v>102</v>
      </c>
      <c r="B107" s="145">
        <v>152</v>
      </c>
      <c r="C107" s="146" t="s">
        <v>715</v>
      </c>
      <c r="D107" s="145" t="s">
        <v>4565</v>
      </c>
      <c r="E107" s="147" t="s">
        <v>28</v>
      </c>
      <c r="F107" s="148" t="s">
        <v>309</v>
      </c>
      <c r="G107" s="148" t="s">
        <v>1042</v>
      </c>
      <c r="H107" s="145">
        <f>IFERROR(VLOOKUP(B107,'📊 Problem Tracker'!$B$4:$F$1200,5,FALSE()),"")</f>
        <v>0</v>
      </c>
      <c r="I107" s="145"/>
      <c r="J107" s="145"/>
      <c r="K107" s="148"/>
      <c r="L107" s="278" t="s">
        <v>718</v>
      </c>
      <c r="M107" s="145" t="s">
        <v>24</v>
      </c>
      <c r="N107" s="145" t="s">
        <v>47</v>
      </c>
      <c r="O107" s="198" t="str">
        <f>HYPERLINK("https://leetcode.com/problems/maximum-product-subarray/","https://leetcode.com/problems/maximum-product-subarray/")</f>
        <v>https://leetcode.com/problems/maximum-product-subarray/</v>
      </c>
    </row>
    <row r="108" spans="1:15" ht="31.5" customHeight="1" x14ac:dyDescent="0.2">
      <c r="A108" s="7">
        <v>103</v>
      </c>
      <c r="B108" s="7">
        <v>155</v>
      </c>
      <c r="C108" s="13" t="s">
        <v>728</v>
      </c>
      <c r="D108" s="7" t="s">
        <v>4567</v>
      </c>
      <c r="E108" s="18" t="s">
        <v>28</v>
      </c>
      <c r="F108" s="3" t="s">
        <v>729</v>
      </c>
      <c r="G108" s="3" t="s">
        <v>4568</v>
      </c>
      <c r="H108" s="7">
        <f>IFERROR(VLOOKUP(B108,'📊 Problem Tracker'!$B$4:$F$1200,5,FALSE()),"")</f>
        <v>0</v>
      </c>
      <c r="I108" s="7"/>
      <c r="J108" s="7"/>
      <c r="K108" s="3"/>
      <c r="L108" s="228" t="s">
        <v>731</v>
      </c>
      <c r="M108" s="7" t="s">
        <v>732</v>
      </c>
      <c r="N108" s="7" t="s">
        <v>24</v>
      </c>
      <c r="O108" s="197" t="str">
        <f>HYPERLINK("https://leetcode.com/problems/min-stack/","https://leetcode.com/problems/min-stack/")</f>
        <v>https://leetcode.com/problems/min-stack/</v>
      </c>
    </row>
    <row r="109" spans="1:15" ht="31.5" customHeight="1" x14ac:dyDescent="0.2">
      <c r="A109" s="145">
        <v>104</v>
      </c>
      <c r="B109" s="145">
        <v>162</v>
      </c>
      <c r="C109" s="146" t="s">
        <v>752</v>
      </c>
      <c r="D109" s="145" t="s">
        <v>4569</v>
      </c>
      <c r="E109" s="147" t="s">
        <v>28</v>
      </c>
      <c r="F109" s="148" t="s">
        <v>41</v>
      </c>
      <c r="G109" s="148" t="s">
        <v>512</v>
      </c>
      <c r="H109" s="145">
        <f>IFERROR(VLOOKUP(B109,'📊 Problem Tracker'!$B$4:$F$1200,5,FALSE()),"")</f>
        <v>0</v>
      </c>
      <c r="I109" s="145"/>
      <c r="J109" s="145"/>
      <c r="K109" s="148"/>
      <c r="L109" s="278" t="s">
        <v>513</v>
      </c>
      <c r="M109" s="145" t="s">
        <v>65</v>
      </c>
      <c r="N109" s="145" t="s">
        <v>47</v>
      </c>
      <c r="O109" s="198" t="str">
        <f>HYPERLINK("https://leetcode.com/problems/find-peak-element/","https://leetcode.com/problems/find-peak-element/")</f>
        <v>https://leetcode.com/problems/find-peak-element/</v>
      </c>
    </row>
    <row r="110" spans="1:15" ht="31.5" customHeight="1" x14ac:dyDescent="0.2">
      <c r="A110" s="7">
        <v>105</v>
      </c>
      <c r="B110" s="7">
        <v>167</v>
      </c>
      <c r="C110" s="13" t="s">
        <v>765</v>
      </c>
      <c r="D110" s="7" t="s">
        <v>4570</v>
      </c>
      <c r="E110" s="18" t="s">
        <v>28</v>
      </c>
      <c r="F110" s="3" t="s">
        <v>1110</v>
      </c>
      <c r="G110" s="3" t="s">
        <v>689</v>
      </c>
      <c r="H110" s="7">
        <f>IFERROR(VLOOKUP(B110,'📊 Problem Tracker'!$B$4:$F$1200,5,FALSE()),"")</f>
        <v>0</v>
      </c>
      <c r="I110" s="7"/>
      <c r="J110" s="7"/>
      <c r="K110" s="3"/>
      <c r="L110" s="228" t="s">
        <v>690</v>
      </c>
      <c r="M110" s="7" t="s">
        <v>24</v>
      </c>
      <c r="N110" s="7" t="s">
        <v>47</v>
      </c>
      <c r="O110" s="197" t="str">
        <f>HYPERLINK("https://leetcode.com/problems/two-sum-ii-input-array-is-sorted/","https://leetcode.com/problems/two-sum-ii-input-array-is-sorted/")</f>
        <v>https://leetcode.com/problems/two-sum-ii-input-array-is-sorted/</v>
      </c>
    </row>
    <row r="111" spans="1:15" ht="31.5" customHeight="1" x14ac:dyDescent="0.2">
      <c r="A111" s="145">
        <v>106</v>
      </c>
      <c r="B111" s="145">
        <v>169</v>
      </c>
      <c r="C111" s="146" t="s">
        <v>773</v>
      </c>
      <c r="D111" s="145" t="s">
        <v>4571</v>
      </c>
      <c r="E111" s="150" t="s">
        <v>20</v>
      </c>
      <c r="F111" s="148" t="s">
        <v>166</v>
      </c>
      <c r="G111" s="148" t="s">
        <v>4572</v>
      </c>
      <c r="H111" s="145">
        <f>IFERROR(VLOOKUP(B111,'📊 Problem Tracker'!$B$4:$F$1200,5,FALSE()),"")</f>
        <v>0</v>
      </c>
      <c r="I111" s="145"/>
      <c r="J111" s="145"/>
      <c r="K111" s="148"/>
      <c r="L111" s="278" t="s">
        <v>776</v>
      </c>
      <c r="M111" s="145" t="s">
        <v>24</v>
      </c>
      <c r="N111" s="145" t="s">
        <v>47</v>
      </c>
      <c r="O111" s="198" t="str">
        <f>HYPERLINK("https://leetcode.com/problems/majority-element/","https://leetcode.com/problems/majority-element/")</f>
        <v>https://leetcode.com/problems/majority-element/</v>
      </c>
    </row>
    <row r="112" spans="1:15" ht="31.5" customHeight="1" x14ac:dyDescent="0.2">
      <c r="A112" s="7">
        <v>107</v>
      </c>
      <c r="B112" s="7">
        <v>179</v>
      </c>
      <c r="C112" s="13" t="s">
        <v>812</v>
      </c>
      <c r="D112" s="7" t="s">
        <v>4890</v>
      </c>
      <c r="E112" s="18" t="s">
        <v>28</v>
      </c>
      <c r="F112" s="3" t="s">
        <v>813</v>
      </c>
      <c r="G112" s="3" t="s">
        <v>4279</v>
      </c>
      <c r="H112" s="7">
        <f>IFERROR(VLOOKUP(B112,'📊 Problem Tracker'!$B$4:$F$1200,5,FALSE()),"")</f>
        <v>0</v>
      </c>
      <c r="I112" s="7"/>
      <c r="J112" s="7"/>
      <c r="K112" s="3"/>
      <c r="L112" s="228" t="s">
        <v>1077</v>
      </c>
      <c r="M112" s="7" t="s">
        <v>817</v>
      </c>
      <c r="N112" s="7" t="s">
        <v>292</v>
      </c>
      <c r="O112" s="197" t="str">
        <f>HYPERLINK("https://leetcode.com/problems/largest-number/","https://leetcode.com/problems/largest-number/")</f>
        <v>https://leetcode.com/problems/largest-number/</v>
      </c>
    </row>
    <row r="113" spans="1:15" ht="31.5" customHeight="1" x14ac:dyDescent="0.2">
      <c r="A113" s="145">
        <v>108</v>
      </c>
      <c r="B113" s="145">
        <v>189</v>
      </c>
      <c r="C113" s="146" t="s">
        <v>852</v>
      </c>
      <c r="D113" s="145" t="s">
        <v>4574</v>
      </c>
      <c r="E113" s="147" t="s">
        <v>28</v>
      </c>
      <c r="F113" s="148" t="s">
        <v>853</v>
      </c>
      <c r="G113" s="148" t="s">
        <v>4575</v>
      </c>
      <c r="H113" s="145">
        <f>IFERROR(VLOOKUP(B113,'📊 Problem Tracker'!$B$4:$F$1200,5,FALSE()),"")</f>
        <v>0</v>
      </c>
      <c r="I113" s="145"/>
      <c r="J113" s="145"/>
      <c r="K113" s="148"/>
      <c r="L113" s="278" t="s">
        <v>690</v>
      </c>
      <c r="M113" s="145" t="s">
        <v>24</v>
      </c>
      <c r="N113" s="145" t="s">
        <v>47</v>
      </c>
      <c r="O113" s="198" t="str">
        <f>HYPERLINK("https://leetcode.com/problems/rotate-array/","https://leetcode.com/problems/rotate-array/")</f>
        <v>https://leetcode.com/problems/rotate-array/</v>
      </c>
    </row>
    <row r="114" spans="1:15" ht="31.5" customHeight="1" x14ac:dyDescent="0.2">
      <c r="A114" s="7">
        <v>109</v>
      </c>
      <c r="B114" s="7">
        <v>198</v>
      </c>
      <c r="C114" s="13" t="s">
        <v>874</v>
      </c>
      <c r="D114" s="7" t="s">
        <v>4578</v>
      </c>
      <c r="E114" s="18" t="s">
        <v>28</v>
      </c>
      <c r="F114" s="3" t="s">
        <v>309</v>
      </c>
      <c r="G114" s="3" t="s">
        <v>1042</v>
      </c>
      <c r="H114" s="7">
        <f>IFERROR(VLOOKUP(B114,'📊 Problem Tracker'!$B$4:$F$1200,5,FALSE()),"")</f>
        <v>0</v>
      </c>
      <c r="I114" s="7"/>
      <c r="J114" s="7"/>
      <c r="K114" s="3"/>
      <c r="L114" s="228" t="s">
        <v>876</v>
      </c>
      <c r="M114" s="7" t="s">
        <v>24</v>
      </c>
      <c r="N114" s="7" t="s">
        <v>47</v>
      </c>
      <c r="O114" s="197" t="str">
        <f>HYPERLINK("https://leetcode.com/problems/house-robber/","https://leetcode.com/problems/house-robber/")</f>
        <v>https://leetcode.com/problems/house-robber/</v>
      </c>
    </row>
    <row r="115" spans="1:15" ht="31.5" customHeight="1" x14ac:dyDescent="0.2">
      <c r="A115" s="145">
        <v>110</v>
      </c>
      <c r="B115" s="145">
        <v>199</v>
      </c>
      <c r="C115" s="146" t="s">
        <v>878</v>
      </c>
      <c r="D115" s="145" t="s">
        <v>4744</v>
      </c>
      <c r="E115" s="147" t="s">
        <v>28</v>
      </c>
      <c r="F115" s="148" t="s">
        <v>879</v>
      </c>
      <c r="G115" s="148" t="s">
        <v>4270</v>
      </c>
      <c r="H115" s="145">
        <f>IFERROR(VLOOKUP(B115,'📊 Problem Tracker'!$B$4:$F$1200,5,FALSE()),"")</f>
        <v>0</v>
      </c>
      <c r="I115" s="145"/>
      <c r="J115" s="145"/>
      <c r="K115" s="148"/>
      <c r="L115" s="278" t="s">
        <v>571</v>
      </c>
      <c r="M115" s="145" t="s">
        <v>24</v>
      </c>
      <c r="N115" s="145" t="s">
        <v>24</v>
      </c>
      <c r="O115" s="198" t="str">
        <f>HYPERLINK("https://leetcode.com/problems/binary-tree-right-side-view/","https://leetcode.com/problems/binary-tree-right-side-view/")</f>
        <v>https://leetcode.com/problems/binary-tree-right-side-view/</v>
      </c>
    </row>
    <row r="116" spans="1:15" ht="31.5" customHeight="1" x14ac:dyDescent="0.2">
      <c r="A116" s="7">
        <v>111</v>
      </c>
      <c r="B116" s="7">
        <v>200</v>
      </c>
      <c r="C116" s="13" t="s">
        <v>882</v>
      </c>
      <c r="D116" s="7" t="s">
        <v>4558</v>
      </c>
      <c r="E116" s="18" t="s">
        <v>28</v>
      </c>
      <c r="F116" s="3" t="s">
        <v>4159</v>
      </c>
      <c r="G116" s="3" t="s">
        <v>4579</v>
      </c>
      <c r="H116" s="7">
        <f>IFERROR(VLOOKUP(B116,'📊 Problem Tracker'!$B$4:$F$1200,5,FALSE()),"")</f>
        <v>0</v>
      </c>
      <c r="I116" s="7"/>
      <c r="J116" s="7"/>
      <c r="K116" s="3"/>
      <c r="L116" s="228" t="s">
        <v>884</v>
      </c>
      <c r="M116" s="7" t="s">
        <v>81</v>
      </c>
      <c r="N116" s="7" t="s">
        <v>81</v>
      </c>
      <c r="O116" s="197" t="str">
        <f>HYPERLINK("https://leetcode.com/problems/number-of-islands/","https://leetcode.com/problems/number-of-islands/")</f>
        <v>https://leetcode.com/problems/number-of-islands/</v>
      </c>
    </row>
    <row r="117" spans="1:15" ht="31.5" customHeight="1" x14ac:dyDescent="0.2">
      <c r="A117" s="145">
        <v>112</v>
      </c>
      <c r="B117" s="145">
        <v>202</v>
      </c>
      <c r="C117" s="146" t="s">
        <v>886</v>
      </c>
      <c r="D117" s="145" t="s">
        <v>4521</v>
      </c>
      <c r="E117" s="150" t="s">
        <v>20</v>
      </c>
      <c r="F117" s="148" t="s">
        <v>887</v>
      </c>
      <c r="G117" s="148" t="s">
        <v>4034</v>
      </c>
      <c r="H117" s="145">
        <f>IFERROR(VLOOKUP(B117,'📊 Problem Tracker'!$B$4:$F$1200,5,FALSE()),"")</f>
        <v>0</v>
      </c>
      <c r="I117" s="145"/>
      <c r="J117" s="145"/>
      <c r="K117" s="148"/>
      <c r="L117" s="278" t="s">
        <v>889</v>
      </c>
      <c r="M117" s="145" t="s">
        <v>65</v>
      </c>
      <c r="N117" s="145" t="s">
        <v>47</v>
      </c>
      <c r="O117" s="198" t="str">
        <f>HYPERLINK("https://leetcode.com/problems/happy-number/","https://leetcode.com/problems/happy-number/")</f>
        <v>https://leetcode.com/problems/happy-number/</v>
      </c>
    </row>
    <row r="118" spans="1:15" ht="31.5" customHeight="1" x14ac:dyDescent="0.2">
      <c r="A118" s="7">
        <v>113</v>
      </c>
      <c r="B118" s="7">
        <v>204</v>
      </c>
      <c r="C118" s="13" t="s">
        <v>893</v>
      </c>
      <c r="D118" s="7" t="s">
        <v>4580</v>
      </c>
      <c r="E118" s="18" t="s">
        <v>28</v>
      </c>
      <c r="F118" s="3" t="s">
        <v>62</v>
      </c>
      <c r="G118" s="3" t="s">
        <v>4746</v>
      </c>
      <c r="H118" s="7">
        <f>IFERROR(VLOOKUP(B118,'📊 Problem Tracker'!$B$4:$F$1200,5,FALSE()),"")</f>
        <v>0</v>
      </c>
      <c r="I118" s="7"/>
      <c r="J118" s="7"/>
      <c r="K118" s="3"/>
      <c r="L118" s="228" t="s">
        <v>230</v>
      </c>
      <c r="M118" s="7" t="s">
        <v>894</v>
      </c>
      <c r="N118" s="7" t="s">
        <v>24</v>
      </c>
      <c r="O118" s="197" t="str">
        <f>HYPERLINK("https://leetcode.com/problems/count-primes/","https://leetcode.com/problems/count-primes/")</f>
        <v>https://leetcode.com/problems/count-primes/</v>
      </c>
    </row>
    <row r="119" spans="1:15" ht="31.5" customHeight="1" x14ac:dyDescent="0.2">
      <c r="A119" s="145">
        <v>114</v>
      </c>
      <c r="B119" s="145">
        <v>205</v>
      </c>
      <c r="C119" s="146" t="s">
        <v>896</v>
      </c>
      <c r="D119" s="145" t="s">
        <v>4433</v>
      </c>
      <c r="E119" s="150" t="s">
        <v>20</v>
      </c>
      <c r="F119" s="148" t="s">
        <v>897</v>
      </c>
      <c r="G119" s="148" t="s">
        <v>4244</v>
      </c>
      <c r="H119" s="145">
        <f>IFERROR(VLOOKUP(B119,'📊 Problem Tracker'!$B$4:$F$1200,5,FALSE()),"")</f>
        <v>0</v>
      </c>
      <c r="I119" s="145"/>
      <c r="J119" s="145"/>
      <c r="K119" s="148"/>
      <c r="L119" s="278" t="s">
        <v>705</v>
      </c>
      <c r="M119" s="145" t="s">
        <v>24</v>
      </c>
      <c r="N119" s="145" t="s">
        <v>47</v>
      </c>
      <c r="O119" s="198" t="str">
        <f>HYPERLINK("https://leetcode.com/problems/isomorphic-strings/","https://leetcode.com/problems/isomorphic-strings/")</f>
        <v>https://leetcode.com/problems/isomorphic-strings/</v>
      </c>
    </row>
    <row r="120" spans="1:15" ht="31.5" customHeight="1" x14ac:dyDescent="0.2">
      <c r="A120" s="7">
        <v>115</v>
      </c>
      <c r="B120" s="7">
        <v>206</v>
      </c>
      <c r="C120" s="13" t="s">
        <v>899</v>
      </c>
      <c r="D120" s="7" t="s">
        <v>4582</v>
      </c>
      <c r="E120" s="21" t="s">
        <v>20</v>
      </c>
      <c r="F120" s="3" t="s">
        <v>127</v>
      </c>
      <c r="G120" s="3" t="s">
        <v>127</v>
      </c>
      <c r="H120" s="7">
        <f>IFERROR(VLOOKUP(B120,'📊 Problem Tracker'!$B$4:$F$1200,5,FALSE()),"")</f>
        <v>0</v>
      </c>
      <c r="I120" s="7"/>
      <c r="J120" s="7"/>
      <c r="K120" s="3"/>
      <c r="L120" s="228" t="s">
        <v>901</v>
      </c>
      <c r="M120" s="7" t="s">
        <v>24</v>
      </c>
      <c r="N120" s="7" t="s">
        <v>47</v>
      </c>
      <c r="O120" s="197" t="str">
        <f>HYPERLINK("https://leetcode.com/problems/reverse-linked-list/","https://leetcode.com/problems/reverse-linked-list/")</f>
        <v>https://leetcode.com/problems/reverse-linked-list/</v>
      </c>
    </row>
    <row r="121" spans="1:15" ht="31.5" customHeight="1" x14ac:dyDescent="0.2">
      <c r="A121" s="145">
        <v>116</v>
      </c>
      <c r="B121" s="145">
        <v>207</v>
      </c>
      <c r="C121" s="146" t="s">
        <v>903</v>
      </c>
      <c r="D121" s="145" t="s">
        <v>4583</v>
      </c>
      <c r="E121" s="147" t="s">
        <v>28</v>
      </c>
      <c r="F121" s="148" t="s">
        <v>4156</v>
      </c>
      <c r="G121" s="148" t="s">
        <v>4282</v>
      </c>
      <c r="H121" s="145">
        <f>IFERROR(VLOOKUP(B121,'📊 Problem Tracker'!$B$4:$F$1200,5,FALSE()),"")</f>
        <v>0</v>
      </c>
      <c r="I121" s="145"/>
      <c r="J121" s="145"/>
      <c r="K121" s="148"/>
      <c r="L121" s="278" t="s">
        <v>906</v>
      </c>
      <c r="M121" s="145" t="s">
        <v>648</v>
      </c>
      <c r="N121" s="145" t="s">
        <v>648</v>
      </c>
      <c r="O121" s="198" t="str">
        <f>HYPERLINK("https://leetcode.com/problems/course-schedule/","https://leetcode.com/problems/course-schedule/")</f>
        <v>https://leetcode.com/problems/course-schedule/</v>
      </c>
    </row>
    <row r="122" spans="1:15" ht="31.5" customHeight="1" x14ac:dyDescent="0.2">
      <c r="A122" s="7">
        <v>117</v>
      </c>
      <c r="B122" s="7">
        <v>208</v>
      </c>
      <c r="C122" s="13" t="s">
        <v>908</v>
      </c>
      <c r="D122" s="7" t="s">
        <v>4456</v>
      </c>
      <c r="E122" s="18" t="s">
        <v>28</v>
      </c>
      <c r="F122" s="3" t="s">
        <v>909</v>
      </c>
      <c r="G122" s="3" t="s">
        <v>925</v>
      </c>
      <c r="H122" s="7">
        <f>IFERROR(VLOOKUP(B122,'📊 Problem Tracker'!$B$4:$F$1200,5,FALSE()),"")</f>
        <v>0</v>
      </c>
      <c r="I122" s="7"/>
      <c r="J122" s="7"/>
      <c r="K122" s="3"/>
      <c r="L122" s="228" t="s">
        <v>911</v>
      </c>
      <c r="M122" s="7" t="s">
        <v>912</v>
      </c>
      <c r="N122" s="7" t="s">
        <v>913</v>
      </c>
      <c r="O122" s="197" t="str">
        <f>HYPERLINK("https://leetcode.com/problems/implement-trie-prefix-tree/","https://leetcode.com/problems/implement-trie-prefix-tree/")</f>
        <v>https://leetcode.com/problems/implement-trie-prefix-tree/</v>
      </c>
    </row>
    <row r="123" spans="1:15" ht="31.5" customHeight="1" x14ac:dyDescent="0.2">
      <c r="A123" s="145">
        <v>118</v>
      </c>
      <c r="B123" s="145">
        <v>210</v>
      </c>
      <c r="C123" s="146" t="s">
        <v>921</v>
      </c>
      <c r="D123" s="145" t="s">
        <v>4585</v>
      </c>
      <c r="E123" s="147" t="s">
        <v>28</v>
      </c>
      <c r="F123" s="148" t="s">
        <v>1167</v>
      </c>
      <c r="G123" s="148" t="s">
        <v>4282</v>
      </c>
      <c r="H123" s="145">
        <f>IFERROR(VLOOKUP(B123,'📊 Problem Tracker'!$B$4:$F$1200,5,FALSE()),"")</f>
        <v>0</v>
      </c>
      <c r="I123" s="145"/>
      <c r="J123" s="145"/>
      <c r="K123" s="148"/>
      <c r="L123" s="278" t="s">
        <v>619</v>
      </c>
      <c r="M123" s="145" t="s">
        <v>648</v>
      </c>
      <c r="N123" s="145" t="s">
        <v>648</v>
      </c>
      <c r="O123" s="198" t="str">
        <f>HYPERLINK("https://leetcode.com/problems/course-schedule-ii/","https://leetcode.com/problems/course-schedule-ii/")</f>
        <v>https://leetcode.com/problems/course-schedule-ii/</v>
      </c>
    </row>
    <row r="124" spans="1:15" ht="31.5" customHeight="1" x14ac:dyDescent="0.2">
      <c r="A124" s="7">
        <v>119</v>
      </c>
      <c r="B124" s="7">
        <v>211</v>
      </c>
      <c r="C124" s="13" t="s">
        <v>923</v>
      </c>
      <c r="D124" s="7" t="s">
        <v>4447</v>
      </c>
      <c r="E124" s="18" t="s">
        <v>28</v>
      </c>
      <c r="F124" s="3" t="s">
        <v>924</v>
      </c>
      <c r="G124" s="3" t="s">
        <v>4747</v>
      </c>
      <c r="H124" s="7">
        <f>IFERROR(VLOOKUP(B124,'📊 Problem Tracker'!$B$4:$F$1200,5,FALSE()),"")</f>
        <v>0</v>
      </c>
      <c r="I124" s="7"/>
      <c r="J124" s="7"/>
      <c r="K124" s="3"/>
      <c r="L124" s="228" t="s">
        <v>927</v>
      </c>
      <c r="M124" s="7" t="s">
        <v>928</v>
      </c>
      <c r="N124" s="7" t="s">
        <v>913</v>
      </c>
      <c r="O124" s="197" t="str">
        <f>HYPERLINK("https://leetcode.com/problems/design-add-and-search-words-data-structure/","https://leetcode.com/problems/design-add-and-search-words-data-structure/")</f>
        <v>https://leetcode.com/problems/design-add-and-search-words-data-structure/</v>
      </c>
    </row>
    <row r="125" spans="1:15" ht="31.5" customHeight="1" x14ac:dyDescent="0.2">
      <c r="A125" s="145">
        <v>120</v>
      </c>
      <c r="B125" s="145">
        <v>212</v>
      </c>
      <c r="C125" s="146" t="s">
        <v>930</v>
      </c>
      <c r="D125" s="145" t="s">
        <v>4586</v>
      </c>
      <c r="E125" s="149" t="s">
        <v>42</v>
      </c>
      <c r="F125" s="148" t="s">
        <v>4227</v>
      </c>
      <c r="G125" s="148" t="s">
        <v>4587</v>
      </c>
      <c r="H125" s="145">
        <f>IFERROR(VLOOKUP(B125,'📊 Problem Tracker'!$B$4:$F$1200,5,FALSE()),"")</f>
        <v>0</v>
      </c>
      <c r="I125" s="145"/>
      <c r="J125" s="145"/>
      <c r="K125" s="148"/>
      <c r="L125" s="278" t="s">
        <v>302</v>
      </c>
      <c r="M125" s="145" t="s">
        <v>446</v>
      </c>
      <c r="N125" s="145" t="s">
        <v>913</v>
      </c>
      <c r="O125" s="198" t="str">
        <f>HYPERLINK("https://leetcode.com/problems/word-search-ii/","https://leetcode.com/problems/word-search-ii/")</f>
        <v>https://leetcode.com/problems/word-search-ii/</v>
      </c>
    </row>
    <row r="126" spans="1:15" ht="31.5" customHeight="1" x14ac:dyDescent="0.2">
      <c r="A126" s="7">
        <v>121</v>
      </c>
      <c r="B126" s="7">
        <v>213</v>
      </c>
      <c r="C126" s="13" t="s">
        <v>934</v>
      </c>
      <c r="D126" s="7" t="s">
        <v>4574</v>
      </c>
      <c r="E126" s="18" t="s">
        <v>28</v>
      </c>
      <c r="F126" s="3" t="s">
        <v>309</v>
      </c>
      <c r="G126" s="3" t="s">
        <v>1042</v>
      </c>
      <c r="H126" s="7">
        <f>IFERROR(VLOOKUP(B126,'📊 Problem Tracker'!$B$4:$F$1200,5,FALSE()),"")</f>
        <v>0</v>
      </c>
      <c r="I126" s="7"/>
      <c r="J126" s="7"/>
      <c r="K126" s="3"/>
      <c r="L126" s="228" t="s">
        <v>508</v>
      </c>
      <c r="M126" s="7" t="s">
        <v>24</v>
      </c>
      <c r="N126" s="7" t="s">
        <v>24</v>
      </c>
      <c r="O126" s="197" t="str">
        <f>HYPERLINK("https://leetcode.com/problems/house-robber-ii/","https://leetcode.com/problems/house-robber-ii/")</f>
        <v>https://leetcode.com/problems/house-robber-ii/</v>
      </c>
    </row>
    <row r="127" spans="1:15" ht="31.5" customHeight="1" x14ac:dyDescent="0.2">
      <c r="A127" s="145">
        <v>122</v>
      </c>
      <c r="B127" s="145">
        <v>214</v>
      </c>
      <c r="C127" s="146" t="s">
        <v>937</v>
      </c>
      <c r="D127" s="145" t="s">
        <v>4588</v>
      </c>
      <c r="E127" s="149" t="s">
        <v>42</v>
      </c>
      <c r="F127" s="148" t="s">
        <v>938</v>
      </c>
      <c r="G127" s="148" t="s">
        <v>4589</v>
      </c>
      <c r="H127" s="145">
        <f>IFERROR(VLOOKUP(B127,'📊 Problem Tracker'!$B$4:$F$1200,5,FALSE()),"")</f>
        <v>0</v>
      </c>
      <c r="I127" s="145"/>
      <c r="J127" s="145"/>
      <c r="K127" s="148"/>
      <c r="L127" s="278" t="s">
        <v>750</v>
      </c>
      <c r="M127" s="145" t="s">
        <v>24</v>
      </c>
      <c r="N127" s="145" t="s">
        <v>24</v>
      </c>
      <c r="O127" s="198" t="str">
        <f>HYPERLINK("https://leetcode.com/problems/shortest-palindrome/","https://leetcode.com/problems/shortest-palindrome/")</f>
        <v>https://leetcode.com/problems/shortest-palindrome/</v>
      </c>
    </row>
    <row r="128" spans="1:15" ht="31.5" customHeight="1" x14ac:dyDescent="0.2">
      <c r="A128" s="7">
        <v>123</v>
      </c>
      <c r="B128" s="7">
        <v>215</v>
      </c>
      <c r="C128" s="13" t="s">
        <v>940</v>
      </c>
      <c r="D128" s="7" t="s">
        <v>4590</v>
      </c>
      <c r="E128" s="18" t="s">
        <v>28</v>
      </c>
      <c r="F128" s="3" t="s">
        <v>4286</v>
      </c>
      <c r="G128" s="3" t="s">
        <v>4591</v>
      </c>
      <c r="H128" s="7">
        <f>IFERROR(VLOOKUP(B128,'📊 Problem Tracker'!$B$4:$F$1200,5,FALSE()),"")</f>
        <v>0</v>
      </c>
      <c r="I128" s="7"/>
      <c r="J128" s="7"/>
      <c r="K128" s="3"/>
      <c r="L128" s="228" t="s">
        <v>943</v>
      </c>
      <c r="M128" s="7" t="s">
        <v>944</v>
      </c>
      <c r="N128" s="7" t="s">
        <v>945</v>
      </c>
      <c r="O128" s="197" t="str">
        <f>HYPERLINK("https://leetcode.com/problems/kth-largest-element-in-an-array/","https://leetcode.com/problems/kth-largest-element-in-an-array/")</f>
        <v>https://leetcode.com/problems/kth-largest-element-in-an-array/</v>
      </c>
    </row>
    <row r="129" spans="1:15" ht="31.5" customHeight="1" x14ac:dyDescent="0.2">
      <c r="A129" s="145">
        <v>124</v>
      </c>
      <c r="B129" s="145">
        <v>217</v>
      </c>
      <c r="C129" s="146" t="s">
        <v>951</v>
      </c>
      <c r="D129" s="145" t="s">
        <v>4592</v>
      </c>
      <c r="E129" s="150" t="s">
        <v>20</v>
      </c>
      <c r="F129" s="148" t="s">
        <v>19</v>
      </c>
      <c r="G129" s="148" t="s">
        <v>4244</v>
      </c>
      <c r="H129" s="145">
        <f>IFERROR(VLOOKUP(B129,'📊 Problem Tracker'!$B$4:$F$1200,5,FALSE()),"")</f>
        <v>0</v>
      </c>
      <c r="I129" s="145"/>
      <c r="J129" s="145"/>
      <c r="K129" s="148"/>
      <c r="L129" s="278" t="s">
        <v>954</v>
      </c>
      <c r="M129" s="145" t="s">
        <v>24</v>
      </c>
      <c r="N129" s="145" t="s">
        <v>24</v>
      </c>
      <c r="O129" s="198" t="str">
        <f>HYPERLINK("https://leetcode.com/problems/contains-duplicate/","https://leetcode.com/problems/contains-duplicate/")</f>
        <v>https://leetcode.com/problems/contains-duplicate/</v>
      </c>
    </row>
    <row r="130" spans="1:15" ht="31.5" customHeight="1" x14ac:dyDescent="0.2">
      <c r="A130" s="7">
        <v>125</v>
      </c>
      <c r="B130" s="7">
        <v>219</v>
      </c>
      <c r="C130" s="13" t="s">
        <v>962</v>
      </c>
      <c r="D130" s="7" t="s">
        <v>4577</v>
      </c>
      <c r="E130" s="21" t="s">
        <v>20</v>
      </c>
      <c r="F130" s="3" t="s">
        <v>3181</v>
      </c>
      <c r="G130" s="3" t="s">
        <v>4594</v>
      </c>
      <c r="H130" s="7">
        <f>IFERROR(VLOOKUP(B130,'📊 Problem Tracker'!$B$4:$F$1200,5,FALSE()),"")</f>
        <v>0</v>
      </c>
      <c r="I130" s="7"/>
      <c r="J130" s="7"/>
      <c r="K130" s="3"/>
      <c r="L130" s="228" t="s">
        <v>919</v>
      </c>
      <c r="M130" s="7" t="s">
        <v>24</v>
      </c>
      <c r="N130" s="7" t="s">
        <v>153</v>
      </c>
      <c r="O130" s="197" t="str">
        <f>HYPERLINK("https://leetcode.com/problems/contains-duplicate-ii/","https://leetcode.com/problems/contains-duplicate-ii/")</f>
        <v>https://leetcode.com/problems/contains-duplicate-ii/</v>
      </c>
    </row>
    <row r="131" spans="1:15" ht="31.5" customHeight="1" x14ac:dyDescent="0.2">
      <c r="A131" s="145">
        <v>126</v>
      </c>
      <c r="B131" s="145">
        <v>221</v>
      </c>
      <c r="C131" s="146" t="s">
        <v>964</v>
      </c>
      <c r="D131" s="145" t="s">
        <v>4595</v>
      </c>
      <c r="E131" s="147" t="s">
        <v>28</v>
      </c>
      <c r="F131" s="148" t="s">
        <v>360</v>
      </c>
      <c r="G131" s="148" t="s">
        <v>1042</v>
      </c>
      <c r="H131" s="145">
        <f>IFERROR(VLOOKUP(B131,'📊 Problem Tracker'!$B$4:$F$1200,5,FALSE()),"")</f>
        <v>0</v>
      </c>
      <c r="I131" s="145"/>
      <c r="J131" s="145"/>
      <c r="K131" s="148"/>
      <c r="L131" s="278" t="s">
        <v>508</v>
      </c>
      <c r="M131" s="145" t="s">
        <v>81</v>
      </c>
      <c r="N131" s="145" t="s">
        <v>24</v>
      </c>
      <c r="O131" s="198" t="str">
        <f>HYPERLINK("https://leetcode.com/problems/maximal-square/","https://leetcode.com/problems/maximal-square/")</f>
        <v>https://leetcode.com/problems/maximal-square/</v>
      </c>
    </row>
    <row r="132" spans="1:15" ht="31.5" customHeight="1" x14ac:dyDescent="0.2">
      <c r="A132" s="7">
        <v>127</v>
      </c>
      <c r="B132" s="7">
        <v>224</v>
      </c>
      <c r="C132" s="13" t="s">
        <v>970</v>
      </c>
      <c r="D132" s="7" t="s">
        <v>4596</v>
      </c>
      <c r="E132" s="20" t="s">
        <v>42</v>
      </c>
      <c r="F132" s="3" t="s">
        <v>971</v>
      </c>
      <c r="G132" s="3" t="s">
        <v>540</v>
      </c>
      <c r="H132" s="7">
        <f>IFERROR(VLOOKUP(B132,'📊 Problem Tracker'!$B$4:$F$1200,5,FALSE()),"")</f>
        <v>0</v>
      </c>
      <c r="I132" s="7"/>
      <c r="J132" s="7"/>
      <c r="K132" s="3"/>
      <c r="L132" s="228" t="s">
        <v>542</v>
      </c>
      <c r="M132" s="7" t="s">
        <v>24</v>
      </c>
      <c r="N132" s="7" t="s">
        <v>24</v>
      </c>
      <c r="O132" s="197" t="str">
        <f>HYPERLINK("https://leetcode.com/problems/basic-calculator/","https://leetcode.com/problems/basic-calculator/")</f>
        <v>https://leetcode.com/problems/basic-calculator/</v>
      </c>
    </row>
    <row r="133" spans="1:15" ht="31.5" customHeight="1" x14ac:dyDescent="0.2">
      <c r="A133" s="145">
        <v>128</v>
      </c>
      <c r="B133" s="145">
        <v>226</v>
      </c>
      <c r="C133" s="146" t="s">
        <v>976</v>
      </c>
      <c r="D133" s="145" t="s">
        <v>4481</v>
      </c>
      <c r="E133" s="150" t="s">
        <v>20</v>
      </c>
      <c r="F133" s="148" t="s">
        <v>500</v>
      </c>
      <c r="G133" s="148" t="s">
        <v>4256</v>
      </c>
      <c r="H133" s="145">
        <f>IFERROR(VLOOKUP(B133,'📊 Problem Tracker'!$B$4:$F$1200,5,FALSE()),"")</f>
        <v>0</v>
      </c>
      <c r="I133" s="145"/>
      <c r="J133" s="145"/>
      <c r="K133" s="148"/>
      <c r="L133" s="278" t="s">
        <v>978</v>
      </c>
      <c r="M133" s="145" t="s">
        <v>24</v>
      </c>
      <c r="N133" s="145" t="s">
        <v>503</v>
      </c>
      <c r="O133" s="198" t="str">
        <f>HYPERLINK("https://leetcode.com/problems/invert-binary-tree/","https://leetcode.com/problems/invert-binary-tree/")</f>
        <v>https://leetcode.com/problems/invert-binary-tree/</v>
      </c>
    </row>
    <row r="134" spans="1:15" ht="31.5" customHeight="1" x14ac:dyDescent="0.2">
      <c r="A134" s="7">
        <v>129</v>
      </c>
      <c r="B134" s="7">
        <v>227</v>
      </c>
      <c r="C134" s="13" t="s">
        <v>980</v>
      </c>
      <c r="D134" s="7" t="s">
        <v>4596</v>
      </c>
      <c r="E134" s="18" t="s">
        <v>28</v>
      </c>
      <c r="F134" s="3" t="s">
        <v>971</v>
      </c>
      <c r="G134" s="3" t="s">
        <v>540</v>
      </c>
      <c r="H134" s="7">
        <f>IFERROR(VLOOKUP(B134,'📊 Problem Tracker'!$B$4:$F$1200,5,FALSE()),"")</f>
        <v>0</v>
      </c>
      <c r="I134" s="7"/>
      <c r="J134" s="7"/>
      <c r="K134" s="3"/>
      <c r="L134" s="228" t="s">
        <v>542</v>
      </c>
      <c r="M134" s="7" t="s">
        <v>24</v>
      </c>
      <c r="N134" s="7" t="s">
        <v>24</v>
      </c>
      <c r="O134" s="197" t="str">
        <f>HYPERLINK("https://leetcode.com/problems/basic-calculator-ii/","https://leetcode.com/problems/basic-calculator-ii/")</f>
        <v>https://leetcode.com/problems/basic-calculator-ii/</v>
      </c>
    </row>
    <row r="135" spans="1:15" ht="31.5" customHeight="1" x14ac:dyDescent="0.2">
      <c r="A135" s="7">
        <v>130</v>
      </c>
      <c r="B135" s="7">
        <v>231</v>
      </c>
      <c r="C135" s="13" t="s">
        <v>993</v>
      </c>
      <c r="D135" s="7" t="s">
        <v>4600</v>
      </c>
      <c r="E135" s="21" t="s">
        <v>20</v>
      </c>
      <c r="F135" s="3" t="s">
        <v>181</v>
      </c>
      <c r="G135" s="3" t="s">
        <v>666</v>
      </c>
      <c r="H135" s="7">
        <f>IFERROR(VLOOKUP(B136,'📊 Problem Tracker'!$B$4:$F$1200,5,FALSE()),"")</f>
        <v>0</v>
      </c>
      <c r="I135" s="7"/>
      <c r="J135" s="7"/>
      <c r="K135" s="3"/>
      <c r="L135" s="228" t="s">
        <v>230</v>
      </c>
      <c r="M135" s="7" t="s">
        <v>47</v>
      </c>
      <c r="N135" s="7" t="s">
        <v>47</v>
      </c>
      <c r="O135" s="197" t="str">
        <f>HYPERLINK("https://leetcode.com/problems/power-of-two/","https://leetcode.com/problems/power-of-two/")</f>
        <v>https://leetcode.com/problems/power-of-two/</v>
      </c>
    </row>
    <row r="136" spans="1:15" ht="31.5" customHeight="1" x14ac:dyDescent="0.2">
      <c r="A136" s="145">
        <v>131</v>
      </c>
      <c r="B136" s="145">
        <v>232</v>
      </c>
      <c r="C136" s="146" t="s">
        <v>995</v>
      </c>
      <c r="D136" s="145" t="s">
        <v>4601</v>
      </c>
      <c r="E136" s="150" t="s">
        <v>20</v>
      </c>
      <c r="F136" s="148" t="s">
        <v>974</v>
      </c>
      <c r="G136" s="148" t="s">
        <v>540</v>
      </c>
      <c r="H136" s="145">
        <f>IFERROR(VLOOKUP(B137,'📊 Problem Tracker'!$B$4:$F$1200,5,FALSE()),"")</f>
        <v>0</v>
      </c>
      <c r="I136" s="145"/>
      <c r="J136" s="145"/>
      <c r="K136" s="148"/>
      <c r="L136" s="278" t="s">
        <v>542</v>
      </c>
      <c r="M136" s="145" t="s">
        <v>996</v>
      </c>
      <c r="N136" s="145" t="s">
        <v>24</v>
      </c>
      <c r="O136" s="198" t="str">
        <f>HYPERLINK("https://leetcode.com/problems/implement-queue-using-stacks/","https://leetcode.com/problems/implement-queue-using-stacks/")</f>
        <v>https://leetcode.com/problems/implement-queue-using-stacks/</v>
      </c>
    </row>
    <row r="137" spans="1:15" ht="31.5" customHeight="1" x14ac:dyDescent="0.2">
      <c r="A137" s="7">
        <v>132</v>
      </c>
      <c r="B137" s="7">
        <v>234</v>
      </c>
      <c r="C137" s="13" t="s">
        <v>998</v>
      </c>
      <c r="D137" s="7" t="s">
        <v>4555</v>
      </c>
      <c r="E137" s="21" t="s">
        <v>20</v>
      </c>
      <c r="F137" s="3" t="s">
        <v>4290</v>
      </c>
      <c r="G137" s="3" t="s">
        <v>4034</v>
      </c>
      <c r="H137" s="7">
        <f>IFERROR(VLOOKUP(B138,'📊 Problem Tracker'!$B$4:$F$1200,5,FALSE()),"")</f>
        <v>0</v>
      </c>
      <c r="I137" s="7"/>
      <c r="J137" s="7"/>
      <c r="K137" s="3"/>
      <c r="L137" s="228" t="s">
        <v>1000</v>
      </c>
      <c r="M137" s="7" t="s">
        <v>24</v>
      </c>
      <c r="N137" s="7" t="s">
        <v>47</v>
      </c>
      <c r="O137" s="197" t="str">
        <f>HYPERLINK("https://leetcode.com/problems/palindrome-linked-list/","https://leetcode.com/problems/palindrome-linked-list/")</f>
        <v>https://leetcode.com/problems/palindrome-linked-list/</v>
      </c>
    </row>
    <row r="138" spans="1:15" ht="31.5" customHeight="1" x14ac:dyDescent="0.2">
      <c r="A138" s="145">
        <v>133</v>
      </c>
      <c r="B138" s="145">
        <v>235</v>
      </c>
      <c r="C138" s="146" t="s">
        <v>1002</v>
      </c>
      <c r="D138" s="145" t="s">
        <v>4602</v>
      </c>
      <c r="E138" s="147" t="s">
        <v>28</v>
      </c>
      <c r="F138" s="148" t="s">
        <v>518</v>
      </c>
      <c r="G138" s="148" t="s">
        <v>4520</v>
      </c>
      <c r="H138" s="145">
        <f>IFERROR(VLOOKUP(B139,'📊 Problem Tracker'!$B$4:$F$1200,5,FALSE()),"")</f>
        <v>0</v>
      </c>
      <c r="I138" s="145"/>
      <c r="J138" s="145"/>
      <c r="K138" s="148"/>
      <c r="L138" s="278" t="s">
        <v>513</v>
      </c>
      <c r="M138" s="145" t="s">
        <v>503</v>
      </c>
      <c r="N138" s="145" t="s">
        <v>47</v>
      </c>
      <c r="O138" s="198" t="str">
        <f>HYPERLINK("https://leetcode.com/problems/lowest-common-ancestor-of-a-binary-search-tree/","https://leetcode.com/problems/lowest-common-ancestor-of-a-binary-search-tree/")</f>
        <v>https://leetcode.com/problems/lowest-common-ancestor-of-a-binary-search-tree/</v>
      </c>
    </row>
    <row r="139" spans="1:15" ht="31.5" customHeight="1" x14ac:dyDescent="0.2">
      <c r="A139" s="7">
        <v>134</v>
      </c>
      <c r="B139" s="7">
        <v>236</v>
      </c>
      <c r="C139" s="13" t="s">
        <v>1004</v>
      </c>
      <c r="D139" s="7" t="s">
        <v>4603</v>
      </c>
      <c r="E139" s="18" t="s">
        <v>28</v>
      </c>
      <c r="F139" s="3" t="s">
        <v>500</v>
      </c>
      <c r="G139" s="3" t="s">
        <v>4256</v>
      </c>
      <c r="H139" s="7">
        <f>IFERROR(VLOOKUP(B140,'📊 Problem Tracker'!$B$4:$F$1200,5,FALSE()),"")</f>
        <v>0</v>
      </c>
      <c r="I139" s="7"/>
      <c r="J139" s="7"/>
      <c r="K139" s="3"/>
      <c r="L139" s="228" t="s">
        <v>571</v>
      </c>
      <c r="M139" s="7" t="s">
        <v>24</v>
      </c>
      <c r="N139" s="7" t="s">
        <v>503</v>
      </c>
      <c r="O139" s="197" t="str">
        <f>HYPERLINK("https://leetcode.com/problems/lowest-common-ancestor-of-a-binary-tree/","https://leetcode.com/problems/lowest-common-ancestor-of-a-binary-tree/")</f>
        <v>https://leetcode.com/problems/lowest-common-ancestor-of-a-binary-tree/</v>
      </c>
    </row>
    <row r="140" spans="1:15" ht="31.5" customHeight="1" x14ac:dyDescent="0.2">
      <c r="A140" s="145">
        <v>135</v>
      </c>
      <c r="B140" s="145">
        <v>237</v>
      </c>
      <c r="C140" s="146" t="s">
        <v>1006</v>
      </c>
      <c r="D140" s="145" t="s">
        <v>4604</v>
      </c>
      <c r="E140" s="147" t="s">
        <v>28</v>
      </c>
      <c r="F140" s="148" t="s">
        <v>127</v>
      </c>
      <c r="G140" s="148" t="s">
        <v>127</v>
      </c>
      <c r="H140" s="145">
        <f>IFERROR(VLOOKUP(B141,'📊 Problem Tracker'!$B$4:$F$1200,5,FALSE()),"")</f>
        <v>0</v>
      </c>
      <c r="I140" s="145"/>
      <c r="J140" s="145"/>
      <c r="K140" s="148"/>
      <c r="L140" s="278" t="s">
        <v>461</v>
      </c>
      <c r="M140" s="145" t="s">
        <v>47</v>
      </c>
      <c r="N140" s="145" t="s">
        <v>47</v>
      </c>
      <c r="O140" s="198" t="str">
        <f>HYPERLINK("https://leetcode.com/problems/delete-node-in-a-linked-list/","https://leetcode.com/problems/delete-node-in-a-linked-list/")</f>
        <v>https://leetcode.com/problems/delete-node-in-a-linked-list/</v>
      </c>
    </row>
    <row r="141" spans="1:15" ht="31.5" customHeight="1" x14ac:dyDescent="0.2">
      <c r="A141" s="7">
        <v>136</v>
      </c>
      <c r="B141" s="7">
        <v>238</v>
      </c>
      <c r="C141" s="13" t="s">
        <v>1008</v>
      </c>
      <c r="D141" s="7" t="s">
        <v>4590</v>
      </c>
      <c r="E141" s="18" t="s">
        <v>28</v>
      </c>
      <c r="F141" s="3" t="s">
        <v>1009</v>
      </c>
      <c r="G141" s="3" t="s">
        <v>4316</v>
      </c>
      <c r="H141" s="7">
        <f>IFERROR(VLOOKUP(B142,'📊 Problem Tracker'!$B$4:$F$1200,5,FALSE()),"")</f>
        <v>0</v>
      </c>
      <c r="I141" s="7"/>
      <c r="J141" s="7"/>
      <c r="K141" s="3"/>
      <c r="L141" s="228" t="s">
        <v>1011</v>
      </c>
      <c r="M141" s="7" t="s">
        <v>24</v>
      </c>
      <c r="N141" s="7" t="s">
        <v>1012</v>
      </c>
      <c r="O141" s="197" t="str">
        <f>HYPERLINK("https://leetcode.com/problems/product-of-array-except-self/","https://leetcode.com/problems/product-of-array-except-self/")</f>
        <v>https://leetcode.com/problems/product-of-array-except-self/</v>
      </c>
    </row>
    <row r="142" spans="1:15" ht="31.5" customHeight="1" x14ac:dyDescent="0.2">
      <c r="A142" s="145">
        <v>137</v>
      </c>
      <c r="B142" s="145">
        <v>239</v>
      </c>
      <c r="C142" s="146" t="s">
        <v>1014</v>
      </c>
      <c r="D142" s="145" t="s">
        <v>4605</v>
      </c>
      <c r="E142" s="149" t="s">
        <v>42</v>
      </c>
      <c r="F142" s="148" t="s">
        <v>1015</v>
      </c>
      <c r="G142" s="148" t="s">
        <v>1016</v>
      </c>
      <c r="H142" s="145">
        <f>IFERROR(VLOOKUP(B143,'📊 Problem Tracker'!$B$4:$F$1200,5,FALSE()),"")</f>
        <v>0</v>
      </c>
      <c r="I142" s="145"/>
      <c r="J142" s="145"/>
      <c r="K142" s="148"/>
      <c r="L142" s="278" t="s">
        <v>1017</v>
      </c>
      <c r="M142" s="145" t="s">
        <v>24</v>
      </c>
      <c r="N142" s="145" t="s">
        <v>153</v>
      </c>
      <c r="O142" s="198" t="str">
        <f>HYPERLINK("https://leetcode.com/problems/sliding-window-maximum/","https://leetcode.com/problems/sliding-window-maximum/")</f>
        <v>https://leetcode.com/problems/sliding-window-maximum/</v>
      </c>
    </row>
    <row r="143" spans="1:15" ht="31.5" customHeight="1" x14ac:dyDescent="0.2">
      <c r="A143" s="7">
        <v>138</v>
      </c>
      <c r="B143" s="7">
        <v>240</v>
      </c>
      <c r="C143" s="13" t="s">
        <v>1019</v>
      </c>
      <c r="D143" s="7" t="s">
        <v>4606</v>
      </c>
      <c r="E143" s="18" t="s">
        <v>28</v>
      </c>
      <c r="F143" s="3" t="s">
        <v>416</v>
      </c>
      <c r="G143" s="3" t="s">
        <v>512</v>
      </c>
      <c r="H143" s="7">
        <f>IFERROR(VLOOKUP(B144,'📊 Problem Tracker'!$B$4:$F$1200,5,FALSE()),"")</f>
        <v>0</v>
      </c>
      <c r="I143" s="7"/>
      <c r="J143" s="7"/>
      <c r="K143" s="3"/>
      <c r="L143" s="228" t="s">
        <v>513</v>
      </c>
      <c r="M143" s="7" t="s">
        <v>259</v>
      </c>
      <c r="N143" s="7" t="s">
        <v>47</v>
      </c>
      <c r="O143" s="197" t="str">
        <f>HYPERLINK("https://leetcode.com/problems/search-a-2d-matrix-ii/","https://leetcode.com/problems/search-a-2d-matrix-ii/")</f>
        <v>https://leetcode.com/problems/search-a-2d-matrix-ii/</v>
      </c>
    </row>
    <row r="144" spans="1:15" ht="31.5" customHeight="1" x14ac:dyDescent="0.2">
      <c r="A144" s="145">
        <v>139</v>
      </c>
      <c r="B144" s="145">
        <v>242</v>
      </c>
      <c r="C144" s="146" t="s">
        <v>1022</v>
      </c>
      <c r="D144" s="145" t="s">
        <v>4607</v>
      </c>
      <c r="E144" s="150" t="s">
        <v>20</v>
      </c>
      <c r="F144" s="148" t="s">
        <v>897</v>
      </c>
      <c r="G144" s="148" t="s">
        <v>4244</v>
      </c>
      <c r="H144" s="145">
        <f>IFERROR(VLOOKUP(B145,'📊 Problem Tracker'!$B$4:$F$1200,5,FALSE()),"")</f>
        <v>0</v>
      </c>
      <c r="I144" s="145"/>
      <c r="J144" s="145"/>
      <c r="K144" s="148"/>
      <c r="L144" s="278" t="s">
        <v>1024</v>
      </c>
      <c r="M144" s="145" t="s">
        <v>24</v>
      </c>
      <c r="N144" s="145" t="s">
        <v>47</v>
      </c>
      <c r="O144" s="198" t="str">
        <f>HYPERLINK("https://leetcode.com/problems/valid-anagram/","https://leetcode.com/problems/valid-anagram/")</f>
        <v>https://leetcode.com/problems/valid-anagram/</v>
      </c>
    </row>
    <row r="145" spans="1:15" ht="31.5" customHeight="1" x14ac:dyDescent="0.2">
      <c r="A145" s="7">
        <v>140</v>
      </c>
      <c r="B145" s="7">
        <v>253</v>
      </c>
      <c r="C145" s="13" t="s">
        <v>1036</v>
      </c>
      <c r="D145" s="7" t="s">
        <v>4609</v>
      </c>
      <c r="E145" s="18" t="s">
        <v>28</v>
      </c>
      <c r="F145" s="3" t="s">
        <v>4174</v>
      </c>
      <c r="G145" s="3" t="s">
        <v>4353</v>
      </c>
      <c r="H145" s="7">
        <f>IFERROR(VLOOKUP(B146,'📊 Problem Tracker'!$B$4:$F$1200,5,FALSE()),"")</f>
        <v>0</v>
      </c>
      <c r="I145" s="7"/>
      <c r="J145" s="7"/>
      <c r="K145" s="3"/>
      <c r="L145" s="228" t="s">
        <v>959</v>
      </c>
      <c r="M145" s="7" t="s">
        <v>960</v>
      </c>
      <c r="N145" s="7" t="s">
        <v>153</v>
      </c>
      <c r="O145" s="197" t="str">
        <f>HYPERLINK("https://leetcode.com/problems/meeting-rooms-ii/","https://leetcode.com/problems/meeting-rooms-ii/")</f>
        <v>https://leetcode.com/problems/meeting-rooms-ii/</v>
      </c>
    </row>
    <row r="146" spans="1:15" ht="31.5" customHeight="1" x14ac:dyDescent="0.2">
      <c r="A146" s="145">
        <v>141</v>
      </c>
      <c r="B146" s="145">
        <v>268</v>
      </c>
      <c r="C146" s="146" t="s">
        <v>1057</v>
      </c>
      <c r="D146" s="145" t="s">
        <v>4612</v>
      </c>
      <c r="E146" s="150" t="s">
        <v>20</v>
      </c>
      <c r="F146" s="148" t="s">
        <v>1058</v>
      </c>
      <c r="G146" s="148" t="s">
        <v>666</v>
      </c>
      <c r="H146" s="145">
        <f>IFERROR(VLOOKUP(B147,'📊 Problem Tracker'!$B$4:$F$1200,5,FALSE()),"")</f>
        <v>0</v>
      </c>
      <c r="I146" s="145"/>
      <c r="J146" s="145"/>
      <c r="K146" s="148"/>
      <c r="L146" s="278" t="s">
        <v>1061</v>
      </c>
      <c r="M146" s="145" t="s">
        <v>24</v>
      </c>
      <c r="N146" s="145" t="s">
        <v>47</v>
      </c>
      <c r="O146" s="198" t="str">
        <f>HYPERLINK("https://leetcode.com/problems/missing-number/","https://leetcode.com/problems/missing-number/")</f>
        <v>https://leetcode.com/problems/missing-number/</v>
      </c>
    </row>
    <row r="147" spans="1:15" ht="31.5" customHeight="1" x14ac:dyDescent="0.2">
      <c r="A147" s="7">
        <v>142</v>
      </c>
      <c r="B147" s="7">
        <v>273</v>
      </c>
      <c r="C147" s="13" t="s">
        <v>1072</v>
      </c>
      <c r="D147" s="7" t="s">
        <v>4751</v>
      </c>
      <c r="E147" s="20" t="s">
        <v>42</v>
      </c>
      <c r="F147" s="3" t="s">
        <v>56</v>
      </c>
      <c r="G147" s="3" t="s">
        <v>4655</v>
      </c>
      <c r="H147" s="7">
        <f>IFERROR(VLOOKUP(B148,'📊 Problem Tracker'!$B$4:$F$1200,5,FALSE()),"")</f>
        <v>0</v>
      </c>
      <c r="I147" s="7"/>
      <c r="J147" s="7"/>
      <c r="K147" s="3"/>
      <c r="L147" s="228" t="s">
        <v>230</v>
      </c>
      <c r="M147" s="7" t="s">
        <v>24</v>
      </c>
      <c r="N147" s="7" t="s">
        <v>24</v>
      </c>
      <c r="O147" s="197" t="str">
        <f>HYPERLINK("https://leetcode.com/problems/integer-to-english-words/","https://leetcode.com/problems/integer-to-english-words/")</f>
        <v>https://leetcode.com/problems/integer-to-english-words/</v>
      </c>
    </row>
    <row r="148" spans="1:15" ht="31.5" customHeight="1" x14ac:dyDescent="0.2">
      <c r="A148" s="145">
        <v>143</v>
      </c>
      <c r="B148" s="145">
        <v>283</v>
      </c>
      <c r="C148" s="146" t="s">
        <v>1093</v>
      </c>
      <c r="D148" s="145" t="s">
        <v>4616</v>
      </c>
      <c r="E148" s="150" t="s">
        <v>20</v>
      </c>
      <c r="F148" s="148" t="s">
        <v>84</v>
      </c>
      <c r="G148" s="148" t="s">
        <v>689</v>
      </c>
      <c r="H148" s="145">
        <f>IFERROR(VLOOKUP(B149,'📊 Problem Tracker'!$B$4:$F$1200,5,FALSE()),"")</f>
        <v>0</v>
      </c>
      <c r="I148" s="145"/>
      <c r="J148" s="145"/>
      <c r="K148" s="148"/>
      <c r="L148" s="278" t="s">
        <v>1095</v>
      </c>
      <c r="M148" s="145" t="s">
        <v>24</v>
      </c>
      <c r="N148" s="145" t="s">
        <v>1096</v>
      </c>
      <c r="O148" s="198" t="str">
        <f>HYPERLINK("https://leetcode.com/problems/move-zeroes/","https://leetcode.com/problems/move-zeroes/")</f>
        <v>https://leetcode.com/problems/move-zeroes/</v>
      </c>
    </row>
    <row r="149" spans="1:15" ht="31.5" customHeight="1" x14ac:dyDescent="0.2">
      <c r="A149" s="7">
        <v>144</v>
      </c>
      <c r="B149" s="7">
        <v>287</v>
      </c>
      <c r="C149" s="13" t="s">
        <v>1109</v>
      </c>
      <c r="D149" s="7" t="s">
        <v>4592</v>
      </c>
      <c r="E149" s="18" t="s">
        <v>28</v>
      </c>
      <c r="F149" s="3" t="s">
        <v>1110</v>
      </c>
      <c r="G149" s="3" t="s">
        <v>4034</v>
      </c>
      <c r="H149" s="7">
        <f>IFERROR(VLOOKUP(B150,'📊 Problem Tracker'!$B$4:$F$1200,5,FALSE()),"")</f>
        <v>0</v>
      </c>
      <c r="I149" s="7"/>
      <c r="J149" s="7"/>
      <c r="K149" s="3"/>
      <c r="L149" s="228" t="s">
        <v>1112</v>
      </c>
      <c r="M149" s="7" t="s">
        <v>24</v>
      </c>
      <c r="N149" s="7" t="s">
        <v>47</v>
      </c>
      <c r="O149" s="197" t="str">
        <f>HYPERLINK("https://leetcode.com/problems/find-the-duplicate-number/","https://leetcode.com/problems/find-the-duplicate-number/")</f>
        <v>https://leetcode.com/problems/find-the-duplicate-number/</v>
      </c>
    </row>
    <row r="150" spans="1:15" ht="31.5" customHeight="1" x14ac:dyDescent="0.2">
      <c r="A150" s="145">
        <v>145</v>
      </c>
      <c r="B150" s="145">
        <v>295</v>
      </c>
      <c r="C150" s="146" t="s">
        <v>1120</v>
      </c>
      <c r="D150" s="145" t="s">
        <v>4619</v>
      </c>
      <c r="E150" s="149" t="s">
        <v>42</v>
      </c>
      <c r="F150" s="148" t="s">
        <v>4233</v>
      </c>
      <c r="G150" s="148" t="s">
        <v>4297</v>
      </c>
      <c r="H150" s="145">
        <f>IFERROR(VLOOKUP(B151,'📊 Problem Tracker'!$B$4:$F$1200,5,FALSE()),"")</f>
        <v>0</v>
      </c>
      <c r="I150" s="145"/>
      <c r="J150" s="145"/>
      <c r="K150" s="148"/>
      <c r="L150" s="278" t="s">
        <v>1123</v>
      </c>
      <c r="M150" s="145" t="s">
        <v>1124</v>
      </c>
      <c r="N150" s="145" t="s">
        <v>24</v>
      </c>
      <c r="O150" s="198" t="str">
        <f>HYPERLINK("https://leetcode.com/problems/find-median-from-data-stream/","https://leetcode.com/problems/find-median-from-data-stream/")</f>
        <v>https://leetcode.com/problems/find-median-from-data-stream/</v>
      </c>
    </row>
    <row r="151" spans="1:15" ht="31.5" customHeight="1" x14ac:dyDescent="0.2">
      <c r="A151" s="7">
        <v>146</v>
      </c>
      <c r="B151" s="7">
        <v>297</v>
      </c>
      <c r="C151" s="13" t="s">
        <v>1126</v>
      </c>
      <c r="D151" s="7" t="s">
        <v>4620</v>
      </c>
      <c r="E151" s="20" t="s">
        <v>42</v>
      </c>
      <c r="F151" s="3" t="s">
        <v>4215</v>
      </c>
      <c r="G151" s="3" t="s">
        <v>4621</v>
      </c>
      <c r="H151" s="7">
        <f>IFERROR(VLOOKUP(B152,'📊 Problem Tracker'!$B$4:$F$1200,5,FALSE()),"")</f>
        <v>0</v>
      </c>
      <c r="I151" s="7"/>
      <c r="J151" s="7"/>
      <c r="K151" s="3"/>
      <c r="L151" s="228" t="s">
        <v>571</v>
      </c>
      <c r="M151" s="7" t="s">
        <v>24</v>
      </c>
      <c r="N151" s="7" t="s">
        <v>24</v>
      </c>
      <c r="O151" s="197" t="str">
        <f>HYPERLINK("https://leetcode.com/problems/serialize-and-deserialize-binary-tree/","https://leetcode.com/problems/serialize-and-deserialize-binary-tree/")</f>
        <v>https://leetcode.com/problems/serialize-and-deserialize-binary-tree/</v>
      </c>
    </row>
    <row r="152" spans="1:15" ht="31.5" customHeight="1" x14ac:dyDescent="0.2">
      <c r="A152" s="145">
        <v>147</v>
      </c>
      <c r="B152" s="145">
        <v>300</v>
      </c>
      <c r="C152" s="146" t="s">
        <v>1135</v>
      </c>
      <c r="D152" s="145" t="s">
        <v>4474</v>
      </c>
      <c r="E152" s="147" t="s">
        <v>28</v>
      </c>
      <c r="F152" s="148" t="s">
        <v>1136</v>
      </c>
      <c r="G152" s="148" t="s">
        <v>4300</v>
      </c>
      <c r="H152" s="145">
        <f>IFERROR(VLOOKUP(B153,'📊 Problem Tracker'!$B$4:$F$1200,5,FALSE()),"")</f>
        <v>0</v>
      </c>
      <c r="I152" s="145"/>
      <c r="J152" s="145"/>
      <c r="K152" s="148"/>
      <c r="L152" s="278" t="s">
        <v>1139</v>
      </c>
      <c r="M152" s="145" t="s">
        <v>326</v>
      </c>
      <c r="N152" s="145" t="s">
        <v>24</v>
      </c>
      <c r="O152" s="198" t="str">
        <f>HYPERLINK("https://leetcode.com/problems/longest-increasing-subsequence/","https://leetcode.com/problems/longest-increasing-subsequence/")</f>
        <v>https://leetcode.com/problems/longest-increasing-subsequence/</v>
      </c>
    </row>
    <row r="153" spans="1:15" ht="31.5" customHeight="1" x14ac:dyDescent="0.2">
      <c r="A153" s="7">
        <v>148</v>
      </c>
      <c r="B153" s="7">
        <v>312</v>
      </c>
      <c r="C153" s="13" t="s">
        <v>1173</v>
      </c>
      <c r="D153" s="7" t="s">
        <v>4623</v>
      </c>
      <c r="E153" s="20" t="s">
        <v>42</v>
      </c>
      <c r="F153" s="3" t="s">
        <v>309</v>
      </c>
      <c r="G153" s="3" t="s">
        <v>2531</v>
      </c>
      <c r="H153" s="7">
        <f>IFERROR(VLOOKUP(B154,'📊 Problem Tracker'!$B$4:$F$1200,5,FALSE()),"")</f>
        <v>0</v>
      </c>
      <c r="I153" s="7"/>
      <c r="J153" s="7"/>
      <c r="K153" s="3"/>
      <c r="L153" s="228" t="s">
        <v>508</v>
      </c>
      <c r="M153" s="7" t="s">
        <v>1175</v>
      </c>
      <c r="N153" s="7" t="s">
        <v>341</v>
      </c>
      <c r="O153" s="197" t="str">
        <f>HYPERLINK("https://leetcode.com/problems/burst-balloons/","https://leetcode.com/problems/burst-balloons/")</f>
        <v>https://leetcode.com/problems/burst-balloons/</v>
      </c>
    </row>
    <row r="154" spans="1:15" ht="31.5" customHeight="1" x14ac:dyDescent="0.2">
      <c r="A154" s="145">
        <v>149</v>
      </c>
      <c r="B154" s="145">
        <v>322</v>
      </c>
      <c r="C154" s="146" t="s">
        <v>1205</v>
      </c>
      <c r="D154" s="145" t="s">
        <v>4433</v>
      </c>
      <c r="E154" s="147" t="s">
        <v>28</v>
      </c>
      <c r="F154" s="148" t="s">
        <v>1206</v>
      </c>
      <c r="G154" s="148" t="s">
        <v>4302</v>
      </c>
      <c r="H154" s="145">
        <f>IFERROR(VLOOKUP(B155,'📊 Problem Tracker'!$B$4:$F$1200,5,FALSE()),"")</f>
        <v>0</v>
      </c>
      <c r="I154" s="145"/>
      <c r="J154" s="145"/>
      <c r="K154" s="148"/>
      <c r="L154" s="278" t="s">
        <v>1208</v>
      </c>
      <c r="M154" s="145" t="s">
        <v>1209</v>
      </c>
      <c r="N154" s="145" t="s">
        <v>1210</v>
      </c>
      <c r="O154" s="198" t="str">
        <f>HYPERLINK("https://leetcode.com/problems/coin-change/","https://leetcode.com/problems/coin-change/")</f>
        <v>https://leetcode.com/problems/coin-change/</v>
      </c>
    </row>
    <row r="155" spans="1:15" ht="31.5" customHeight="1" x14ac:dyDescent="0.2">
      <c r="A155" s="7">
        <v>150</v>
      </c>
      <c r="B155" s="7">
        <v>328</v>
      </c>
      <c r="C155" s="13" t="s">
        <v>1224</v>
      </c>
      <c r="D155" s="7" t="s">
        <v>4624</v>
      </c>
      <c r="E155" s="18" t="s">
        <v>28</v>
      </c>
      <c r="F155" s="3" t="s">
        <v>127</v>
      </c>
      <c r="G155" s="3" t="s">
        <v>127</v>
      </c>
      <c r="H155" s="7">
        <f>IFERROR(VLOOKUP(B156,'📊 Problem Tracker'!$B$4:$F$1200,5,FALSE()),"")</f>
        <v>0</v>
      </c>
      <c r="I155" s="7"/>
      <c r="J155" s="7"/>
      <c r="K155" s="3"/>
      <c r="L155" s="228" t="s">
        <v>461</v>
      </c>
      <c r="M155" s="7" t="s">
        <v>24</v>
      </c>
      <c r="N155" s="7" t="s">
        <v>47</v>
      </c>
      <c r="O155" s="197" t="str">
        <f>HYPERLINK("https://leetcode.com/problems/odd-even-linked-list/","https://leetcode.com/problems/odd-even-linked-list/")</f>
        <v>https://leetcode.com/problems/odd-even-linked-list/</v>
      </c>
    </row>
    <row r="156" spans="1:15" ht="31.5" customHeight="1" x14ac:dyDescent="0.2">
      <c r="A156" s="145">
        <v>151</v>
      </c>
      <c r="B156" s="145">
        <v>329</v>
      </c>
      <c r="C156" s="146" t="s">
        <v>1226</v>
      </c>
      <c r="D156" s="145" t="s">
        <v>4625</v>
      </c>
      <c r="E156" s="149" t="s">
        <v>42</v>
      </c>
      <c r="F156" s="148" t="s">
        <v>1227</v>
      </c>
      <c r="G156" s="148" t="s">
        <v>4304</v>
      </c>
      <c r="H156" s="145">
        <f>IFERROR(VLOOKUP(B157,'📊 Problem Tracker'!$B$4:$F$1200,5,FALSE()),"")</f>
        <v>0</v>
      </c>
      <c r="I156" s="145"/>
      <c r="J156" s="145"/>
      <c r="K156" s="148"/>
      <c r="L156" s="278" t="s">
        <v>508</v>
      </c>
      <c r="M156" s="145" t="s">
        <v>81</v>
      </c>
      <c r="N156" s="145" t="s">
        <v>81</v>
      </c>
      <c r="O156" s="198" t="str">
        <f>HYPERLINK("https://leetcode.com/problems/longest-increasing-path-in-a-matrix/","https://leetcode.com/problems/longest-increasing-path-in-a-matrix/")</f>
        <v>https://leetcode.com/problems/longest-increasing-path-in-a-matrix/</v>
      </c>
    </row>
    <row r="157" spans="1:15" ht="31.5" customHeight="1" x14ac:dyDescent="0.2">
      <c r="A157" s="7">
        <v>152</v>
      </c>
      <c r="B157" s="7">
        <v>332</v>
      </c>
      <c r="C157" s="13" t="s">
        <v>1231</v>
      </c>
      <c r="D157" s="7" t="s">
        <v>4466</v>
      </c>
      <c r="E157" s="20" t="s">
        <v>42</v>
      </c>
      <c r="F157" s="3" t="s">
        <v>1232</v>
      </c>
      <c r="G157" s="3" t="s">
        <v>4339</v>
      </c>
      <c r="H157" s="7">
        <f>IFERROR(VLOOKUP(B158,'📊 Problem Tracker'!$B$4:$F$1200,5,FALSE()),"")</f>
        <v>0</v>
      </c>
      <c r="I157" s="7"/>
      <c r="J157" s="7"/>
      <c r="K157" s="3"/>
      <c r="L157" s="228" t="s">
        <v>619</v>
      </c>
      <c r="M157" s="7" t="s">
        <v>648</v>
      </c>
      <c r="N157" s="7" t="s">
        <v>648</v>
      </c>
      <c r="O157" s="197" t="str">
        <f>HYPERLINK("https://leetcode.com/problems/reconstruct-itinerary/","https://leetcode.com/problems/reconstruct-itinerary/")</f>
        <v>https://leetcode.com/problems/reconstruct-itinerary/</v>
      </c>
    </row>
    <row r="158" spans="1:15" ht="31.5" customHeight="1" x14ac:dyDescent="0.2">
      <c r="A158" s="145">
        <v>153</v>
      </c>
      <c r="B158" s="145">
        <v>337</v>
      </c>
      <c r="C158" s="146" t="s">
        <v>1245</v>
      </c>
      <c r="D158" s="145" t="s">
        <v>4626</v>
      </c>
      <c r="E158" s="147" t="s">
        <v>28</v>
      </c>
      <c r="F158" s="148" t="s">
        <v>606</v>
      </c>
      <c r="G158" s="148" t="s">
        <v>4627</v>
      </c>
      <c r="H158" s="145">
        <f>IFERROR(VLOOKUP(B159,'📊 Problem Tracker'!$B$4:$F$1200,5,FALSE()),"")</f>
        <v>0</v>
      </c>
      <c r="I158" s="145"/>
      <c r="J158" s="145"/>
      <c r="K158" s="148"/>
      <c r="L158" s="278" t="s">
        <v>508</v>
      </c>
      <c r="M158" s="145" t="s">
        <v>24</v>
      </c>
      <c r="N158" s="145" t="s">
        <v>503</v>
      </c>
      <c r="O158" s="198" t="str">
        <f>HYPERLINK("https://leetcode.com/problems/house-robber-iii/","https://leetcode.com/problems/house-robber-iii/")</f>
        <v>https://leetcode.com/problems/house-robber-iii/</v>
      </c>
    </row>
    <row r="159" spans="1:15" ht="31.5" customHeight="1" x14ac:dyDescent="0.2">
      <c r="A159" s="7">
        <v>154</v>
      </c>
      <c r="B159" s="7">
        <v>344</v>
      </c>
      <c r="C159" s="13" t="s">
        <v>1262</v>
      </c>
      <c r="D159" s="7" t="s">
        <v>4628</v>
      </c>
      <c r="E159" s="21" t="s">
        <v>20</v>
      </c>
      <c r="F159" s="3" t="s">
        <v>611</v>
      </c>
      <c r="G159" s="3" t="s">
        <v>689</v>
      </c>
      <c r="H159" s="7">
        <f>IFERROR(VLOOKUP(B160,'📊 Problem Tracker'!$B$4:$F$1200,5,FALSE()),"")</f>
        <v>0</v>
      </c>
      <c r="I159" s="7"/>
      <c r="J159" s="7"/>
      <c r="K159" s="3"/>
      <c r="L159" s="228" t="s">
        <v>690</v>
      </c>
      <c r="M159" s="7" t="s">
        <v>24</v>
      </c>
      <c r="N159" s="7" t="s">
        <v>1096</v>
      </c>
      <c r="O159" s="197" t="str">
        <f>HYPERLINK("https://leetcode.com/problems/reverse-string/","https://leetcode.com/problems/reverse-string/")</f>
        <v>https://leetcode.com/problems/reverse-string/</v>
      </c>
    </row>
    <row r="160" spans="1:15" ht="31.5" customHeight="1" x14ac:dyDescent="0.2">
      <c r="A160" s="145">
        <v>155</v>
      </c>
      <c r="B160" s="145">
        <v>345</v>
      </c>
      <c r="C160" s="146" t="s">
        <v>1264</v>
      </c>
      <c r="D160" s="145" t="s">
        <v>4523</v>
      </c>
      <c r="E160" s="150" t="s">
        <v>20</v>
      </c>
      <c r="F160" s="148" t="s">
        <v>611</v>
      </c>
      <c r="G160" s="148" t="s">
        <v>689</v>
      </c>
      <c r="H160" s="145">
        <f>IFERROR(VLOOKUP(B161,'📊 Problem Tracker'!$B$4:$F$1200,5,FALSE()),"")</f>
        <v>0</v>
      </c>
      <c r="I160" s="145"/>
      <c r="J160" s="145"/>
      <c r="K160" s="148"/>
      <c r="L160" s="278" t="s">
        <v>690</v>
      </c>
      <c r="M160" s="145" t="s">
        <v>24</v>
      </c>
      <c r="N160" s="145" t="s">
        <v>1096</v>
      </c>
      <c r="O160" s="198" t="str">
        <f>HYPERLINK("https://leetcode.com/problems/reverse-vowels-of-a-string/","https://leetcode.com/problems/reverse-vowels-of-a-string/")</f>
        <v>https://leetcode.com/problems/reverse-vowels-of-a-string/</v>
      </c>
    </row>
    <row r="161" spans="1:15" ht="31.5" customHeight="1" x14ac:dyDescent="0.2">
      <c r="A161" s="7">
        <v>156</v>
      </c>
      <c r="B161" s="7">
        <v>347</v>
      </c>
      <c r="C161" s="13" t="s">
        <v>1269</v>
      </c>
      <c r="D161" s="7" t="s">
        <v>4629</v>
      </c>
      <c r="E161" s="18" t="s">
        <v>28</v>
      </c>
      <c r="F161" s="3" t="s">
        <v>1270</v>
      </c>
      <c r="G161" s="3" t="s">
        <v>4280</v>
      </c>
      <c r="H161" s="7">
        <f>IFERROR(VLOOKUP(B162,'📊 Problem Tracker'!$B$4:$F$1200,5,FALSE()),"")</f>
        <v>0</v>
      </c>
      <c r="I161" s="7"/>
      <c r="J161" s="7"/>
      <c r="K161" s="3"/>
      <c r="L161" s="228" t="s">
        <v>1273</v>
      </c>
      <c r="M161" s="7" t="s">
        <v>24</v>
      </c>
      <c r="N161" s="7" t="s">
        <v>24</v>
      </c>
      <c r="O161" s="197" t="str">
        <f>HYPERLINK("https://leetcode.com/problems/top-k-frequent-elements/","https://leetcode.com/problems/top-k-frequent-elements/")</f>
        <v>https://leetcode.com/problems/top-k-frequent-elements/</v>
      </c>
    </row>
    <row r="162" spans="1:15" ht="31.5" customHeight="1" x14ac:dyDescent="0.2">
      <c r="A162" s="145">
        <v>157</v>
      </c>
      <c r="B162" s="145">
        <v>349</v>
      </c>
      <c r="C162" s="146" t="s">
        <v>1279</v>
      </c>
      <c r="D162" s="145" t="s">
        <v>4630</v>
      </c>
      <c r="E162" s="150" t="s">
        <v>20</v>
      </c>
      <c r="F162" s="148" t="s">
        <v>4631</v>
      </c>
      <c r="G162" s="148" t="s">
        <v>4244</v>
      </c>
      <c r="H162" s="145">
        <f>IFERROR(VLOOKUP(B163,'📊 Problem Tracker'!$B$4:$F$1200,5,FALSE()),"")</f>
        <v>0</v>
      </c>
      <c r="I162" s="145"/>
      <c r="J162" s="145"/>
      <c r="K162" s="148"/>
      <c r="L162" s="278" t="s">
        <v>690</v>
      </c>
      <c r="M162" s="145" t="s">
        <v>259</v>
      </c>
      <c r="N162" s="145" t="s">
        <v>1280</v>
      </c>
      <c r="O162" s="198" t="str">
        <f>HYPERLINK("https://leetcode.com/problems/intersection-of-two-arrays/","https://leetcode.com/problems/intersection-of-two-arrays/")</f>
        <v>https://leetcode.com/problems/intersection-of-two-arrays/</v>
      </c>
    </row>
    <row r="163" spans="1:15" ht="31.5" customHeight="1" x14ac:dyDescent="0.2">
      <c r="A163" s="7">
        <v>158</v>
      </c>
      <c r="B163" s="7">
        <v>373</v>
      </c>
      <c r="C163" s="13" t="s">
        <v>1322</v>
      </c>
      <c r="D163" s="7" t="s">
        <v>4638</v>
      </c>
      <c r="E163" s="18" t="s">
        <v>28</v>
      </c>
      <c r="F163" s="3" t="s">
        <v>941</v>
      </c>
      <c r="G163" s="3" t="s">
        <v>4640</v>
      </c>
      <c r="H163" s="7">
        <f>IFERROR(VLOOKUP(B164,'📊 Problem Tracker'!$B$4:$F$1200,5,FALSE()),"")</f>
        <v>0</v>
      </c>
      <c r="I163" s="7"/>
      <c r="J163" s="7"/>
      <c r="K163" s="3"/>
      <c r="L163" s="228" t="s">
        <v>959</v>
      </c>
      <c r="M163" s="7" t="s">
        <v>960</v>
      </c>
      <c r="N163" s="7" t="s">
        <v>153</v>
      </c>
      <c r="O163" s="197" t="str">
        <f>HYPERLINK("https://leetcode.com/problems/find-k-pairs-with-smallest-sums/","https://leetcode.com/problems/find-k-pairs-with-smallest-sums/")</f>
        <v>https://leetcode.com/problems/find-k-pairs-with-smallest-sums/</v>
      </c>
    </row>
    <row r="164" spans="1:15" ht="31.5" customHeight="1" x14ac:dyDescent="0.2">
      <c r="A164" s="145">
        <v>159</v>
      </c>
      <c r="B164" s="145">
        <v>380</v>
      </c>
      <c r="C164" s="146" t="s">
        <v>1333</v>
      </c>
      <c r="D164" s="145" t="s">
        <v>4642</v>
      </c>
      <c r="E164" s="147" t="s">
        <v>28</v>
      </c>
      <c r="F164" s="148" t="s">
        <v>1334</v>
      </c>
      <c r="G164" s="148" t="s">
        <v>4557</v>
      </c>
      <c r="H164" s="145">
        <f>IFERROR(VLOOKUP(B165,'📊 Problem Tracker'!$B$4:$F$1200,5,FALSE()),"")</f>
        <v>0</v>
      </c>
      <c r="I164" s="145"/>
      <c r="J164" s="145"/>
      <c r="K164" s="148"/>
      <c r="L164" s="278" t="s">
        <v>705</v>
      </c>
      <c r="M164" s="145" t="s">
        <v>24</v>
      </c>
      <c r="N164" s="145" t="s">
        <v>24</v>
      </c>
      <c r="O164" s="198" t="str">
        <f>HYPERLINK("https://leetcode.com/problems/insert-delete-getrandom-o1/","https://leetcode.com/problems/insert-delete-getrandom-o1/")</f>
        <v>https://leetcode.com/problems/insert-delete-getrandom-o1/</v>
      </c>
    </row>
    <row r="165" spans="1:15" ht="31.5" customHeight="1" x14ac:dyDescent="0.2">
      <c r="A165" s="7">
        <v>160</v>
      </c>
      <c r="B165" s="7">
        <v>383</v>
      </c>
      <c r="C165" s="13" t="s">
        <v>1337</v>
      </c>
      <c r="D165" s="7" t="s">
        <v>4772</v>
      </c>
      <c r="E165" s="21" t="s">
        <v>20</v>
      </c>
      <c r="F165" s="3" t="s">
        <v>897</v>
      </c>
      <c r="G165" s="3" t="s">
        <v>4244</v>
      </c>
      <c r="H165" s="7">
        <f>IFERROR(VLOOKUP(B166,'📊 Problem Tracker'!$B$4:$F$1200,5,FALSE()),"")</f>
        <v>0</v>
      </c>
      <c r="I165" s="7"/>
      <c r="J165" s="7"/>
      <c r="K165" s="3"/>
      <c r="L165" s="228" t="s">
        <v>1340</v>
      </c>
      <c r="M165" s="7" t="s">
        <v>259</v>
      </c>
      <c r="N165" s="7" t="s">
        <v>47</v>
      </c>
      <c r="O165" s="197" t="str">
        <f>HYPERLINK("https://leetcode.com/problems/ransom-note/","https://leetcode.com/problems/ransom-note/")</f>
        <v>https://leetcode.com/problems/ransom-note/</v>
      </c>
    </row>
    <row r="166" spans="1:15" ht="31.5" customHeight="1" x14ac:dyDescent="0.2">
      <c r="A166" s="145">
        <v>161</v>
      </c>
      <c r="B166" s="145">
        <v>387</v>
      </c>
      <c r="C166" s="146" t="s">
        <v>1348</v>
      </c>
      <c r="D166" s="145" t="s">
        <v>4471</v>
      </c>
      <c r="E166" s="150" t="s">
        <v>20</v>
      </c>
      <c r="F166" s="148" t="s">
        <v>897</v>
      </c>
      <c r="G166" s="148" t="s">
        <v>4244</v>
      </c>
      <c r="H166" s="145">
        <f>IFERROR(VLOOKUP(B167,'📊 Problem Tracker'!$B$4:$F$1200,5,FALSE()),"")</f>
        <v>0</v>
      </c>
      <c r="I166" s="145"/>
      <c r="J166" s="145"/>
      <c r="K166" s="148"/>
      <c r="L166" s="278" t="s">
        <v>705</v>
      </c>
      <c r="M166" s="145" t="s">
        <v>24</v>
      </c>
      <c r="N166" s="145" t="s">
        <v>47</v>
      </c>
      <c r="O166" s="198" t="str">
        <f>HYPERLINK("https://leetcode.com/problems/first-unique-character-in-a-string/","https://leetcode.com/problems/first-unique-character-in-a-string/")</f>
        <v>https://leetcode.com/problems/first-unique-character-in-a-string/</v>
      </c>
    </row>
    <row r="167" spans="1:15" ht="31.5" customHeight="1" x14ac:dyDescent="0.2">
      <c r="A167" s="7">
        <v>162</v>
      </c>
      <c r="B167" s="7">
        <v>392</v>
      </c>
      <c r="C167" s="13" t="s">
        <v>1360</v>
      </c>
      <c r="D167" s="7" t="s">
        <v>4644</v>
      </c>
      <c r="E167" s="21" t="s">
        <v>20</v>
      </c>
      <c r="F167" s="3" t="s">
        <v>1361</v>
      </c>
      <c r="G167" s="3"/>
      <c r="H167" s="7">
        <f>IFERROR(VLOOKUP(B168,'📊 Problem Tracker'!$B$4:$F$1200,5,FALSE()),"")</f>
        <v>0</v>
      </c>
      <c r="I167" s="7"/>
      <c r="J167" s="7"/>
      <c r="K167" s="3"/>
      <c r="L167" s="228" t="s">
        <v>4239</v>
      </c>
      <c r="M167" s="7" t="s">
        <v>24</v>
      </c>
      <c r="N167" s="7" t="s">
        <v>24</v>
      </c>
      <c r="O167" s="197" t="str">
        <f>HYPERLINK("https://leetcode.com/problems/is-subsequence/","https://leetcode.com/problems/is-subsequence/")</f>
        <v>https://leetcode.com/problems/is-subsequence/</v>
      </c>
    </row>
    <row r="168" spans="1:15" ht="31.5" customHeight="1" x14ac:dyDescent="0.2">
      <c r="A168" s="145">
        <v>163</v>
      </c>
      <c r="B168" s="145">
        <v>394</v>
      </c>
      <c r="C168" s="146" t="s">
        <v>1365</v>
      </c>
      <c r="D168" s="145" t="s">
        <v>4645</v>
      </c>
      <c r="E168" s="147" t="s">
        <v>28</v>
      </c>
      <c r="F168" s="148" t="s">
        <v>133</v>
      </c>
      <c r="G168" s="148" t="s">
        <v>540</v>
      </c>
      <c r="H168" s="145">
        <f>IFERROR(VLOOKUP(B169,'📊 Problem Tracker'!$B$4:$F$1200,5,FALSE()),"")</f>
        <v>0</v>
      </c>
      <c r="I168" s="145"/>
      <c r="J168" s="145"/>
      <c r="K168" s="148"/>
      <c r="L168" s="278" t="s">
        <v>542</v>
      </c>
      <c r="M168" s="145" t="s">
        <v>24</v>
      </c>
      <c r="N168" s="145" t="s">
        <v>24</v>
      </c>
      <c r="O168" s="198" t="str">
        <f>HYPERLINK("https://leetcode.com/problems/decode-string/","https://leetcode.com/problems/decode-string/")</f>
        <v>https://leetcode.com/problems/decode-string/</v>
      </c>
    </row>
    <row r="169" spans="1:15" ht="31.5" customHeight="1" x14ac:dyDescent="0.2">
      <c r="A169" s="7">
        <v>164</v>
      </c>
      <c r="B169" s="7">
        <v>399</v>
      </c>
      <c r="C169" s="13" t="s">
        <v>1377</v>
      </c>
      <c r="D169" s="7" t="s">
        <v>4646</v>
      </c>
      <c r="E169" s="18" t="s">
        <v>28</v>
      </c>
      <c r="F169" s="3" t="s">
        <v>4647</v>
      </c>
      <c r="G169" s="3" t="s">
        <v>4648</v>
      </c>
      <c r="H169" s="7">
        <f>IFERROR(VLOOKUP(B170,'📊 Problem Tracker'!$B$4:$F$1200,5,FALSE()),"")</f>
        <v>0</v>
      </c>
      <c r="I169" s="7"/>
      <c r="J169" s="7"/>
      <c r="K169" s="3"/>
      <c r="L169" s="228" t="s">
        <v>619</v>
      </c>
      <c r="M169" s="7" t="s">
        <v>648</v>
      </c>
      <c r="N169" s="7" t="s">
        <v>648</v>
      </c>
      <c r="O169" s="197" t="str">
        <f>HYPERLINK("https://leetcode.com/problems/evaluate-division/","https://leetcode.com/problems/evaluate-division/")</f>
        <v>https://leetcode.com/problems/evaluate-division/</v>
      </c>
    </row>
    <row r="170" spans="1:15" ht="31.5" customHeight="1" x14ac:dyDescent="0.2">
      <c r="A170" s="145">
        <v>165</v>
      </c>
      <c r="B170" s="145">
        <v>402</v>
      </c>
      <c r="C170" s="146" t="s">
        <v>1380</v>
      </c>
      <c r="D170" s="145" t="s">
        <v>4649</v>
      </c>
      <c r="E170" s="147" t="s">
        <v>28</v>
      </c>
      <c r="F170" s="148" t="s">
        <v>1381</v>
      </c>
      <c r="G170" s="148" t="s">
        <v>4351</v>
      </c>
      <c r="H170" s="145">
        <f>IFERROR(VLOOKUP(B171,'📊 Problem Tracker'!$B$4:$F$1200,5,FALSE()),"")</f>
        <v>0</v>
      </c>
      <c r="I170" s="145"/>
      <c r="J170" s="145"/>
      <c r="K170" s="148"/>
      <c r="L170" s="278" t="s">
        <v>542</v>
      </c>
      <c r="M170" s="145" t="s">
        <v>24</v>
      </c>
      <c r="N170" s="145" t="s">
        <v>24</v>
      </c>
      <c r="O170" s="198" t="str">
        <f>HYPERLINK("https://leetcode.com/problems/remove-k-digits/","https://leetcode.com/problems/remove-k-digits/")</f>
        <v>https://leetcode.com/problems/remove-k-digits/</v>
      </c>
    </row>
    <row r="171" spans="1:15" ht="31.5" customHeight="1" x14ac:dyDescent="0.2">
      <c r="A171" s="7">
        <v>166</v>
      </c>
      <c r="B171" s="7">
        <v>410</v>
      </c>
      <c r="C171" s="13" t="s">
        <v>1397</v>
      </c>
      <c r="D171" s="7" t="s">
        <v>4652</v>
      </c>
      <c r="E171" s="20" t="s">
        <v>42</v>
      </c>
      <c r="F171" s="3" t="s">
        <v>1136</v>
      </c>
      <c r="G171" s="3" t="s">
        <v>4653</v>
      </c>
      <c r="H171" s="7">
        <f>IFERROR(VLOOKUP(B172,'📊 Problem Tracker'!$B$4:$F$1200,5,FALSE()),"")</f>
        <v>0</v>
      </c>
      <c r="I171" s="7"/>
      <c r="J171" s="7"/>
      <c r="K171" s="3"/>
      <c r="L171" s="228" t="s">
        <v>513</v>
      </c>
      <c r="M171" s="7" t="s">
        <v>65</v>
      </c>
      <c r="N171" s="7" t="s">
        <v>47</v>
      </c>
      <c r="O171" s="197" t="str">
        <f>HYPERLINK("https://leetcode.com/problems/split-array-largest-sum/","https://leetcode.com/problems/split-array-largest-sum/")</f>
        <v>https://leetcode.com/problems/split-array-largest-sum/</v>
      </c>
    </row>
    <row r="172" spans="1:15" ht="31.5" customHeight="1" x14ac:dyDescent="0.2">
      <c r="A172" s="145">
        <v>167</v>
      </c>
      <c r="B172" s="145">
        <v>412</v>
      </c>
      <c r="C172" s="146" t="s">
        <v>1399</v>
      </c>
      <c r="D172" s="145" t="s">
        <v>4485</v>
      </c>
      <c r="E172" s="150" t="s">
        <v>20</v>
      </c>
      <c r="F172" s="148" t="s">
        <v>62</v>
      </c>
      <c r="G172" s="148" t="s">
        <v>62</v>
      </c>
      <c r="H172" s="145">
        <f>IFERROR(VLOOKUP(B173,'📊 Problem Tracker'!$B$4:$F$1200,5,FALSE()),"")</f>
        <v>0</v>
      </c>
      <c r="I172" s="145"/>
      <c r="J172" s="145"/>
      <c r="K172" s="148"/>
      <c r="L172" s="278" t="s">
        <v>230</v>
      </c>
      <c r="M172" s="145" t="s">
        <v>24</v>
      </c>
      <c r="N172" s="145" t="s">
        <v>24</v>
      </c>
      <c r="O172" s="198" t="str">
        <f>HYPERLINK("https://leetcode.com/problems/fizz-buzz/","https://leetcode.com/problems/fizz-buzz/")</f>
        <v>https://leetcode.com/problems/fizz-buzz/</v>
      </c>
    </row>
    <row r="173" spans="1:15" ht="31.5" customHeight="1" x14ac:dyDescent="0.2">
      <c r="A173" s="7">
        <v>168</v>
      </c>
      <c r="B173" s="7">
        <v>416</v>
      </c>
      <c r="C173" s="13" t="s">
        <v>1406</v>
      </c>
      <c r="D173" s="7" t="s">
        <v>4656</v>
      </c>
      <c r="E173" s="18" t="s">
        <v>28</v>
      </c>
      <c r="F173" s="3" t="s">
        <v>309</v>
      </c>
      <c r="G173" s="3" t="s">
        <v>4657</v>
      </c>
      <c r="H173" s="7">
        <f>IFERROR(VLOOKUP(B174,'📊 Problem Tracker'!$B$4:$F$1200,5,FALSE()),"")</f>
        <v>0</v>
      </c>
      <c r="I173" s="7"/>
      <c r="J173" s="7"/>
      <c r="K173" s="3"/>
      <c r="L173" s="228" t="s">
        <v>508</v>
      </c>
      <c r="M173" s="7" t="s">
        <v>1408</v>
      </c>
      <c r="N173" s="7" t="s">
        <v>1409</v>
      </c>
      <c r="O173" s="197" t="str">
        <f>HYPERLINK("https://leetcode.com/problems/partition-equal-subset-sum/","https://leetcode.com/problems/partition-equal-subset-sum/")</f>
        <v>https://leetcode.com/problems/partition-equal-subset-sum/</v>
      </c>
    </row>
    <row r="174" spans="1:15" ht="31.5" customHeight="1" x14ac:dyDescent="0.2">
      <c r="A174" s="145">
        <v>169</v>
      </c>
      <c r="B174" s="145">
        <v>417</v>
      </c>
      <c r="C174" s="146" t="s">
        <v>1411</v>
      </c>
      <c r="D174" s="145" t="s">
        <v>4658</v>
      </c>
      <c r="E174" s="147" t="s">
        <v>28</v>
      </c>
      <c r="F174" s="148" t="s">
        <v>637</v>
      </c>
      <c r="G174" s="148"/>
      <c r="H174" s="145">
        <f>IFERROR(VLOOKUP(B175,'📊 Problem Tracker'!$B$4:$F$1200,5,FALSE()),"")</f>
        <v>0</v>
      </c>
      <c r="I174" s="145"/>
      <c r="J174" s="145"/>
      <c r="K174" s="148"/>
      <c r="L174" s="278" t="s">
        <v>4239</v>
      </c>
      <c r="M174" s="145" t="s">
        <v>81</v>
      </c>
      <c r="N174" s="145" t="s">
        <v>81</v>
      </c>
      <c r="O174" s="198" t="str">
        <f>HYPERLINK("https://leetcode.com/problems/pacific-atlantic-water-flow/","https://leetcode.com/problems/pacific-atlantic-water-flow/")</f>
        <v>https://leetcode.com/problems/pacific-atlantic-water-flow/</v>
      </c>
    </row>
    <row r="175" spans="1:15" ht="31.5" customHeight="1" x14ac:dyDescent="0.2">
      <c r="A175" s="7">
        <v>170</v>
      </c>
      <c r="B175" s="7">
        <v>424</v>
      </c>
      <c r="C175" s="13" t="s">
        <v>1416</v>
      </c>
      <c r="D175" s="7" t="s">
        <v>4521</v>
      </c>
      <c r="E175" s="18" t="s">
        <v>28</v>
      </c>
      <c r="F175" s="3" t="s">
        <v>427</v>
      </c>
      <c r="G175" s="3" t="s">
        <v>917</v>
      </c>
      <c r="H175" s="7">
        <f>IFERROR(VLOOKUP(B176,'📊 Problem Tracker'!$B$4:$F$1200,5,FALSE()),"")</f>
        <v>0</v>
      </c>
      <c r="I175" s="7"/>
      <c r="J175" s="7"/>
      <c r="K175" s="3"/>
      <c r="L175" s="228" t="s">
        <v>1418</v>
      </c>
      <c r="M175" s="7" t="s">
        <v>24</v>
      </c>
      <c r="N175" s="7" t="s">
        <v>1096</v>
      </c>
      <c r="O175" s="197" t="str">
        <f>HYPERLINK("https://leetcode.com/problems/longest-repeating-character-replacement/","https://leetcode.com/problems/longest-repeating-character-replacement/")</f>
        <v>https://leetcode.com/problems/longest-repeating-character-replacement/</v>
      </c>
    </row>
    <row r="176" spans="1:15" ht="31.5" customHeight="1" x14ac:dyDescent="0.2">
      <c r="A176" s="145">
        <v>171</v>
      </c>
      <c r="B176" s="145">
        <v>435</v>
      </c>
      <c r="C176" s="146" t="s">
        <v>1430</v>
      </c>
      <c r="D176" s="145" t="s">
        <v>4659</v>
      </c>
      <c r="E176" s="147" t="s">
        <v>28</v>
      </c>
      <c r="F176" s="148" t="s">
        <v>1431</v>
      </c>
      <c r="G176" s="148" t="s">
        <v>4315</v>
      </c>
      <c r="H176" s="145">
        <f>IFERROR(VLOOKUP(B177,'📊 Problem Tracker'!$B$4:$F$1200,5,FALSE()),"")</f>
        <v>0</v>
      </c>
      <c r="I176" s="145"/>
      <c r="J176" s="145"/>
      <c r="K176" s="148"/>
      <c r="L176" s="278" t="s">
        <v>654</v>
      </c>
      <c r="M176" s="145" t="s">
        <v>326</v>
      </c>
      <c r="N176" s="145" t="s">
        <v>47</v>
      </c>
      <c r="O176" s="198" t="str">
        <f>HYPERLINK("https://leetcode.com/problems/non-overlapping-intervals/","https://leetcode.com/problems/non-overlapping-intervals/")</f>
        <v>https://leetcode.com/problems/non-overlapping-intervals/</v>
      </c>
    </row>
    <row r="177" spans="1:15" ht="31.5" customHeight="1" x14ac:dyDescent="0.2">
      <c r="A177" s="7">
        <v>172</v>
      </c>
      <c r="B177" s="7">
        <v>438</v>
      </c>
      <c r="C177" s="13" t="s">
        <v>1441</v>
      </c>
      <c r="D177" s="7" t="s">
        <v>4538</v>
      </c>
      <c r="E177" s="18" t="s">
        <v>28</v>
      </c>
      <c r="F177" s="3" t="s">
        <v>427</v>
      </c>
      <c r="G177" s="3" t="s">
        <v>917</v>
      </c>
      <c r="H177" s="7">
        <f>IFERROR(VLOOKUP(B178,'📊 Problem Tracker'!$B$4:$F$1200,5,FALSE()),"")</f>
        <v>0</v>
      </c>
      <c r="I177" s="7"/>
      <c r="J177" s="7"/>
      <c r="K177" s="3"/>
      <c r="L177" s="228" t="s">
        <v>1443</v>
      </c>
      <c r="M177" s="7" t="s">
        <v>24</v>
      </c>
      <c r="N177" s="7" t="s">
        <v>47</v>
      </c>
      <c r="O177" s="197" t="str">
        <f>HYPERLINK("https://leetcode.com/problems/find-all-anagrams-in-a-string/","https://leetcode.com/problems/find-all-anagrams-in-a-string/")</f>
        <v>https://leetcode.com/problems/find-all-anagrams-in-a-string/</v>
      </c>
    </row>
    <row r="178" spans="1:15" ht="31.5" customHeight="1" x14ac:dyDescent="0.2">
      <c r="A178" s="145">
        <v>173</v>
      </c>
      <c r="B178" s="145">
        <v>443</v>
      </c>
      <c r="C178" s="146" t="s">
        <v>1451</v>
      </c>
      <c r="D178" s="145" t="s">
        <v>4535</v>
      </c>
      <c r="E178" s="147" t="s">
        <v>28</v>
      </c>
      <c r="F178" s="148" t="s">
        <v>611</v>
      </c>
      <c r="G178" s="148" t="s">
        <v>689</v>
      </c>
      <c r="H178" s="145">
        <f>IFERROR(VLOOKUP(B179,'📊 Problem Tracker'!$B$4:$F$1200,5,FALSE()),"")</f>
        <v>0</v>
      </c>
      <c r="I178" s="145"/>
      <c r="J178" s="145"/>
      <c r="K178" s="148"/>
      <c r="L178" s="278" t="s">
        <v>690</v>
      </c>
      <c r="M178" s="145" t="s">
        <v>24</v>
      </c>
      <c r="N178" s="145" t="s">
        <v>1096</v>
      </c>
      <c r="O178" s="198" t="str">
        <f>HYPERLINK("https://leetcode.com/problems/string-compression/","https://leetcode.com/problems/string-compression/")</f>
        <v>https://leetcode.com/problems/string-compression/</v>
      </c>
    </row>
    <row r="179" spans="1:15" ht="31.5" customHeight="1" x14ac:dyDescent="0.2">
      <c r="A179" s="7">
        <v>174</v>
      </c>
      <c r="B179" s="7">
        <v>451</v>
      </c>
      <c r="C179" s="13" t="s">
        <v>1466</v>
      </c>
      <c r="D179" s="7" t="s">
        <v>4892</v>
      </c>
      <c r="E179" s="18" t="s">
        <v>28</v>
      </c>
      <c r="F179" s="3" t="s">
        <v>1467</v>
      </c>
      <c r="G179" s="3"/>
      <c r="H179" s="7">
        <f>IFERROR(VLOOKUP(B180,'📊 Problem Tracker'!$B$4:$F$1200,5,FALSE()),"")</f>
        <v>0</v>
      </c>
      <c r="I179" s="7"/>
      <c r="J179" s="7"/>
      <c r="K179" s="3"/>
      <c r="L179" s="228" t="s">
        <v>1077</v>
      </c>
      <c r="M179" s="7" t="s">
        <v>326</v>
      </c>
      <c r="N179" s="7" t="s">
        <v>24</v>
      </c>
      <c r="O179" s="197" t="str">
        <f>HYPERLINK("https://leetcode.com/problems/sort-characters-by-frequency/","https://leetcode.com/problems/sort-characters-by-frequency/")</f>
        <v>https://leetcode.com/problems/sort-characters-by-frequency/</v>
      </c>
    </row>
    <row r="180" spans="1:15" ht="31.5" customHeight="1" x14ac:dyDescent="0.2">
      <c r="A180" s="145">
        <v>175</v>
      </c>
      <c r="B180" s="145">
        <v>460</v>
      </c>
      <c r="C180" s="146" t="s">
        <v>1476</v>
      </c>
      <c r="D180" s="145" t="s">
        <v>4775</v>
      </c>
      <c r="E180" s="149" t="s">
        <v>42</v>
      </c>
      <c r="F180" s="148" t="s">
        <v>4776</v>
      </c>
      <c r="G180" s="148" t="s">
        <v>4777</v>
      </c>
      <c r="H180" s="145">
        <f>IFERROR(VLOOKUP(B181,'📊 Problem Tracker'!$B$4:$F$1200,5,FALSE()),"")</f>
        <v>0</v>
      </c>
      <c r="I180" s="145"/>
      <c r="J180" s="145"/>
      <c r="K180" s="148"/>
      <c r="L180" s="278" t="s">
        <v>959</v>
      </c>
      <c r="M180" s="145" t="s">
        <v>732</v>
      </c>
      <c r="N180" s="145" t="s">
        <v>24</v>
      </c>
      <c r="O180" s="198" t="str">
        <f>HYPERLINK("https://leetcode.com/problems/lfu-cache/","https://leetcode.com/problems/lfu-cache/")</f>
        <v>https://leetcode.com/problems/lfu-cache/</v>
      </c>
    </row>
    <row r="181" spans="1:15" ht="31.5" customHeight="1" x14ac:dyDescent="0.2">
      <c r="A181" s="7">
        <v>176</v>
      </c>
      <c r="B181" s="7">
        <v>485</v>
      </c>
      <c r="C181" s="13" t="s">
        <v>1505</v>
      </c>
      <c r="D181" s="7" t="s">
        <v>4665</v>
      </c>
      <c r="E181" s="21" t="s">
        <v>20</v>
      </c>
      <c r="F181" s="3" t="s">
        <v>166</v>
      </c>
      <c r="G181" s="3" t="s">
        <v>166</v>
      </c>
      <c r="H181" s="7">
        <f>IFERROR(VLOOKUP(B182,'📊 Problem Tracker'!$B$4:$F$1200,5,FALSE()),"")</f>
        <v>0</v>
      </c>
      <c r="I181" s="7"/>
      <c r="J181" s="7"/>
      <c r="K181" s="3"/>
      <c r="L181" s="228" t="s">
        <v>654</v>
      </c>
      <c r="M181" s="7" t="s">
        <v>24</v>
      </c>
      <c r="N181" s="7" t="s">
        <v>1100</v>
      </c>
      <c r="O181" s="197" t="str">
        <f>HYPERLINK("https://leetcode.com/problems/max-consecutive-ones/","https://leetcode.com/problems/max-consecutive-ones/")</f>
        <v>https://leetcode.com/problems/max-consecutive-ones/</v>
      </c>
    </row>
    <row r="182" spans="1:15" ht="31.5" customHeight="1" x14ac:dyDescent="0.2">
      <c r="A182" s="145">
        <v>177</v>
      </c>
      <c r="B182" s="145">
        <v>493</v>
      </c>
      <c r="C182" s="146" t="s">
        <v>1514</v>
      </c>
      <c r="D182" s="145" t="s">
        <v>4666</v>
      </c>
      <c r="E182" s="149" t="s">
        <v>42</v>
      </c>
      <c r="F182" s="148" t="s">
        <v>1515</v>
      </c>
      <c r="G182" s="148" t="s">
        <v>4559</v>
      </c>
      <c r="H182" s="145">
        <f>IFERROR(VLOOKUP(B183,'📊 Problem Tracker'!$B$4:$F$1200,5,FALSE()),"")</f>
        <v>0</v>
      </c>
      <c r="I182" s="145"/>
      <c r="J182" s="145"/>
      <c r="K182" s="148"/>
      <c r="L182" s="278" t="s">
        <v>1077</v>
      </c>
      <c r="M182" s="145" t="s">
        <v>326</v>
      </c>
      <c r="N182" s="145" t="s">
        <v>24</v>
      </c>
      <c r="O182" s="198" t="str">
        <f>HYPERLINK("https://leetcode.com/problems/reverse-pairs/","https://leetcode.com/problems/reverse-pairs/")</f>
        <v>https://leetcode.com/problems/reverse-pairs/</v>
      </c>
    </row>
    <row r="183" spans="1:15" ht="31.5" customHeight="1" x14ac:dyDescent="0.2">
      <c r="A183" s="7">
        <v>178</v>
      </c>
      <c r="B183" s="7">
        <v>494</v>
      </c>
      <c r="C183" s="13" t="s">
        <v>1517</v>
      </c>
      <c r="D183" s="7" t="s">
        <v>4654</v>
      </c>
      <c r="E183" s="18" t="s">
        <v>28</v>
      </c>
      <c r="F183" s="3" t="s">
        <v>1518</v>
      </c>
      <c r="G183" s="3" t="s">
        <v>4345</v>
      </c>
      <c r="H183" s="7">
        <f>IFERROR(VLOOKUP(B184,'📊 Problem Tracker'!$B$4:$F$1200,5,FALSE()),"")</f>
        <v>0</v>
      </c>
      <c r="I183" s="7"/>
      <c r="J183" s="7"/>
      <c r="K183" s="3"/>
      <c r="L183" s="228" t="s">
        <v>508</v>
      </c>
      <c r="M183" s="7" t="s">
        <v>1520</v>
      </c>
      <c r="N183" s="7" t="s">
        <v>1327</v>
      </c>
      <c r="O183" s="197" t="str">
        <f>HYPERLINK("https://leetcode.com/problems/target-sum/","https://leetcode.com/problems/target-sum/")</f>
        <v>https://leetcode.com/problems/target-sum/</v>
      </c>
    </row>
    <row r="184" spans="1:15" ht="31.5" customHeight="1" x14ac:dyDescent="0.2">
      <c r="A184" s="145">
        <v>179</v>
      </c>
      <c r="B184" s="145">
        <v>496</v>
      </c>
      <c r="C184" s="146" t="s">
        <v>1522</v>
      </c>
      <c r="D184" s="145" t="s">
        <v>4667</v>
      </c>
      <c r="E184" s="150" t="s">
        <v>20</v>
      </c>
      <c r="F184" s="148" t="s">
        <v>466</v>
      </c>
      <c r="G184" s="148" t="s">
        <v>1473</v>
      </c>
      <c r="H184" s="145">
        <f>IFERROR(VLOOKUP(B185,'📊 Problem Tracker'!$B$4:$F$1200,5,FALSE()),"")</f>
        <v>0</v>
      </c>
      <c r="I184" s="145"/>
      <c r="J184" s="145"/>
      <c r="K184" s="148"/>
      <c r="L184" s="278" t="s">
        <v>542</v>
      </c>
      <c r="M184" s="145" t="s">
        <v>24</v>
      </c>
      <c r="N184" s="145" t="s">
        <v>24</v>
      </c>
      <c r="O184" s="198" t="str">
        <f>HYPERLINK("https://leetcode.com/problems/next-greater-element-i/","https://leetcode.com/problems/next-greater-element-i/")</f>
        <v>https://leetcode.com/problems/next-greater-element-i/</v>
      </c>
    </row>
    <row r="185" spans="1:15" ht="31.5" customHeight="1" x14ac:dyDescent="0.2">
      <c r="A185" s="7">
        <v>180</v>
      </c>
      <c r="B185" s="7">
        <v>503</v>
      </c>
      <c r="C185" s="13" t="s">
        <v>1535</v>
      </c>
      <c r="D185" s="7" t="s">
        <v>4452</v>
      </c>
      <c r="E185" s="18" t="s">
        <v>28</v>
      </c>
      <c r="F185" s="3" t="s">
        <v>466</v>
      </c>
      <c r="G185" s="3" t="s">
        <v>1473</v>
      </c>
      <c r="H185" s="7">
        <f>IFERROR(VLOOKUP(B186,'📊 Problem Tracker'!$B$4:$F$1200,5,FALSE()),"")</f>
        <v>0</v>
      </c>
      <c r="I185" s="7"/>
      <c r="J185" s="7"/>
      <c r="K185" s="3"/>
      <c r="L185" s="228" t="s">
        <v>542</v>
      </c>
      <c r="M185" s="7" t="s">
        <v>24</v>
      </c>
      <c r="N185" s="7" t="s">
        <v>24</v>
      </c>
      <c r="O185" s="197" t="str">
        <f>HYPERLINK("https://leetcode.com/problems/next-greater-element-ii/","https://leetcode.com/problems/next-greater-element-ii/")</f>
        <v>https://leetcode.com/problems/next-greater-element-ii/</v>
      </c>
    </row>
    <row r="186" spans="1:15" ht="31.5" customHeight="1" x14ac:dyDescent="0.2">
      <c r="A186" s="145">
        <v>181</v>
      </c>
      <c r="B186" s="145">
        <v>509</v>
      </c>
      <c r="C186" s="146" t="s">
        <v>1545</v>
      </c>
      <c r="D186" s="145" t="s">
        <v>4668</v>
      </c>
      <c r="E186" s="150" t="s">
        <v>20</v>
      </c>
      <c r="F186" s="148" t="s">
        <v>1258</v>
      </c>
      <c r="G186" s="148" t="s">
        <v>4637</v>
      </c>
      <c r="H186" s="145">
        <f>IFERROR(VLOOKUP(B187,'📊 Problem Tracker'!$B$4:$F$1200,5,FALSE()),"")</f>
        <v>0</v>
      </c>
      <c r="I186" s="145"/>
      <c r="J186" s="145"/>
      <c r="K186" s="148"/>
      <c r="L186" s="278" t="s">
        <v>508</v>
      </c>
      <c r="M186" s="145" t="s">
        <v>24</v>
      </c>
      <c r="N186" s="145" t="s">
        <v>24</v>
      </c>
      <c r="O186" s="198" t="str">
        <f>HYPERLINK("https://leetcode.com/problems/fibonacci-number/","https://leetcode.com/problems/fibonacci-number/")</f>
        <v>https://leetcode.com/problems/fibonacci-number/</v>
      </c>
    </row>
    <row r="187" spans="1:15" ht="31.5" customHeight="1" x14ac:dyDescent="0.2">
      <c r="A187" s="7">
        <v>182</v>
      </c>
      <c r="B187" s="7">
        <v>518</v>
      </c>
      <c r="C187" s="13" t="s">
        <v>1555</v>
      </c>
      <c r="D187" s="7" t="s">
        <v>4669</v>
      </c>
      <c r="E187" s="18" t="s">
        <v>28</v>
      </c>
      <c r="F187" s="3" t="s">
        <v>309</v>
      </c>
      <c r="G187" s="3" t="s">
        <v>4670</v>
      </c>
      <c r="H187" s="7">
        <f>IFERROR(VLOOKUP(B188,'📊 Problem Tracker'!$B$4:$F$1200,5,FALSE()),"")</f>
        <v>0</v>
      </c>
      <c r="I187" s="7"/>
      <c r="J187" s="7"/>
      <c r="K187" s="3"/>
      <c r="L187" s="228" t="s">
        <v>508</v>
      </c>
      <c r="M187" s="7" t="s">
        <v>1520</v>
      </c>
      <c r="N187" s="7" t="s">
        <v>1327</v>
      </c>
      <c r="O187" s="197" t="str">
        <f>HYPERLINK("https://leetcode.com/problems/coin-change-ii/","https://leetcode.com/problems/coin-change-ii/")</f>
        <v>https://leetcode.com/problems/coin-change-ii/</v>
      </c>
    </row>
    <row r="188" spans="1:15" ht="31.5" customHeight="1" x14ac:dyDescent="0.2">
      <c r="A188" s="145">
        <v>183</v>
      </c>
      <c r="B188" s="145">
        <v>525</v>
      </c>
      <c r="C188" s="146" t="s">
        <v>1561</v>
      </c>
      <c r="D188" s="145" t="s">
        <v>4577</v>
      </c>
      <c r="E188" s="147" t="s">
        <v>28</v>
      </c>
      <c r="F188" s="148" t="s">
        <v>1559</v>
      </c>
      <c r="G188" s="148" t="s">
        <v>4250</v>
      </c>
      <c r="H188" s="145">
        <f>IFERROR(VLOOKUP(B189,'📊 Problem Tracker'!$B$4:$F$1200,5,FALSE()),"")</f>
        <v>0</v>
      </c>
      <c r="I188" s="145"/>
      <c r="J188" s="145"/>
      <c r="K188" s="148"/>
      <c r="L188" s="278" t="s">
        <v>705</v>
      </c>
      <c r="M188" s="145" t="s">
        <v>24</v>
      </c>
      <c r="N188" s="145" t="s">
        <v>24</v>
      </c>
      <c r="O188" s="198" t="str">
        <f>HYPERLINK("https://leetcode.com/problems/contiguous-array/","https://leetcode.com/problems/contiguous-array/")</f>
        <v>https://leetcode.com/problems/contiguous-array/</v>
      </c>
    </row>
    <row r="189" spans="1:15" ht="31.5" customHeight="1" x14ac:dyDescent="0.2">
      <c r="A189" s="7">
        <v>184</v>
      </c>
      <c r="B189" s="7">
        <v>528</v>
      </c>
      <c r="C189" s="13" t="s">
        <v>1563</v>
      </c>
      <c r="D189" s="7" t="s">
        <v>4671</v>
      </c>
      <c r="E189" s="18" t="s">
        <v>28</v>
      </c>
      <c r="F189" s="3" t="s">
        <v>1564</v>
      </c>
      <c r="G189" s="3" t="s">
        <v>4672</v>
      </c>
      <c r="H189" s="7">
        <f>IFERROR(VLOOKUP(B190,'📊 Problem Tracker'!$B$4:$F$1200,5,FALSE()),"")</f>
        <v>0</v>
      </c>
      <c r="I189" s="7"/>
      <c r="J189" s="7"/>
      <c r="K189" s="3"/>
      <c r="L189" s="228" t="s">
        <v>513</v>
      </c>
      <c r="M189" s="7" t="s">
        <v>65</v>
      </c>
      <c r="N189" s="7" t="s">
        <v>47</v>
      </c>
      <c r="O189" s="197" t="str">
        <f>HYPERLINK("https://leetcode.com/problems/random-pick-with-weight/","https://leetcode.com/problems/random-pick-with-weight/")</f>
        <v>https://leetcode.com/problems/random-pick-with-weight/</v>
      </c>
    </row>
    <row r="190" spans="1:15" ht="31.5" customHeight="1" x14ac:dyDescent="0.2">
      <c r="A190" s="145">
        <v>185</v>
      </c>
      <c r="B190" s="145">
        <v>540</v>
      </c>
      <c r="C190" s="146" t="s">
        <v>1577</v>
      </c>
      <c r="D190" s="145" t="s">
        <v>4673</v>
      </c>
      <c r="E190" s="147" t="s">
        <v>28</v>
      </c>
      <c r="F190" s="148" t="s">
        <v>41</v>
      </c>
      <c r="G190" s="148" t="s">
        <v>512</v>
      </c>
      <c r="H190" s="145">
        <f>IFERROR(VLOOKUP(B191,'📊 Problem Tracker'!$B$4:$F$1200,5,FALSE()),"")</f>
        <v>0</v>
      </c>
      <c r="I190" s="145"/>
      <c r="J190" s="145"/>
      <c r="K190" s="148"/>
      <c r="L190" s="278" t="s">
        <v>513</v>
      </c>
      <c r="M190" s="145" t="s">
        <v>65</v>
      </c>
      <c r="N190" s="145" t="s">
        <v>47</v>
      </c>
      <c r="O190" s="198" t="str">
        <f>HYPERLINK("https://leetcode.com/problems/single-element-in-a-sorted-array/","https://leetcode.com/problems/single-element-in-a-sorted-array/")</f>
        <v>https://leetcode.com/problems/single-element-in-a-sorted-array/</v>
      </c>
    </row>
    <row r="191" spans="1:15" ht="31.5" customHeight="1" x14ac:dyDescent="0.2">
      <c r="A191" s="7">
        <v>186</v>
      </c>
      <c r="B191" s="7">
        <v>543</v>
      </c>
      <c r="C191" s="13" t="s">
        <v>1584</v>
      </c>
      <c r="D191" s="7" t="s">
        <v>4471</v>
      </c>
      <c r="E191" s="21" t="s">
        <v>20</v>
      </c>
      <c r="F191" s="3" t="s">
        <v>500</v>
      </c>
      <c r="G191" s="3" t="s">
        <v>4256</v>
      </c>
      <c r="H191" s="7">
        <f>IFERROR(VLOOKUP(B192,'📊 Problem Tracker'!$B$4:$F$1200,5,FALSE()),"")</f>
        <v>0</v>
      </c>
      <c r="I191" s="7"/>
      <c r="J191" s="7"/>
      <c r="K191" s="3"/>
      <c r="L191" s="228" t="s">
        <v>571</v>
      </c>
      <c r="M191" s="7" t="s">
        <v>24</v>
      </c>
      <c r="N191" s="7" t="s">
        <v>503</v>
      </c>
      <c r="O191" s="197" t="str">
        <f>HYPERLINK("https://leetcode.com/problems/diameter-of-binary-tree/","https://leetcode.com/problems/diameter-of-binary-tree/")</f>
        <v>https://leetcode.com/problems/diameter-of-binary-tree/</v>
      </c>
    </row>
    <row r="192" spans="1:15" ht="31.5" customHeight="1" x14ac:dyDescent="0.2">
      <c r="A192" s="145">
        <v>187</v>
      </c>
      <c r="B192" s="145">
        <v>547</v>
      </c>
      <c r="C192" s="146" t="s">
        <v>1589</v>
      </c>
      <c r="D192" s="145" t="s">
        <v>4675</v>
      </c>
      <c r="E192" s="147" t="s">
        <v>28</v>
      </c>
      <c r="F192" s="148" t="s">
        <v>1213</v>
      </c>
      <c r="G192" s="148" t="s">
        <v>1736</v>
      </c>
      <c r="H192" s="145">
        <f>IFERROR(VLOOKUP(B193,'📊 Problem Tracker'!$B$4:$F$1200,5,FALSE()),"")</f>
        <v>0</v>
      </c>
      <c r="I192" s="145"/>
      <c r="J192" s="145"/>
      <c r="K192" s="148"/>
      <c r="L192" s="278" t="s">
        <v>619</v>
      </c>
      <c r="M192" s="145" t="s">
        <v>648</v>
      </c>
      <c r="N192" s="145" t="s">
        <v>648</v>
      </c>
      <c r="O192" s="198" t="str">
        <f>HYPERLINK("https://leetcode.com/problems/number-of-provinces/","https://leetcode.com/problems/number-of-provinces/")</f>
        <v>https://leetcode.com/problems/number-of-provinces/</v>
      </c>
    </row>
    <row r="193" spans="1:15" ht="31.5" customHeight="1" x14ac:dyDescent="0.2">
      <c r="A193" s="7">
        <v>188</v>
      </c>
      <c r="B193" s="7">
        <v>560</v>
      </c>
      <c r="C193" s="13" t="s">
        <v>1610</v>
      </c>
      <c r="D193" s="7" t="s">
        <v>4510</v>
      </c>
      <c r="E193" s="18" t="s">
        <v>28</v>
      </c>
      <c r="F193" s="3" t="s">
        <v>1559</v>
      </c>
      <c r="G193" s="3" t="s">
        <v>4250</v>
      </c>
      <c r="H193" s="7">
        <f>IFERROR(VLOOKUP(B194,'📊 Problem Tracker'!$B$4:$F$1200,5,FALSE()),"")</f>
        <v>0</v>
      </c>
      <c r="I193" s="7"/>
      <c r="J193" s="7"/>
      <c r="K193" s="3"/>
      <c r="L193" s="228" t="s">
        <v>1612</v>
      </c>
      <c r="M193" s="7" t="s">
        <v>24</v>
      </c>
      <c r="N193" s="7" t="s">
        <v>24</v>
      </c>
      <c r="O193" s="197" t="str">
        <f>HYPERLINK("https://leetcode.com/problems/subarray-sum-equals-k/","https://leetcode.com/problems/subarray-sum-equals-k/")</f>
        <v>https://leetcode.com/problems/subarray-sum-equals-k/</v>
      </c>
    </row>
    <row r="194" spans="1:15" ht="31.5" customHeight="1" x14ac:dyDescent="0.2">
      <c r="A194" s="145">
        <v>189</v>
      </c>
      <c r="B194" s="145">
        <v>567</v>
      </c>
      <c r="C194" s="146" t="s">
        <v>1622</v>
      </c>
      <c r="D194" s="145" t="s">
        <v>4676</v>
      </c>
      <c r="E194" s="147" t="s">
        <v>28</v>
      </c>
      <c r="F194" s="148" t="s">
        <v>427</v>
      </c>
      <c r="G194" s="148" t="s">
        <v>917</v>
      </c>
      <c r="H194" s="145">
        <f>IFERROR(VLOOKUP(B195,'📊 Problem Tracker'!$B$4:$F$1200,5,FALSE()),"")</f>
        <v>0</v>
      </c>
      <c r="I194" s="145"/>
      <c r="J194" s="145"/>
      <c r="K194" s="148"/>
      <c r="L194" s="278" t="s">
        <v>1624</v>
      </c>
      <c r="M194" s="145" t="s">
        <v>24</v>
      </c>
      <c r="N194" s="145" t="s">
        <v>1096</v>
      </c>
      <c r="O194" s="198" t="str">
        <f>HYPERLINK("https://leetcode.com/problems/permutation-in-string/","https://leetcode.com/problems/permutation-in-string/")</f>
        <v>https://leetcode.com/problems/permutation-in-string/</v>
      </c>
    </row>
    <row r="195" spans="1:15" ht="31.5" customHeight="1" x14ac:dyDescent="0.2">
      <c r="A195" s="7">
        <v>190</v>
      </c>
      <c r="B195" s="7">
        <v>621</v>
      </c>
      <c r="C195" s="13" t="s">
        <v>1665</v>
      </c>
      <c r="D195" s="7" t="s">
        <v>4680</v>
      </c>
      <c r="E195" s="18" t="s">
        <v>28</v>
      </c>
      <c r="F195" s="3" t="s">
        <v>1531</v>
      </c>
      <c r="G195" s="3" t="s">
        <v>4272</v>
      </c>
      <c r="H195" s="7">
        <f>IFERROR(VLOOKUP(B196,'📊 Problem Tracker'!$B$4:$F$1200,5,FALSE()),"")</f>
        <v>0</v>
      </c>
      <c r="I195" s="7"/>
      <c r="J195" s="7"/>
      <c r="K195" s="3"/>
      <c r="L195" s="228" t="s">
        <v>959</v>
      </c>
      <c r="M195" s="7" t="s">
        <v>24</v>
      </c>
      <c r="N195" s="7" t="s">
        <v>47</v>
      </c>
      <c r="O195" s="197" t="str">
        <f>HYPERLINK("https://leetcode.com/problems/task-scheduler/","https://leetcode.com/problems/task-scheduler/")</f>
        <v>https://leetcode.com/problems/task-scheduler/</v>
      </c>
    </row>
    <row r="196" spans="1:15" ht="31.5" customHeight="1" x14ac:dyDescent="0.2">
      <c r="A196" s="145">
        <v>191</v>
      </c>
      <c r="B196" s="145">
        <v>647</v>
      </c>
      <c r="C196" s="146" t="s">
        <v>1702</v>
      </c>
      <c r="D196" s="145" t="s">
        <v>4677</v>
      </c>
      <c r="E196" s="147" t="s">
        <v>28</v>
      </c>
      <c r="F196" s="148" t="s">
        <v>4204</v>
      </c>
      <c r="G196" s="148" t="s">
        <v>4731</v>
      </c>
      <c r="H196" s="145">
        <f>IFERROR(VLOOKUP(B197,'📊 Problem Tracker'!$B$4:$F$1200,5,FALSE()),"")</f>
        <v>0</v>
      </c>
      <c r="I196" s="145"/>
      <c r="J196" s="145"/>
      <c r="K196" s="148"/>
      <c r="L196" s="278" t="s">
        <v>690</v>
      </c>
      <c r="M196" s="145" t="s">
        <v>53</v>
      </c>
      <c r="N196" s="145" t="s">
        <v>47</v>
      </c>
      <c r="O196" s="198" t="str">
        <f>HYPERLINK("https://leetcode.com/problems/palindromic-substrings/","https://leetcode.com/problems/palindromic-substrings/")</f>
        <v>https://leetcode.com/problems/palindromic-substrings/</v>
      </c>
    </row>
    <row r="197" spans="1:15" ht="31.5" customHeight="1" x14ac:dyDescent="0.2">
      <c r="A197" s="7">
        <v>192</v>
      </c>
      <c r="B197" s="7">
        <v>658</v>
      </c>
      <c r="C197" s="13" t="s">
        <v>1712</v>
      </c>
      <c r="D197" s="7" t="s">
        <v>4684</v>
      </c>
      <c r="E197" s="18" t="s">
        <v>28</v>
      </c>
      <c r="F197" s="3" t="s">
        <v>4276</v>
      </c>
      <c r="G197" s="3" t="s">
        <v>512</v>
      </c>
      <c r="H197" s="7">
        <f>IFERROR(VLOOKUP(B198,'📊 Problem Tracker'!$B$4:$F$1200,5,FALSE()),"")</f>
        <v>0</v>
      </c>
      <c r="I197" s="7"/>
      <c r="J197" s="7"/>
      <c r="K197" s="3"/>
      <c r="L197" s="228" t="s">
        <v>919</v>
      </c>
      <c r="M197" s="7" t="s">
        <v>1713</v>
      </c>
      <c r="N197" s="7" t="s">
        <v>47</v>
      </c>
      <c r="O197" s="197" t="str">
        <f>HYPERLINK("https://leetcode.com/problems/find-k-closest-elements/","https://leetcode.com/problems/find-k-closest-elements/")</f>
        <v>https://leetcode.com/problems/find-k-closest-elements/</v>
      </c>
    </row>
    <row r="198" spans="1:15" ht="31.5" customHeight="1" x14ac:dyDescent="0.2">
      <c r="A198" s="145">
        <v>193</v>
      </c>
      <c r="B198" s="145">
        <v>680</v>
      </c>
      <c r="C198" s="146" t="s">
        <v>1728</v>
      </c>
      <c r="D198" s="145" t="s">
        <v>4451</v>
      </c>
      <c r="E198" s="150" t="s">
        <v>20</v>
      </c>
      <c r="F198" s="148" t="s">
        <v>611</v>
      </c>
      <c r="G198" s="148" t="s">
        <v>689</v>
      </c>
      <c r="H198" s="145">
        <f>IFERROR(VLOOKUP(B199,'📊 Problem Tracker'!$B$4:$F$1200,5,FALSE()),"")</f>
        <v>0</v>
      </c>
      <c r="I198" s="145"/>
      <c r="J198" s="145"/>
      <c r="K198" s="148"/>
      <c r="L198" s="278" t="s">
        <v>690</v>
      </c>
      <c r="M198" s="145" t="s">
        <v>24</v>
      </c>
      <c r="N198" s="145" t="s">
        <v>47</v>
      </c>
      <c r="O198" s="198" t="str">
        <f>HYPERLINK("https://leetcode.com/problems/valid-palindrome-ii/","https://leetcode.com/problems/valid-palindrome-ii/")</f>
        <v>https://leetcode.com/problems/valid-palindrome-ii/</v>
      </c>
    </row>
    <row r="199" spans="1:15" ht="31.5" customHeight="1" x14ac:dyDescent="0.2">
      <c r="A199" s="7">
        <v>194</v>
      </c>
      <c r="B199" s="7">
        <v>692</v>
      </c>
      <c r="C199" s="13" t="s">
        <v>1745</v>
      </c>
      <c r="D199" s="7" t="s">
        <v>4687</v>
      </c>
      <c r="E199" s="18" t="s">
        <v>28</v>
      </c>
      <c r="F199" s="3" t="s">
        <v>1746</v>
      </c>
      <c r="G199" s="3" t="s">
        <v>4229</v>
      </c>
      <c r="H199" s="7">
        <f>IFERROR(VLOOKUP(B200,'📊 Problem Tracker'!$B$4:$F$1200,5,FALSE()),"")</f>
        <v>0</v>
      </c>
      <c r="I199" s="7"/>
      <c r="J199" s="7"/>
      <c r="K199" s="3"/>
      <c r="L199" s="228" t="s">
        <v>959</v>
      </c>
      <c r="M199" s="7" t="s">
        <v>24</v>
      </c>
      <c r="N199" s="7" t="s">
        <v>24</v>
      </c>
      <c r="O199" s="197" t="str">
        <f>HYPERLINK("https://leetcode.com/problems/top-k-frequent-words/","https://leetcode.com/problems/top-k-frequent-words/")</f>
        <v>https://leetcode.com/problems/top-k-frequent-words/</v>
      </c>
    </row>
    <row r="200" spans="1:15" ht="31.5" customHeight="1" x14ac:dyDescent="0.2">
      <c r="A200" s="145">
        <v>195</v>
      </c>
      <c r="B200" s="145">
        <v>695</v>
      </c>
      <c r="C200" s="146" t="s">
        <v>1751</v>
      </c>
      <c r="D200" s="145" t="s">
        <v>4549</v>
      </c>
      <c r="E200" s="147" t="s">
        <v>28</v>
      </c>
      <c r="F200" s="148" t="s">
        <v>637</v>
      </c>
      <c r="G200" s="148" t="s">
        <v>4548</v>
      </c>
      <c r="H200" s="145">
        <f>IFERROR(VLOOKUP(B201,'📊 Problem Tracker'!$B$4:$F$1200,5,FALSE()),"")</f>
        <v>0</v>
      </c>
      <c r="I200" s="145"/>
      <c r="J200" s="145"/>
      <c r="K200" s="148"/>
      <c r="L200" s="278" t="s">
        <v>619</v>
      </c>
      <c r="M200" s="145" t="s">
        <v>81</v>
      </c>
      <c r="N200" s="145" t="s">
        <v>81</v>
      </c>
      <c r="O200" s="198" t="str">
        <f>HYPERLINK("https://leetcode.com/problems/max-area-of-island/","https://leetcode.com/problems/max-area-of-island/")</f>
        <v>https://leetcode.com/problems/max-area-of-island/</v>
      </c>
    </row>
    <row r="201" spans="1:15" ht="31.5" customHeight="1" x14ac:dyDescent="0.2">
      <c r="A201" s="7">
        <v>196</v>
      </c>
      <c r="B201" s="7">
        <v>704</v>
      </c>
      <c r="C201" s="13" t="s">
        <v>512</v>
      </c>
      <c r="D201" s="7" t="s">
        <v>4688</v>
      </c>
      <c r="E201" s="21" t="s">
        <v>20</v>
      </c>
      <c r="F201" s="3" t="s">
        <v>41</v>
      </c>
      <c r="G201" s="3"/>
      <c r="H201" s="7">
        <f>IFERROR(VLOOKUP(B202,'📊 Problem Tracker'!$B$4:$F$1200,5,FALSE()),"")</f>
        <v>0</v>
      </c>
      <c r="I201" s="7"/>
      <c r="J201" s="7"/>
      <c r="K201" s="3"/>
      <c r="L201" s="228" t="s">
        <v>1776</v>
      </c>
      <c r="M201" s="7" t="s">
        <v>65</v>
      </c>
      <c r="N201" s="7" t="s">
        <v>47</v>
      </c>
      <c r="O201" s="197" t="str">
        <f>HYPERLINK("https://leetcode.com/problems/binary-search/","https://leetcode.com/problems/binary-search/")</f>
        <v>https://leetcode.com/problems/binary-search/</v>
      </c>
    </row>
    <row r="202" spans="1:15" ht="31.5" customHeight="1" x14ac:dyDescent="0.2">
      <c r="A202" s="145">
        <v>197</v>
      </c>
      <c r="B202" s="145">
        <v>706</v>
      </c>
      <c r="C202" s="146" t="s">
        <v>1778</v>
      </c>
      <c r="D202" s="145" t="s">
        <v>4444</v>
      </c>
      <c r="E202" s="150" t="s">
        <v>20</v>
      </c>
      <c r="F202" s="148" t="s">
        <v>1295</v>
      </c>
      <c r="G202" s="148" t="s">
        <v>4557</v>
      </c>
      <c r="H202" s="145">
        <f>IFERROR(VLOOKUP(B203,'📊 Problem Tracker'!$B$4:$F$1200,5,FALSE()),"")</f>
        <v>0</v>
      </c>
      <c r="I202" s="145"/>
      <c r="J202" s="145"/>
      <c r="K202" s="148"/>
      <c r="L202" s="278" t="s">
        <v>705</v>
      </c>
      <c r="M202" s="145" t="s">
        <v>24</v>
      </c>
      <c r="N202" s="145" t="s">
        <v>24</v>
      </c>
      <c r="O202" s="198" t="str">
        <f>HYPERLINK("https://leetcode.com/problems/design-hashmap/","https://leetcode.com/problems/design-hashmap/")</f>
        <v>https://leetcode.com/problems/design-hashmap/</v>
      </c>
    </row>
    <row r="203" spans="1:15" ht="31.5" customHeight="1" x14ac:dyDescent="0.2">
      <c r="A203" s="7">
        <v>198</v>
      </c>
      <c r="B203" s="7">
        <v>713</v>
      </c>
      <c r="C203" s="13" t="s">
        <v>1793</v>
      </c>
      <c r="D203" s="7" t="s">
        <v>4554</v>
      </c>
      <c r="E203" s="18" t="s">
        <v>28</v>
      </c>
      <c r="F203" s="3" t="s">
        <v>916</v>
      </c>
      <c r="G203" s="3" t="s">
        <v>917</v>
      </c>
      <c r="H203" s="7">
        <f>IFERROR(VLOOKUP(B204,'📊 Problem Tracker'!$B$4:$F$1200,5,FALSE()),"")</f>
        <v>0</v>
      </c>
      <c r="I203" s="7"/>
      <c r="J203" s="7"/>
      <c r="K203" s="3"/>
      <c r="L203" s="228" t="s">
        <v>919</v>
      </c>
      <c r="M203" s="7" t="s">
        <v>24</v>
      </c>
      <c r="N203" s="7" t="s">
        <v>1096</v>
      </c>
      <c r="O203" s="197" t="str">
        <f>HYPERLINK("https://leetcode.com/problems/subarray-product-less-than-k/","https://leetcode.com/problems/subarray-product-less-than-k/")</f>
        <v>https://leetcode.com/problems/subarray-product-less-than-k/</v>
      </c>
    </row>
    <row r="204" spans="1:15" ht="31.5" customHeight="1" x14ac:dyDescent="0.2">
      <c r="A204" s="145">
        <v>199</v>
      </c>
      <c r="B204" s="145">
        <v>721</v>
      </c>
      <c r="C204" s="146" t="s">
        <v>1805</v>
      </c>
      <c r="D204" s="145" t="s">
        <v>4515</v>
      </c>
      <c r="E204" s="147" t="s">
        <v>28</v>
      </c>
      <c r="F204" s="148" t="s">
        <v>1806</v>
      </c>
      <c r="G204" s="148" t="s">
        <v>1736</v>
      </c>
      <c r="H204" s="145">
        <f>IFERROR(VLOOKUP(B205,'📊 Problem Tracker'!$B$4:$F$1200,5,FALSE()),"")</f>
        <v>0</v>
      </c>
      <c r="I204" s="145"/>
      <c r="J204" s="145"/>
      <c r="K204" s="148"/>
      <c r="L204" s="278" t="s">
        <v>619</v>
      </c>
      <c r="M204" s="145" t="s">
        <v>1807</v>
      </c>
      <c r="N204" s="145" t="s">
        <v>1808</v>
      </c>
      <c r="O204" s="198" t="str">
        <f>HYPERLINK("https://leetcode.com/problems/accounts-merge/","https://leetcode.com/problems/accounts-merge/")</f>
        <v>https://leetcode.com/problems/accounts-merge/</v>
      </c>
    </row>
    <row r="205" spans="1:15" ht="31.5" customHeight="1" x14ac:dyDescent="0.2">
      <c r="A205" s="7">
        <v>200</v>
      </c>
      <c r="B205" s="7">
        <v>733</v>
      </c>
      <c r="C205" s="13" t="s">
        <v>1828</v>
      </c>
      <c r="D205" s="7" t="s">
        <v>4496</v>
      </c>
      <c r="E205" s="21" t="s">
        <v>20</v>
      </c>
      <c r="F205" s="3" t="s">
        <v>637</v>
      </c>
      <c r="G205" s="3" t="s">
        <v>4548</v>
      </c>
      <c r="H205" s="7">
        <f>IFERROR(VLOOKUP(B206,'📊 Problem Tracker'!$B$4:$F$1200,5,FALSE()),"")</f>
        <v>0</v>
      </c>
      <c r="I205" s="7"/>
      <c r="J205" s="7"/>
      <c r="K205" s="3"/>
      <c r="L205" s="228" t="s">
        <v>1830</v>
      </c>
      <c r="M205" s="7" t="s">
        <v>81</v>
      </c>
      <c r="N205" s="7" t="s">
        <v>81</v>
      </c>
      <c r="O205" s="197" t="str">
        <f>HYPERLINK("https://leetcode.com/problems/flood-fill/","https://leetcode.com/problems/flood-fill/")</f>
        <v>https://leetcode.com/problems/flood-fill/</v>
      </c>
    </row>
    <row r="206" spans="1:15" ht="31.5" customHeight="1" x14ac:dyDescent="0.2">
      <c r="A206" s="145">
        <v>201</v>
      </c>
      <c r="B206" s="145">
        <v>735</v>
      </c>
      <c r="C206" s="146" t="s">
        <v>1832</v>
      </c>
      <c r="D206" s="145" t="s">
        <v>4692</v>
      </c>
      <c r="E206" s="147" t="s">
        <v>28</v>
      </c>
      <c r="F206" s="148" t="s">
        <v>1472</v>
      </c>
      <c r="G206" s="148" t="s">
        <v>540</v>
      </c>
      <c r="H206" s="145">
        <f>IFERROR(VLOOKUP(B207,'📊 Problem Tracker'!$B$4:$F$1200,5,FALSE()),"")</f>
        <v>0</v>
      </c>
      <c r="I206" s="145"/>
      <c r="J206" s="145"/>
      <c r="K206" s="148"/>
      <c r="L206" s="278" t="s">
        <v>542</v>
      </c>
      <c r="M206" s="145" t="s">
        <v>24</v>
      </c>
      <c r="N206" s="145" t="s">
        <v>24</v>
      </c>
      <c r="O206" s="198" t="str">
        <f>HYPERLINK("https://leetcode.com/problems/asteroid-collision/","https://leetcode.com/problems/asteroid-collision/")</f>
        <v>https://leetcode.com/problems/asteroid-collision/</v>
      </c>
    </row>
    <row r="207" spans="1:15" ht="31.5" customHeight="1" x14ac:dyDescent="0.2">
      <c r="A207" s="7">
        <v>202</v>
      </c>
      <c r="B207" s="7">
        <v>739</v>
      </c>
      <c r="C207" s="13" t="s">
        <v>1836</v>
      </c>
      <c r="D207" s="7" t="s">
        <v>4693</v>
      </c>
      <c r="E207" s="18" t="s">
        <v>28</v>
      </c>
      <c r="F207" s="3" t="s">
        <v>1837</v>
      </c>
      <c r="G207" s="3" t="s">
        <v>1473</v>
      </c>
      <c r="H207" s="7">
        <f>IFERROR(VLOOKUP(B208,'📊 Problem Tracker'!$B$4:$F$1200,5,FALSE()),"")</f>
        <v>0</v>
      </c>
      <c r="I207" s="7"/>
      <c r="J207" s="7"/>
      <c r="K207" s="3"/>
      <c r="L207" s="228" t="s">
        <v>1839</v>
      </c>
      <c r="M207" s="7" t="s">
        <v>24</v>
      </c>
      <c r="N207" s="7" t="s">
        <v>24</v>
      </c>
      <c r="O207" s="197" t="str">
        <f>HYPERLINK("https://leetcode.com/problems/daily-temperatures/","https://leetcode.com/problems/daily-temperatures/")</f>
        <v>https://leetcode.com/problems/daily-temperatures/</v>
      </c>
    </row>
    <row r="208" spans="1:15" ht="31.5" customHeight="1" x14ac:dyDescent="0.2">
      <c r="A208" s="145">
        <v>203</v>
      </c>
      <c r="B208" s="145">
        <v>743</v>
      </c>
      <c r="C208" s="146" t="s">
        <v>1843</v>
      </c>
      <c r="D208" s="145" t="s">
        <v>4652</v>
      </c>
      <c r="E208" s="147" t="s">
        <v>28</v>
      </c>
      <c r="F208" s="148" t="s">
        <v>1844</v>
      </c>
      <c r="G208" s="148" t="s">
        <v>3339</v>
      </c>
      <c r="H208" s="145">
        <f>IFERROR(VLOOKUP(B209,'📊 Problem Tracker'!$B$4:$F$1200,5,FALSE()),"")</f>
        <v>0</v>
      </c>
      <c r="I208" s="145"/>
      <c r="J208" s="145"/>
      <c r="K208" s="148"/>
      <c r="L208" s="278" t="s">
        <v>959</v>
      </c>
      <c r="M208" s="145" t="s">
        <v>1845</v>
      </c>
      <c r="N208" s="145" t="s">
        <v>648</v>
      </c>
      <c r="O208" s="198" t="str">
        <f>HYPERLINK("https://leetcode.com/problems/network-delay-time/","https://leetcode.com/problems/network-delay-time/")</f>
        <v>https://leetcode.com/problems/network-delay-time/</v>
      </c>
    </row>
    <row r="209" spans="1:15" ht="31.5" customHeight="1" x14ac:dyDescent="0.2">
      <c r="A209" s="7">
        <v>204</v>
      </c>
      <c r="B209" s="7">
        <v>746</v>
      </c>
      <c r="C209" s="13" t="s">
        <v>1851</v>
      </c>
      <c r="D209" s="7" t="s">
        <v>4452</v>
      </c>
      <c r="E209" s="21" t="s">
        <v>20</v>
      </c>
      <c r="F209" s="3" t="s">
        <v>309</v>
      </c>
      <c r="G209" s="3"/>
      <c r="H209" s="7">
        <f>IFERROR(VLOOKUP(B210,'📊 Problem Tracker'!$B$4:$F$1200,5,FALSE()),"")</f>
        <v>0</v>
      </c>
      <c r="I209" s="7"/>
      <c r="J209" s="7"/>
      <c r="K209" s="3"/>
      <c r="L209" s="228" t="s">
        <v>1854</v>
      </c>
      <c r="M209" s="7" t="s">
        <v>24</v>
      </c>
      <c r="N209" s="7" t="s">
        <v>47</v>
      </c>
      <c r="O209" s="197" t="str">
        <f>HYPERLINK("https://leetcode.com/problems/min-cost-climbing-stairs/","https://leetcode.com/problems/min-cost-climbing-stairs/")</f>
        <v>https://leetcode.com/problems/min-cost-climbing-stairs/</v>
      </c>
    </row>
    <row r="210" spans="1:15" ht="31.5" customHeight="1" x14ac:dyDescent="0.2">
      <c r="A210" s="145">
        <v>205</v>
      </c>
      <c r="B210" s="145">
        <v>752</v>
      </c>
      <c r="C210" s="146" t="s">
        <v>1856</v>
      </c>
      <c r="D210" s="145" t="s">
        <v>4515</v>
      </c>
      <c r="E210" s="147" t="s">
        <v>28</v>
      </c>
      <c r="F210" s="148" t="s">
        <v>1857</v>
      </c>
      <c r="G210" s="148" t="s">
        <v>4895</v>
      </c>
      <c r="H210" s="145">
        <f>IFERROR(VLOOKUP(B211,'📊 Problem Tracker'!$B$4:$F$1200,5,FALSE()),"")</f>
        <v>0</v>
      </c>
      <c r="I210" s="145"/>
      <c r="J210" s="145"/>
      <c r="K210" s="148"/>
      <c r="L210" s="278" t="s">
        <v>619</v>
      </c>
      <c r="M210" s="145" t="s">
        <v>648</v>
      </c>
      <c r="N210" s="145" t="s">
        <v>648</v>
      </c>
      <c r="O210" s="198" t="str">
        <f>HYPERLINK("https://leetcode.com/problems/open-the-lock/","https://leetcode.com/problems/open-the-lock/")</f>
        <v>https://leetcode.com/problems/open-the-lock/</v>
      </c>
    </row>
    <row r="211" spans="1:15" ht="31.5" customHeight="1" x14ac:dyDescent="0.2">
      <c r="A211" s="7">
        <v>206</v>
      </c>
      <c r="B211" s="7">
        <v>763</v>
      </c>
      <c r="C211" s="13" t="s">
        <v>1872</v>
      </c>
      <c r="D211" s="7" t="s">
        <v>4480</v>
      </c>
      <c r="E211" s="18" t="s">
        <v>28</v>
      </c>
      <c r="F211" s="3" t="s">
        <v>1873</v>
      </c>
      <c r="G211" s="3"/>
      <c r="H211" s="7">
        <f>IFERROR(VLOOKUP(B212,'📊 Problem Tracker'!$B$4:$F$1200,5,FALSE()),"")</f>
        <v>0</v>
      </c>
      <c r="I211" s="7"/>
      <c r="J211" s="7"/>
      <c r="K211" s="3"/>
      <c r="L211" s="228" t="s">
        <v>4239</v>
      </c>
      <c r="M211" s="7" t="s">
        <v>24</v>
      </c>
      <c r="N211" s="7" t="s">
        <v>47</v>
      </c>
      <c r="O211" s="197" t="str">
        <f>HYPERLINK("https://leetcode.com/problems/partition-labels/","https://leetcode.com/problems/partition-labels/")</f>
        <v>https://leetcode.com/problems/partition-labels/</v>
      </c>
    </row>
    <row r="212" spans="1:15" ht="31.5" customHeight="1" x14ac:dyDescent="0.2">
      <c r="A212" s="145">
        <v>207</v>
      </c>
      <c r="B212" s="145">
        <v>767</v>
      </c>
      <c r="C212" s="146" t="s">
        <v>1879</v>
      </c>
      <c r="D212" s="145" t="s">
        <v>4659</v>
      </c>
      <c r="E212" s="147" t="s">
        <v>28</v>
      </c>
      <c r="F212" s="148" t="s">
        <v>1880</v>
      </c>
      <c r="G212" s="148"/>
      <c r="H212" s="145">
        <f>IFERROR(VLOOKUP(B213,'📊 Problem Tracker'!$B$4:$F$1200,5,FALSE()),"")</f>
        <v>0</v>
      </c>
      <c r="I212" s="145"/>
      <c r="J212" s="145"/>
      <c r="K212" s="148"/>
      <c r="L212" s="278" t="s">
        <v>750</v>
      </c>
      <c r="M212" s="145" t="s">
        <v>24</v>
      </c>
      <c r="N212" s="145" t="s">
        <v>24</v>
      </c>
      <c r="O212" s="198" t="str">
        <f>HYPERLINK("https://leetcode.com/problems/reorganize-string/","https://leetcode.com/problems/reorganize-string/")</f>
        <v>https://leetcode.com/problems/reorganize-string/</v>
      </c>
    </row>
    <row r="213" spans="1:15" ht="31.5" customHeight="1" x14ac:dyDescent="0.2">
      <c r="A213" s="7">
        <v>208</v>
      </c>
      <c r="B213" s="7">
        <v>787</v>
      </c>
      <c r="C213" s="13" t="s">
        <v>1898</v>
      </c>
      <c r="D213" s="7" t="s">
        <v>4501</v>
      </c>
      <c r="E213" s="18" t="s">
        <v>28</v>
      </c>
      <c r="F213" s="3" t="s">
        <v>1899</v>
      </c>
      <c r="G213" s="3" t="s">
        <v>4302</v>
      </c>
      <c r="H213" s="7">
        <f>IFERROR(VLOOKUP(B214,'📊 Problem Tracker'!$B$4:$F$1200,5,FALSE()),"")</f>
        <v>0</v>
      </c>
      <c r="I213" s="7"/>
      <c r="J213" s="7"/>
      <c r="K213" s="3"/>
      <c r="L213" s="228" t="s">
        <v>508</v>
      </c>
      <c r="M213" s="7" t="s">
        <v>648</v>
      </c>
      <c r="N213" s="7" t="s">
        <v>648</v>
      </c>
      <c r="O213" s="197" t="str">
        <f>HYPERLINK("https://leetcode.com/problems/cheapest-flights-within-k-stops/","https://leetcode.com/problems/cheapest-flights-within-k-stops/")</f>
        <v>https://leetcode.com/problems/cheapest-flights-within-k-stops/</v>
      </c>
    </row>
    <row r="214" spans="1:15" ht="31.5" customHeight="1" x14ac:dyDescent="0.2">
      <c r="A214" s="145">
        <v>209</v>
      </c>
      <c r="B214" s="145">
        <v>815</v>
      </c>
      <c r="C214" s="146" t="s">
        <v>1937</v>
      </c>
      <c r="D214" s="145" t="s">
        <v>4510</v>
      </c>
      <c r="E214" s="149" t="s">
        <v>42</v>
      </c>
      <c r="F214" s="148" t="s">
        <v>1857</v>
      </c>
      <c r="G214" s="148" t="s">
        <v>4895</v>
      </c>
      <c r="H214" s="145">
        <f>IFERROR(VLOOKUP(B215,'📊 Problem Tracker'!$B$4:$F$1200,5,FALSE()),"")</f>
        <v>0</v>
      </c>
      <c r="I214" s="145"/>
      <c r="J214" s="145"/>
      <c r="K214" s="148"/>
      <c r="L214" s="278" t="s">
        <v>619</v>
      </c>
      <c r="M214" s="145" t="s">
        <v>648</v>
      </c>
      <c r="N214" s="145" t="s">
        <v>648</v>
      </c>
      <c r="O214" s="198" t="str">
        <f>HYPERLINK("https://leetcode.com/problems/bus-routes/","https://leetcode.com/problems/bus-routes/")</f>
        <v>https://leetcode.com/problems/bus-routes/</v>
      </c>
    </row>
    <row r="215" spans="1:15" ht="31.5" customHeight="1" x14ac:dyDescent="0.2">
      <c r="A215" s="7">
        <v>210</v>
      </c>
      <c r="B215" s="7">
        <v>827</v>
      </c>
      <c r="C215" s="13" t="s">
        <v>1951</v>
      </c>
      <c r="D215" s="7" t="s">
        <v>4625</v>
      </c>
      <c r="E215" s="20" t="s">
        <v>42</v>
      </c>
      <c r="F215" s="3" t="s">
        <v>1952</v>
      </c>
      <c r="G215" s="3" t="s">
        <v>4877</v>
      </c>
      <c r="H215" s="7">
        <f>IFERROR(VLOOKUP(B216,'📊 Problem Tracker'!$B$4:$F$1200,5,FALSE()),"")</f>
        <v>0</v>
      </c>
      <c r="I215" s="7"/>
      <c r="J215" s="7"/>
      <c r="K215" s="3"/>
      <c r="L215" s="228" t="s">
        <v>619</v>
      </c>
      <c r="M215" s="7" t="s">
        <v>81</v>
      </c>
      <c r="N215" s="7" t="s">
        <v>81</v>
      </c>
      <c r="O215" s="197" t="str">
        <f>HYPERLINK("https://leetcode.com/problems/making-a-large-island/","https://leetcode.com/problems/making-a-large-island/")</f>
        <v>https://leetcode.com/problems/making-a-large-island/</v>
      </c>
    </row>
    <row r="216" spans="1:15" ht="31.5" customHeight="1" x14ac:dyDescent="0.2">
      <c r="A216" s="145">
        <v>211</v>
      </c>
      <c r="B216" s="145">
        <v>853</v>
      </c>
      <c r="C216" s="146" t="s">
        <v>1983</v>
      </c>
      <c r="D216" s="145" t="s">
        <v>4641</v>
      </c>
      <c r="E216" s="147" t="s">
        <v>28</v>
      </c>
      <c r="F216" s="148" t="s">
        <v>466</v>
      </c>
      <c r="G216" s="148"/>
      <c r="H216" s="145">
        <f>IFERROR(VLOOKUP(B217,'📊 Problem Tracker'!$B$4:$F$1200,5,FALSE()),"")</f>
        <v>0</v>
      </c>
      <c r="I216" s="145"/>
      <c r="J216" s="145"/>
      <c r="K216" s="148"/>
      <c r="L216" s="278" t="s">
        <v>4239</v>
      </c>
      <c r="M216" s="145" t="s">
        <v>24</v>
      </c>
      <c r="N216" s="145" t="s">
        <v>24</v>
      </c>
      <c r="O216" s="198" t="str">
        <f>HYPERLINK("https://leetcode.com/problems/car-fleet/","https://leetcode.com/problems/car-fleet/")</f>
        <v>https://leetcode.com/problems/car-fleet/</v>
      </c>
    </row>
    <row r="217" spans="1:15" ht="31.5" customHeight="1" x14ac:dyDescent="0.2">
      <c r="A217" s="7">
        <v>212</v>
      </c>
      <c r="B217" s="7">
        <v>863</v>
      </c>
      <c r="C217" s="13" t="s">
        <v>1994</v>
      </c>
      <c r="D217" s="7" t="s">
        <v>4802</v>
      </c>
      <c r="E217" s="18" t="s">
        <v>28</v>
      </c>
      <c r="F217" s="3" t="s">
        <v>1995</v>
      </c>
      <c r="G217" s="3" t="s">
        <v>4803</v>
      </c>
      <c r="H217" s="7">
        <f>IFERROR(VLOOKUP(B218,'📊 Problem Tracker'!$B$4:$F$1200,5,FALSE()),"")</f>
        <v>0</v>
      </c>
      <c r="I217" s="7"/>
      <c r="J217" s="7"/>
      <c r="K217" s="3"/>
      <c r="L217" s="228" t="s">
        <v>571</v>
      </c>
      <c r="M217" s="7" t="s">
        <v>24</v>
      </c>
      <c r="N217" s="7" t="s">
        <v>24</v>
      </c>
      <c r="O217" s="197" t="str">
        <f>HYPERLINK("https://leetcode.com/problems/all-nodes-distance-k-in-binary-tree/","https://leetcode.com/problems/all-nodes-distance-k-in-binary-tree/")</f>
        <v>https://leetcode.com/problems/all-nodes-distance-k-in-binary-tree/</v>
      </c>
    </row>
    <row r="218" spans="1:15" ht="31.5" customHeight="1" x14ac:dyDescent="0.2">
      <c r="A218" s="145">
        <v>213</v>
      </c>
      <c r="B218" s="145">
        <v>875</v>
      </c>
      <c r="C218" s="146" t="s">
        <v>2014</v>
      </c>
      <c r="D218" s="145" t="s">
        <v>4682</v>
      </c>
      <c r="E218" s="147" t="s">
        <v>28</v>
      </c>
      <c r="F218" s="148" t="s">
        <v>41</v>
      </c>
      <c r="G218" s="148" t="s">
        <v>1801</v>
      </c>
      <c r="H218" s="145">
        <f>IFERROR(VLOOKUP(B219,'📊 Problem Tracker'!$B$4:$F$1200,5,FALSE()),"")</f>
        <v>0</v>
      </c>
      <c r="I218" s="145"/>
      <c r="J218" s="145"/>
      <c r="K218" s="148"/>
      <c r="L218" s="278" t="s">
        <v>513</v>
      </c>
      <c r="M218" s="145" t="s">
        <v>65</v>
      </c>
      <c r="N218" s="145" t="s">
        <v>47</v>
      </c>
      <c r="O218" s="198" t="str">
        <f>HYPERLINK("https://leetcode.com/problems/koko-eating-bananas/","https://leetcode.com/problems/koko-eating-bananas/")</f>
        <v>https://leetcode.com/problems/koko-eating-bananas/</v>
      </c>
    </row>
    <row r="219" spans="1:15" ht="31.5" customHeight="1" x14ac:dyDescent="0.2">
      <c r="A219" s="7">
        <v>214</v>
      </c>
      <c r="B219" s="7">
        <v>876</v>
      </c>
      <c r="C219" s="13" t="s">
        <v>2017</v>
      </c>
      <c r="D219" s="7" t="s">
        <v>4702</v>
      </c>
      <c r="E219" s="21" t="s">
        <v>20</v>
      </c>
      <c r="F219" s="3" t="s">
        <v>679</v>
      </c>
      <c r="G219" s="3" t="s">
        <v>4034</v>
      </c>
      <c r="H219" s="7">
        <f>IFERROR(VLOOKUP(B220,'📊 Problem Tracker'!$B$4:$F$1200,5,FALSE()),"")</f>
        <v>0</v>
      </c>
      <c r="I219" s="7"/>
      <c r="J219" s="7"/>
      <c r="K219" s="3"/>
      <c r="L219" s="228" t="s">
        <v>690</v>
      </c>
      <c r="M219" s="7" t="s">
        <v>24</v>
      </c>
      <c r="N219" s="7" t="s">
        <v>47</v>
      </c>
      <c r="O219" s="197" t="str">
        <f>HYPERLINK("https://leetcode.com/problems/middle-of-the-linked-list/","https://leetcode.com/problems/middle-of-the-linked-list/")</f>
        <v>https://leetcode.com/problems/middle-of-the-linked-list/</v>
      </c>
    </row>
    <row r="220" spans="1:15" ht="31.5" customHeight="1" x14ac:dyDescent="0.2">
      <c r="A220" s="145">
        <v>215</v>
      </c>
      <c r="B220" s="145">
        <v>881</v>
      </c>
      <c r="C220" s="146" t="s">
        <v>4936</v>
      </c>
      <c r="D220" s="145" t="s">
        <v>4460</v>
      </c>
      <c r="E220" s="147" t="s">
        <v>28</v>
      </c>
      <c r="F220" s="148" t="s">
        <v>2025</v>
      </c>
      <c r="G220" s="148"/>
      <c r="H220" s="145">
        <f>IFERROR(VLOOKUP(B221,'📊 Problem Tracker'!$B$4:$F$1200,5,FALSE()),"")</f>
        <v>0</v>
      </c>
      <c r="I220" s="145"/>
      <c r="J220" s="145"/>
      <c r="K220" s="148"/>
      <c r="L220" s="278" t="s">
        <v>4239</v>
      </c>
      <c r="M220" s="145" t="s">
        <v>326</v>
      </c>
      <c r="N220" s="145" t="s">
        <v>47</v>
      </c>
      <c r="O220" s="198" t="str">
        <f>HYPERLINK("https://leetcode.com/problems/boats-to-save-people/","https://leetcode.com/problems/boats-to-save-people/")</f>
        <v>https://leetcode.com/problems/boats-to-save-people/</v>
      </c>
    </row>
    <row r="221" spans="1:15" ht="31.5" customHeight="1" x14ac:dyDescent="0.2">
      <c r="A221" s="7">
        <v>216</v>
      </c>
      <c r="B221" s="7">
        <v>895</v>
      </c>
      <c r="C221" s="13" t="s">
        <v>2038</v>
      </c>
      <c r="D221" s="7" t="s">
        <v>4495</v>
      </c>
      <c r="E221" s="20" t="s">
        <v>42</v>
      </c>
      <c r="F221" s="3" t="s">
        <v>4314</v>
      </c>
      <c r="G221" s="3" t="s">
        <v>4809</v>
      </c>
      <c r="H221" s="7">
        <f>IFERROR(VLOOKUP(B222,'📊 Problem Tracker'!$B$4:$F$1200,5,FALSE()),"")</f>
        <v>0</v>
      </c>
      <c r="I221" s="7"/>
      <c r="J221" s="7"/>
      <c r="K221" s="3"/>
      <c r="L221" s="228" t="s">
        <v>959</v>
      </c>
      <c r="M221" s="7" t="s">
        <v>960</v>
      </c>
      <c r="N221" s="7" t="s">
        <v>153</v>
      </c>
      <c r="O221" s="197" t="str">
        <f>HYPERLINK("https://leetcode.com/problems/maximum-frequency-stack/","https://leetcode.com/problems/maximum-frequency-stack/")</f>
        <v>https://leetcode.com/problems/maximum-frequency-stack/</v>
      </c>
    </row>
    <row r="222" spans="1:15" ht="31.5" customHeight="1" x14ac:dyDescent="0.2">
      <c r="A222" s="145">
        <v>217</v>
      </c>
      <c r="B222" s="145">
        <v>901</v>
      </c>
      <c r="C222" s="146" t="s">
        <v>2045</v>
      </c>
      <c r="D222" s="145" t="s">
        <v>4703</v>
      </c>
      <c r="E222" s="147" t="s">
        <v>28</v>
      </c>
      <c r="F222" s="148" t="s">
        <v>466</v>
      </c>
      <c r="G222" s="148"/>
      <c r="H222" s="145">
        <f>IFERROR(VLOOKUP(B223,'📊 Problem Tracker'!$B$4:$F$1200,5,FALSE()),"")</f>
        <v>0</v>
      </c>
      <c r="I222" s="145"/>
      <c r="J222" s="145"/>
      <c r="K222" s="148"/>
      <c r="L222" s="278" t="s">
        <v>4239</v>
      </c>
      <c r="M222" s="145" t="s">
        <v>24</v>
      </c>
      <c r="N222" s="145" t="s">
        <v>24</v>
      </c>
      <c r="O222" s="198" t="str">
        <f>HYPERLINK("https://leetcode.com/problems/online-stock-span/","https://leetcode.com/problems/online-stock-span/")</f>
        <v>https://leetcode.com/problems/online-stock-span/</v>
      </c>
    </row>
    <row r="223" spans="1:15" ht="31.5" customHeight="1" x14ac:dyDescent="0.2">
      <c r="A223" s="7">
        <v>218</v>
      </c>
      <c r="B223" s="7">
        <v>904</v>
      </c>
      <c r="C223" s="13" t="s">
        <v>2047</v>
      </c>
      <c r="D223" s="7" t="s">
        <v>4499</v>
      </c>
      <c r="E223" s="18" t="s">
        <v>28</v>
      </c>
      <c r="F223" s="3" t="s">
        <v>2956</v>
      </c>
      <c r="G223" s="3" t="s">
        <v>917</v>
      </c>
      <c r="H223" s="7">
        <f>IFERROR(VLOOKUP(B224,'📊 Problem Tracker'!$B$4:$F$1200,5,FALSE()),"")</f>
        <v>0</v>
      </c>
      <c r="I223" s="7"/>
      <c r="J223" s="7"/>
      <c r="K223" s="3"/>
      <c r="L223" s="228" t="s">
        <v>919</v>
      </c>
      <c r="M223" s="7" t="s">
        <v>24</v>
      </c>
      <c r="N223" s="7" t="s">
        <v>1096</v>
      </c>
      <c r="O223" s="197" t="str">
        <f>HYPERLINK("https://leetcode.com/problems/fruit-into-baskets/","https://leetcode.com/problems/fruit-into-baskets/")</f>
        <v>https://leetcode.com/problems/fruit-into-baskets/</v>
      </c>
    </row>
    <row r="224" spans="1:15" ht="31.5" customHeight="1" x14ac:dyDescent="0.2">
      <c r="A224" s="145">
        <v>219</v>
      </c>
      <c r="B224" s="145">
        <v>907</v>
      </c>
      <c r="C224" s="146" t="s">
        <v>2054</v>
      </c>
      <c r="D224" s="145" t="s">
        <v>4483</v>
      </c>
      <c r="E224" s="147" t="s">
        <v>28</v>
      </c>
      <c r="F224" s="148" t="s">
        <v>466</v>
      </c>
      <c r="G224" s="148" t="s">
        <v>1473</v>
      </c>
      <c r="H224" s="145">
        <f>IFERROR(VLOOKUP(B225,'📊 Problem Tracker'!$B$4:$F$1200,5,FALSE()),"")</f>
        <v>0</v>
      </c>
      <c r="I224" s="145"/>
      <c r="J224" s="145"/>
      <c r="K224" s="148"/>
      <c r="L224" s="278" t="s">
        <v>542</v>
      </c>
      <c r="M224" s="145" t="s">
        <v>24</v>
      </c>
      <c r="N224" s="145" t="s">
        <v>24</v>
      </c>
      <c r="O224" s="198" t="str">
        <f>HYPERLINK("https://leetcode.com/problems/sum-of-subarray-minimums/","https://leetcode.com/problems/sum-of-subarray-minimums/")</f>
        <v>https://leetcode.com/problems/sum-of-subarray-minimums/</v>
      </c>
    </row>
    <row r="225" spans="1:15" ht="31.5" customHeight="1" x14ac:dyDescent="0.2">
      <c r="A225" s="7">
        <v>220</v>
      </c>
      <c r="B225" s="7">
        <v>921</v>
      </c>
      <c r="C225" s="13" t="s">
        <v>2062</v>
      </c>
      <c r="D225" s="7" t="s">
        <v>4778</v>
      </c>
      <c r="E225" s="18" t="s">
        <v>28</v>
      </c>
      <c r="F225" s="3" t="s">
        <v>1381</v>
      </c>
      <c r="G225" s="3" t="s">
        <v>4879</v>
      </c>
      <c r="H225" s="7">
        <f>IFERROR(VLOOKUP(B226,'📊 Problem Tracker'!$B$4:$F$1200,5,FALSE()),"")</f>
        <v>0</v>
      </c>
      <c r="I225" s="7"/>
      <c r="J225" s="7"/>
      <c r="K225" s="3"/>
      <c r="L225" s="228" t="s">
        <v>542</v>
      </c>
      <c r="M225" s="7" t="s">
        <v>24</v>
      </c>
      <c r="N225" s="7" t="s">
        <v>47</v>
      </c>
      <c r="O225" s="197" t="str">
        <f>HYPERLINK("https://leetcode.com/problems/minimum-add-to-make-parentheses-valid/","https://leetcode.com/problems/minimum-add-to-make-parentheses-valid/")</f>
        <v>https://leetcode.com/problems/minimum-add-to-make-parentheses-valid/</v>
      </c>
    </row>
    <row r="226" spans="1:15" ht="31.5" customHeight="1" x14ac:dyDescent="0.2">
      <c r="A226" s="7">
        <v>221</v>
      </c>
      <c r="B226" s="7">
        <v>981</v>
      </c>
      <c r="C226" s="13" t="s">
        <v>2132</v>
      </c>
      <c r="D226" s="7" t="s">
        <v>4497</v>
      </c>
      <c r="E226" s="18" t="s">
        <v>28</v>
      </c>
      <c r="F226" s="3" t="s">
        <v>2133</v>
      </c>
      <c r="G226" s="3" t="s">
        <v>4706</v>
      </c>
      <c r="H226" s="7">
        <f>IFERROR(VLOOKUP(B228,'📊 Problem Tracker'!$B$4:$F$1200,5,FALSE()),"")</f>
        <v>0</v>
      </c>
      <c r="I226" s="7"/>
      <c r="J226" s="7"/>
      <c r="K226" s="3"/>
      <c r="L226" s="228" t="s">
        <v>513</v>
      </c>
      <c r="M226" s="7" t="s">
        <v>2134</v>
      </c>
      <c r="N226" s="7" t="s">
        <v>24</v>
      </c>
      <c r="O226" s="197" t="str">
        <f>HYPERLINK("https://leetcode.com/problems/time-based-key-value-store/","https://leetcode.com/problems/time-based-key-value-store/")</f>
        <v>https://leetcode.com/problems/time-based-key-value-store/</v>
      </c>
    </row>
    <row r="227" spans="1:15" ht="31.5" customHeight="1" x14ac:dyDescent="0.2">
      <c r="A227" s="145">
        <v>222</v>
      </c>
      <c r="B227" s="145">
        <v>986</v>
      </c>
      <c r="C227" s="146" t="s">
        <v>2138</v>
      </c>
      <c r="D227" s="145" t="s">
        <v>4815</v>
      </c>
      <c r="E227" s="147" t="s">
        <v>28</v>
      </c>
      <c r="F227" s="148" t="s">
        <v>4816</v>
      </c>
      <c r="G227" s="148" t="s">
        <v>4817</v>
      </c>
      <c r="H227" s="145">
        <f>IFERROR(VLOOKUP(B229,'📊 Problem Tracker'!$B$4:$F$1200,5,FALSE()),"")</f>
        <v>0</v>
      </c>
      <c r="I227" s="145"/>
      <c r="J227" s="145"/>
      <c r="K227" s="148"/>
      <c r="L227" s="278" t="s">
        <v>690</v>
      </c>
      <c r="M227" s="145" t="s">
        <v>24</v>
      </c>
      <c r="N227" s="145" t="s">
        <v>47</v>
      </c>
      <c r="O227" s="198" t="str">
        <f>HYPERLINK("https://leetcode.com/problems/interval-list-intersections/","https://leetcode.com/problems/interval-list-intersections/")</f>
        <v>https://leetcode.com/problems/interval-list-intersections/</v>
      </c>
    </row>
    <row r="228" spans="1:15" ht="31.5" customHeight="1" x14ac:dyDescent="0.2">
      <c r="A228" s="7">
        <v>223</v>
      </c>
      <c r="B228" s="7">
        <v>992</v>
      </c>
      <c r="C228" s="13" t="s">
        <v>2151</v>
      </c>
      <c r="D228" s="7" t="s">
        <v>4607</v>
      </c>
      <c r="E228" s="20" t="s">
        <v>42</v>
      </c>
      <c r="F228" s="3" t="s">
        <v>2956</v>
      </c>
      <c r="G228" s="3" t="s">
        <v>917</v>
      </c>
      <c r="H228" s="7">
        <f>IFERROR(VLOOKUP(B230,'📊 Problem Tracker'!$B$4:$F$1200,5,FALSE()),"")</f>
        <v>0</v>
      </c>
      <c r="I228" s="7"/>
      <c r="J228" s="7"/>
      <c r="K228" s="3"/>
      <c r="L228" s="228" t="s">
        <v>919</v>
      </c>
      <c r="M228" s="7" t="s">
        <v>24</v>
      </c>
      <c r="N228" s="7" t="s">
        <v>1096</v>
      </c>
      <c r="O228" s="197" t="str">
        <f>HYPERLINK("https://leetcode.com/problems/subarrays-with-k-different-integers/","https://leetcode.com/problems/subarrays-with-k-different-integers/")</f>
        <v>https://leetcode.com/problems/subarrays-with-k-different-integers/</v>
      </c>
    </row>
    <row r="229" spans="1:15" ht="31.5" customHeight="1" x14ac:dyDescent="0.2">
      <c r="A229" s="145">
        <v>224</v>
      </c>
      <c r="B229" s="145">
        <v>994</v>
      </c>
      <c r="C229" s="146" t="s">
        <v>2153</v>
      </c>
      <c r="D229" s="145" t="s">
        <v>4707</v>
      </c>
      <c r="E229" s="147" t="s">
        <v>28</v>
      </c>
      <c r="F229" s="148" t="s">
        <v>1106</v>
      </c>
      <c r="G229" s="148" t="s">
        <v>4618</v>
      </c>
      <c r="H229" s="145">
        <f>IFERROR(VLOOKUP(B231,'📊 Problem Tracker'!$B$4:$F$1200,5,FALSE()),"")</f>
        <v>0</v>
      </c>
      <c r="I229" s="145"/>
      <c r="J229" s="145"/>
      <c r="K229" s="148"/>
      <c r="L229" s="278" t="s">
        <v>2155</v>
      </c>
      <c r="M229" s="145" t="s">
        <v>81</v>
      </c>
      <c r="N229" s="145" t="s">
        <v>81</v>
      </c>
      <c r="O229" s="198" t="str">
        <f>HYPERLINK("https://leetcode.com/problems/rotting-oranges/","https://leetcode.com/problems/rotting-oranges/")</f>
        <v>https://leetcode.com/problems/rotting-oranges/</v>
      </c>
    </row>
    <row r="230" spans="1:15" ht="31.5" customHeight="1" x14ac:dyDescent="0.2">
      <c r="A230" s="7">
        <v>225</v>
      </c>
      <c r="B230" s="7">
        <v>1004</v>
      </c>
      <c r="C230" s="13" t="s">
        <v>2159</v>
      </c>
      <c r="D230" s="7" t="s">
        <v>4708</v>
      </c>
      <c r="E230" s="18" t="s">
        <v>28</v>
      </c>
      <c r="F230" s="3" t="s">
        <v>916</v>
      </c>
      <c r="G230" s="3" t="s">
        <v>917</v>
      </c>
      <c r="H230" s="7">
        <f>IFERROR(VLOOKUP(B232,'📊 Problem Tracker'!$B$4:$F$1200,5,FALSE()),"")</f>
        <v>0</v>
      </c>
      <c r="I230" s="7"/>
      <c r="J230" s="7"/>
      <c r="K230" s="3"/>
      <c r="L230" s="228" t="s">
        <v>919</v>
      </c>
      <c r="M230" s="7" t="s">
        <v>24</v>
      </c>
      <c r="N230" s="7" t="s">
        <v>1096</v>
      </c>
      <c r="O230" s="197" t="str">
        <f>HYPERLINK("https://leetcode.com/problems/max-consecutive-ones-iii/","https://leetcode.com/problems/max-consecutive-ones-iii/")</f>
        <v>https://leetcode.com/problems/max-consecutive-ones-iii/</v>
      </c>
    </row>
    <row r="231" spans="1:15" ht="31.5" customHeight="1" x14ac:dyDescent="0.2">
      <c r="A231" s="145">
        <v>226</v>
      </c>
      <c r="B231" s="145">
        <v>1011</v>
      </c>
      <c r="C231" s="146" t="s">
        <v>2165</v>
      </c>
      <c r="D231" s="145" t="s">
        <v>4709</v>
      </c>
      <c r="E231" s="147" t="s">
        <v>28</v>
      </c>
      <c r="F231" s="148" t="s">
        <v>41</v>
      </c>
      <c r="G231" s="148" t="s">
        <v>1801</v>
      </c>
      <c r="H231" s="145">
        <f>IFERROR(VLOOKUP(B233,'📊 Problem Tracker'!$B$4:$F$1200,5,FALSE()),"")</f>
        <v>0</v>
      </c>
      <c r="I231" s="145"/>
      <c r="J231" s="145"/>
      <c r="K231" s="148"/>
      <c r="L231" s="278" t="s">
        <v>513</v>
      </c>
      <c r="M231" s="145" t="s">
        <v>65</v>
      </c>
      <c r="N231" s="145" t="s">
        <v>47</v>
      </c>
      <c r="O231" s="198" t="str">
        <f>HYPERLINK("https://leetcode.com/problems/capacity-to-ship-packages-within-d-days/","https://leetcode.com/problems/capacity-to-ship-packages-within-d-days/")</f>
        <v>https://leetcode.com/problems/capacity-to-ship-packages-within-d-days/</v>
      </c>
    </row>
    <row r="232" spans="1:15" ht="31.5" customHeight="1" x14ac:dyDescent="0.2">
      <c r="A232" s="7">
        <v>227</v>
      </c>
      <c r="B232" s="7">
        <v>1091</v>
      </c>
      <c r="C232" s="13" t="s">
        <v>2223</v>
      </c>
      <c r="D232" s="7" t="s">
        <v>4517</v>
      </c>
      <c r="E232" s="18" t="s">
        <v>28</v>
      </c>
      <c r="F232" s="3" t="s">
        <v>1106</v>
      </c>
      <c r="G232" s="3" t="s">
        <v>4258</v>
      </c>
      <c r="H232" s="7">
        <f>IFERROR(VLOOKUP(B234,'📊 Problem Tracker'!$B$4:$F$1200,5,FALSE()),"")</f>
        <v>0</v>
      </c>
      <c r="I232" s="7"/>
      <c r="J232" s="7"/>
      <c r="K232" s="3"/>
      <c r="L232" s="228" t="s">
        <v>619</v>
      </c>
      <c r="M232" s="7" t="s">
        <v>81</v>
      </c>
      <c r="N232" s="7" t="s">
        <v>2130</v>
      </c>
      <c r="O232" s="197" t="str">
        <f>HYPERLINK("https://leetcode.com/problems/shortest-path-in-binary-matrix/","https://leetcode.com/problems/shortest-path-in-binary-matrix/")</f>
        <v>https://leetcode.com/problems/shortest-path-in-binary-matrix/</v>
      </c>
    </row>
    <row r="233" spans="1:15" ht="31.5" customHeight="1" x14ac:dyDescent="0.2">
      <c r="A233" s="145">
        <v>228</v>
      </c>
      <c r="B233" s="145">
        <v>1143</v>
      </c>
      <c r="C233" s="146" t="s">
        <v>2237</v>
      </c>
      <c r="D233" s="145" t="s">
        <v>4712</v>
      </c>
      <c r="E233" s="147" t="s">
        <v>28</v>
      </c>
      <c r="F233" s="148" t="s">
        <v>50</v>
      </c>
      <c r="G233" s="148" t="s">
        <v>4713</v>
      </c>
      <c r="H233" s="145">
        <f>IFERROR(VLOOKUP(B235,'📊 Problem Tracker'!$B$4:$F$1200,5,FALSE()),"")</f>
        <v>0</v>
      </c>
      <c r="I233" s="145"/>
      <c r="J233" s="145"/>
      <c r="K233" s="148"/>
      <c r="L233" s="278" t="s">
        <v>2240</v>
      </c>
      <c r="M233" s="145" t="s">
        <v>24</v>
      </c>
      <c r="N233" s="145" t="s">
        <v>24</v>
      </c>
      <c r="O233" s="198" t="str">
        <f>HYPERLINK("https://leetcode.com/problems/longest-common-subsequence/","https://leetcode.com/problems/longest-common-subsequence/")</f>
        <v>https://leetcode.com/problems/longest-common-subsequence/</v>
      </c>
    </row>
    <row r="234" spans="1:15" ht="31.5" customHeight="1" x14ac:dyDescent="0.2">
      <c r="A234" s="7">
        <v>229</v>
      </c>
      <c r="B234" s="7">
        <v>1192</v>
      </c>
      <c r="C234" s="13" t="s">
        <v>2276</v>
      </c>
      <c r="D234" s="7" t="s">
        <v>4521</v>
      </c>
      <c r="E234" s="20" t="s">
        <v>42</v>
      </c>
      <c r="F234" s="3" t="s">
        <v>1232</v>
      </c>
      <c r="G234" s="3" t="s">
        <v>4937</v>
      </c>
      <c r="H234" s="7">
        <f>IFERROR(VLOOKUP(B236,'📊 Problem Tracker'!$B$4:$F$1200,5,FALSE()),"")</f>
        <v>0</v>
      </c>
      <c r="I234" s="7"/>
      <c r="J234" s="7"/>
      <c r="K234" s="3"/>
      <c r="L234" s="228" t="s">
        <v>619</v>
      </c>
      <c r="M234" s="7" t="s">
        <v>648</v>
      </c>
      <c r="N234" s="7" t="s">
        <v>648</v>
      </c>
      <c r="O234" s="197" t="str">
        <f>HYPERLINK("https://leetcode.com/problems/critical-connections-in-a-network/","https://leetcode.com/problems/critical-connections-in-a-network/")</f>
        <v>https://leetcode.com/problems/critical-connections-in-a-network/</v>
      </c>
    </row>
    <row r="235" spans="1:15" ht="31.5" customHeight="1" x14ac:dyDescent="0.2">
      <c r="A235" s="145">
        <v>230</v>
      </c>
      <c r="B235" s="145">
        <v>1235</v>
      </c>
      <c r="C235" s="146" t="s">
        <v>2313</v>
      </c>
      <c r="D235" s="145" t="s">
        <v>4566</v>
      </c>
      <c r="E235" s="149" t="s">
        <v>42</v>
      </c>
      <c r="F235" s="148" t="s">
        <v>1136</v>
      </c>
      <c r="G235" s="148" t="s">
        <v>4300</v>
      </c>
      <c r="H235" s="145">
        <f>IFERROR(VLOOKUP(B237,'📊 Problem Tracker'!$B$4:$F$1200,5,FALSE()),"")</f>
        <v>0</v>
      </c>
      <c r="I235" s="145"/>
      <c r="J235" s="145"/>
      <c r="K235" s="148"/>
      <c r="L235" s="278" t="s">
        <v>513</v>
      </c>
      <c r="M235" s="145" t="s">
        <v>65</v>
      </c>
      <c r="N235" s="145" t="s">
        <v>47</v>
      </c>
      <c r="O235" s="198" t="str">
        <f>HYPERLINK("https://leetcode.com/problems/maximum-profit-in-job-scheduling/","https://leetcode.com/problems/maximum-profit-in-job-scheduling/")</f>
        <v>https://leetcode.com/problems/maximum-profit-in-job-scheduling/</v>
      </c>
    </row>
    <row r="236" spans="1:15" ht="31.5" customHeight="1" x14ac:dyDescent="0.2">
      <c r="A236" s="7">
        <v>231</v>
      </c>
      <c r="B236" s="7">
        <v>1268</v>
      </c>
      <c r="C236" s="13" t="s">
        <v>2348</v>
      </c>
      <c r="D236" s="7" t="s">
        <v>4556</v>
      </c>
      <c r="E236" s="18" t="s">
        <v>28</v>
      </c>
      <c r="F236" s="3" t="s">
        <v>4938</v>
      </c>
      <c r="G236" s="3" t="s">
        <v>4939</v>
      </c>
      <c r="H236" s="7">
        <f>IFERROR(VLOOKUP(B238,'📊 Problem Tracker'!$B$4:$F$1200,5,FALSE()),"")</f>
        <v>0</v>
      </c>
      <c r="I236" s="7"/>
      <c r="J236" s="7"/>
      <c r="K236" s="3"/>
      <c r="L236" s="228" t="s">
        <v>513</v>
      </c>
      <c r="M236" s="7" t="s">
        <v>912</v>
      </c>
      <c r="N236" s="7" t="s">
        <v>913</v>
      </c>
      <c r="O236" s="197" t="str">
        <f>HYPERLINK("https://leetcode.com/problems/search-suggestions-system/","https://leetcode.com/problems/search-suggestions-system/")</f>
        <v>https://leetcode.com/problems/search-suggestions-system/</v>
      </c>
    </row>
    <row r="237" spans="1:15" ht="31.5" customHeight="1" x14ac:dyDescent="0.2">
      <c r="A237" s="145">
        <v>232</v>
      </c>
      <c r="B237" s="145">
        <v>1482</v>
      </c>
      <c r="C237" s="146" t="s">
        <v>2504</v>
      </c>
      <c r="D237" s="145" t="s">
        <v>4614</v>
      </c>
      <c r="E237" s="147" t="s">
        <v>28</v>
      </c>
      <c r="F237" s="148" t="s">
        <v>41</v>
      </c>
      <c r="G237" s="148"/>
      <c r="H237" s="145">
        <f>IFERROR(VLOOKUP(B239,'📊 Problem Tracker'!$B$4:$F$1200,5,FALSE()),"")</f>
        <v>0</v>
      </c>
      <c r="I237" s="145"/>
      <c r="J237" s="145"/>
      <c r="K237" s="148"/>
      <c r="L237" s="278" t="s">
        <v>4239</v>
      </c>
      <c r="M237" s="145" t="s">
        <v>2364</v>
      </c>
      <c r="N237" s="145" t="s">
        <v>47</v>
      </c>
      <c r="O237" s="198" t="str">
        <f>HYPERLINK("https://leetcode.com/problems/minimum-number-of-days-to-make-m-bouquets/","https://leetcode.com/problems/minimum-number-of-days-to-make-m-bouquets/")</f>
        <v>https://leetcode.com/problems/minimum-number-of-days-to-make-m-bouquets/</v>
      </c>
    </row>
    <row r="238" spans="1:15" ht="31.5" customHeight="1" x14ac:dyDescent="0.2">
      <c r="A238" s="7">
        <v>233</v>
      </c>
      <c r="B238" s="7">
        <v>1539</v>
      </c>
      <c r="C238" s="13" t="s">
        <v>2523</v>
      </c>
      <c r="D238" s="7" t="s">
        <v>4884</v>
      </c>
      <c r="E238" s="21" t="s">
        <v>20</v>
      </c>
      <c r="F238" s="3" t="s">
        <v>41</v>
      </c>
      <c r="G238" s="3" t="s">
        <v>512</v>
      </c>
      <c r="H238" s="7">
        <f>IFERROR(VLOOKUP(B240,'📊 Problem Tracker'!$B$4:$F$1200,5,FALSE()),"")</f>
        <v>0</v>
      </c>
      <c r="I238" s="7"/>
      <c r="J238" s="7"/>
      <c r="K238" s="3"/>
      <c r="L238" s="228" t="s">
        <v>513</v>
      </c>
      <c r="M238" s="7" t="s">
        <v>65</v>
      </c>
      <c r="N238" s="7" t="s">
        <v>47</v>
      </c>
      <c r="O238" s="197" t="str">
        <f>HYPERLINK("https://leetcode.com/problems/kth-missing-positive-number/","https://leetcode.com/problems/kth-missing-positive-number/")</f>
        <v>https://leetcode.com/problems/kth-missing-positive-number/</v>
      </c>
    </row>
    <row r="239" spans="1:15" ht="31.5" customHeight="1" x14ac:dyDescent="0.2">
      <c r="A239" s="145">
        <v>234</v>
      </c>
      <c r="B239" s="145">
        <v>1584</v>
      </c>
      <c r="C239" s="146" t="s">
        <v>2561</v>
      </c>
      <c r="D239" s="145" t="s">
        <v>4443</v>
      </c>
      <c r="E239" s="147" t="s">
        <v>28</v>
      </c>
      <c r="F239" s="148" t="s">
        <v>4336</v>
      </c>
      <c r="G239" s="148" t="s">
        <v>4719</v>
      </c>
      <c r="H239" s="145">
        <f>IFERROR(VLOOKUP(B241,'📊 Problem Tracker'!$B$4:$F$1200,5,FALSE()),"")</f>
        <v>0</v>
      </c>
      <c r="I239" s="145"/>
      <c r="J239" s="145"/>
      <c r="K239" s="148"/>
      <c r="L239" s="278" t="s">
        <v>619</v>
      </c>
      <c r="M239" s="145" t="s">
        <v>648</v>
      </c>
      <c r="N239" s="145" t="s">
        <v>648</v>
      </c>
      <c r="O239" s="198" t="str">
        <f>HYPERLINK("https://leetcode.com/problems/min-cost-to-connect-all-points/","https://leetcode.com/problems/min-cost-to-connect-all-points/")</f>
        <v>https://leetcode.com/problems/min-cost-to-connect-all-points/</v>
      </c>
    </row>
    <row r="240" spans="1:15" ht="31.5" customHeight="1" x14ac:dyDescent="0.2">
      <c r="A240" s="7">
        <v>235</v>
      </c>
      <c r="B240" s="7">
        <v>1650</v>
      </c>
      <c r="C240" s="13" t="s">
        <v>2604</v>
      </c>
      <c r="D240" s="7" t="s">
        <v>4842</v>
      </c>
      <c r="E240" s="18" t="s">
        <v>28</v>
      </c>
      <c r="F240" s="3" t="s">
        <v>4843</v>
      </c>
      <c r="G240" s="3" t="s">
        <v>4844</v>
      </c>
      <c r="H240" s="7">
        <f>IFERROR(VLOOKUP(B242,'📊 Problem Tracker'!$B$4:$F$1200,5,FALSE()),"")</f>
        <v>0</v>
      </c>
      <c r="I240" s="7"/>
      <c r="J240" s="7"/>
      <c r="K240" s="3"/>
      <c r="L240" s="228" t="s">
        <v>571</v>
      </c>
      <c r="M240" s="7" t="s">
        <v>503</v>
      </c>
      <c r="N240" s="7" t="s">
        <v>47</v>
      </c>
      <c r="O240" s="197" t="str">
        <f>HYPERLINK("https://leetcode.com/problems/lowest-common-ancestor-of-a-binary-tree-iii/","https://leetcode.com/problems/lowest-common-ancestor-of-a-binary-tree-iii/")</f>
        <v>https://leetcode.com/problems/lowest-common-ancestor-of-a-binary-tree-iii/</v>
      </c>
    </row>
    <row r="241" spans="1:15" ht="31.5" customHeight="1" x14ac:dyDescent="0.2">
      <c r="A241" s="145">
        <v>236</v>
      </c>
      <c r="B241" s="145">
        <v>2402</v>
      </c>
      <c r="C241" s="146" t="s">
        <v>2939</v>
      </c>
      <c r="D241" s="145" t="s">
        <v>4517</v>
      </c>
      <c r="E241" s="149" t="s">
        <v>42</v>
      </c>
      <c r="F241" s="148" t="s">
        <v>2940</v>
      </c>
      <c r="G241" s="148" t="s">
        <v>4353</v>
      </c>
      <c r="H241" s="145">
        <f>IFERROR(VLOOKUP(B243,'📊 Problem Tracker'!$B$4:$F$1200,5,FALSE()),"")</f>
        <v>0</v>
      </c>
      <c r="I241" s="145"/>
      <c r="J241" s="145"/>
      <c r="K241" s="148"/>
      <c r="L241" s="278" t="s">
        <v>959</v>
      </c>
      <c r="M241" s="145" t="s">
        <v>960</v>
      </c>
      <c r="N241" s="145" t="s">
        <v>153</v>
      </c>
      <c r="O241" s="198" t="str">
        <f>HYPERLINK("https://leetcode.com/problems/meeting-rooms-iii/","https://leetcode.com/problems/meeting-rooms-iii/")</f>
        <v>https://leetcode.com/problems/meeting-rooms-iii/</v>
      </c>
    </row>
    <row r="242" spans="1:15" ht="31.5" customHeight="1" x14ac:dyDescent="0.2">
      <c r="A242" s="151">
        <v>237</v>
      </c>
      <c r="B242" s="151">
        <v>1922</v>
      </c>
      <c r="C242" s="152" t="s">
        <v>2792</v>
      </c>
      <c r="D242" s="153" t="s">
        <v>4562</v>
      </c>
      <c r="E242" s="154" t="s">
        <v>28</v>
      </c>
      <c r="F242" s="153" t="s">
        <v>62</v>
      </c>
      <c r="G242" s="153" t="s">
        <v>62</v>
      </c>
      <c r="H242" s="151">
        <f>IFERROR(VLOOKUP(B244,'📊 Problem Tracker'!$B$4:$F$1200,5,FALSE()),"")</f>
        <v>0</v>
      </c>
      <c r="I242" s="151"/>
      <c r="J242" s="151"/>
      <c r="K242" s="153"/>
      <c r="L242" s="228" t="s">
        <v>2794</v>
      </c>
      <c r="M242" s="7" t="s">
        <v>24</v>
      </c>
      <c r="N242" s="7" t="s">
        <v>24</v>
      </c>
      <c r="O242" s="197" t="str">
        <f>HYPERLINK("https://leetcode.com/problems/count-good-numbers/","https://leetcode.com/problems/count-good-numbers/")</f>
        <v>https://leetcode.com/problems/count-good-numbers/</v>
      </c>
    </row>
    <row r="243" spans="1:15" ht="31.5" customHeight="1" x14ac:dyDescent="0.2">
      <c r="A243" s="155">
        <v>238</v>
      </c>
      <c r="B243" s="155">
        <v>6</v>
      </c>
      <c r="C243" s="156" t="s">
        <v>55</v>
      </c>
      <c r="D243" s="157" t="s">
        <v>4437</v>
      </c>
      <c r="E243" s="158" t="s">
        <v>28</v>
      </c>
      <c r="F243" s="157" t="s">
        <v>56</v>
      </c>
      <c r="G243" s="157" t="s">
        <v>98</v>
      </c>
      <c r="H243" s="155">
        <f>IFERROR(VLOOKUP(B245,'📊 Problem Tracker'!$B$4:$F$1200,5,FALSE()),"")</f>
        <v>0</v>
      </c>
      <c r="I243" s="155"/>
      <c r="J243" s="155"/>
      <c r="K243" s="157"/>
      <c r="L243" s="228" t="s">
        <v>59</v>
      </c>
      <c r="M243" s="7" t="s">
        <v>24</v>
      </c>
      <c r="N243" s="7" t="s">
        <v>24</v>
      </c>
      <c r="O243" s="198" t="str">
        <f>HYPERLINK("https://leetcode.com/problems/zigzag-conversion/","https://leetcode.com/problems/zigzag-conversion/")</f>
        <v>https://leetcode.com/problems/zigzag-conversion/</v>
      </c>
    </row>
    <row r="244" spans="1:15" ht="31.5" customHeight="1" x14ac:dyDescent="0.2">
      <c r="A244" s="151">
        <v>239</v>
      </c>
      <c r="B244" s="151">
        <v>176</v>
      </c>
      <c r="C244" s="152" t="s">
        <v>800</v>
      </c>
      <c r="D244" s="153" t="s">
        <v>4569</v>
      </c>
      <c r="E244" s="154" t="s">
        <v>28</v>
      </c>
      <c r="F244" s="153" t="s">
        <v>796</v>
      </c>
      <c r="G244" s="153" t="s">
        <v>796</v>
      </c>
      <c r="H244" s="151">
        <f>IFERROR(VLOOKUP(B246,'📊 Problem Tracker'!$B$4:$F$1200,5,FALSE()),"")</f>
        <v>0</v>
      </c>
      <c r="I244" s="151"/>
      <c r="J244" s="151"/>
      <c r="K244" s="153"/>
      <c r="L244" s="228" t="s">
        <v>802</v>
      </c>
      <c r="M244" s="7" t="s">
        <v>24</v>
      </c>
      <c r="N244" s="7" t="s">
        <v>24</v>
      </c>
      <c r="O244" s="197" t="str">
        <f>HYPERLINK("https://leetcode.com/problems/second-highest-salary/","https://leetcode.com/problems/second-highest-salary/")</f>
        <v>https://leetcode.com/problems/second-highest-salary/</v>
      </c>
    </row>
    <row r="245" spans="1:15" ht="31.5" customHeight="1" x14ac:dyDescent="0.2">
      <c r="A245" s="155">
        <v>240</v>
      </c>
      <c r="B245" s="155">
        <v>197</v>
      </c>
      <c r="C245" s="156" t="s">
        <v>870</v>
      </c>
      <c r="D245" s="157" t="s">
        <v>4577</v>
      </c>
      <c r="E245" s="159" t="s">
        <v>20</v>
      </c>
      <c r="F245" s="157" t="s">
        <v>796</v>
      </c>
      <c r="G245" s="157" t="s">
        <v>796</v>
      </c>
      <c r="H245" s="155">
        <f>IFERROR(VLOOKUP(B247,'📊 Problem Tracker'!$B$4:$F$1200,5,FALSE()),"")</f>
        <v>0</v>
      </c>
      <c r="I245" s="155"/>
      <c r="J245" s="155"/>
      <c r="K245" s="157"/>
      <c r="L245" s="228" t="s">
        <v>872</v>
      </c>
      <c r="M245" s="7" t="s">
        <v>24</v>
      </c>
      <c r="N245" s="7" t="s">
        <v>24</v>
      </c>
      <c r="O245" s="198" t="str">
        <f>HYPERLINK("https://leetcode.com/problems/rising-temperature/","https://leetcode.com/problems/rising-temperature/")</f>
        <v>https://leetcode.com/problems/rising-temperature/</v>
      </c>
    </row>
    <row r="246" spans="1:15" ht="31.5" customHeight="1" x14ac:dyDescent="0.2">
      <c r="A246" s="151">
        <v>241</v>
      </c>
      <c r="B246" s="151">
        <v>2149</v>
      </c>
      <c r="C246" s="152" t="s">
        <v>2871</v>
      </c>
      <c r="D246" s="153" t="s">
        <v>4940</v>
      </c>
      <c r="E246" s="154" t="s">
        <v>28</v>
      </c>
      <c r="F246" s="153" t="s">
        <v>84</v>
      </c>
      <c r="G246" s="153" t="s">
        <v>689</v>
      </c>
      <c r="H246" s="151">
        <f>IFERROR(VLOOKUP(B248,'📊 Problem Tracker'!$B$4:$F$1200,5,FALSE()),"")</f>
        <v>0</v>
      </c>
      <c r="I246" s="151"/>
      <c r="J246" s="151"/>
      <c r="K246" s="153"/>
      <c r="L246" s="228" t="s">
        <v>2873</v>
      </c>
      <c r="M246" s="7" t="s">
        <v>24</v>
      </c>
      <c r="N246" s="7" t="s">
        <v>24</v>
      </c>
      <c r="O246" s="197" t="str">
        <f>HYPERLINK("https://leetcode.com/problems/rearrange-array-elements-by-sign/","https://leetcode.com/problems/rearrange-array-elements-by-sign/")</f>
        <v>https://leetcode.com/problems/rearrange-array-elements-by-sign/</v>
      </c>
    </row>
    <row r="247" spans="1:15" ht="31.5" customHeight="1" x14ac:dyDescent="0.2">
      <c r="A247" s="155">
        <v>242</v>
      </c>
      <c r="B247" s="155">
        <v>2235</v>
      </c>
      <c r="C247" s="156" t="s">
        <v>2886</v>
      </c>
      <c r="D247" s="157" t="s">
        <v>4725</v>
      </c>
      <c r="E247" s="159" t="s">
        <v>20</v>
      </c>
      <c r="F247" s="157" t="s">
        <v>62</v>
      </c>
      <c r="G247" s="157" t="s">
        <v>62</v>
      </c>
      <c r="H247" s="155">
        <f>IFERROR(VLOOKUP(B249,'📊 Problem Tracker'!$B$4:$F$1200,5,FALSE()),"")</f>
        <v>0</v>
      </c>
      <c r="I247" s="155"/>
      <c r="J247" s="155"/>
      <c r="K247" s="157"/>
      <c r="L247" s="228" t="s">
        <v>2887</v>
      </c>
      <c r="M247" s="7" t="s">
        <v>24</v>
      </c>
      <c r="N247" s="7" t="s">
        <v>24</v>
      </c>
      <c r="O247" s="198" t="str">
        <f>HYPERLINK("https://leetcode.com/problems/add-two-integers/","https://leetcode.com/problems/add-two-integers/")</f>
        <v>https://leetcode.com/problems/add-two-integers/</v>
      </c>
    </row>
    <row r="248" spans="1:15" ht="31.5" customHeight="1" x14ac:dyDescent="0.2">
      <c r="A248" s="151">
        <v>243</v>
      </c>
      <c r="B248" s="151">
        <v>69</v>
      </c>
      <c r="C248" s="152" t="s">
        <v>394</v>
      </c>
      <c r="D248" s="153" t="s">
        <v>4501</v>
      </c>
      <c r="E248" s="160" t="s">
        <v>20</v>
      </c>
      <c r="F248" s="153" t="s">
        <v>295</v>
      </c>
      <c r="G248" s="153" t="s">
        <v>512</v>
      </c>
      <c r="H248" s="151">
        <f>IFERROR(VLOOKUP(B250,'📊 Problem Tracker'!$B$4:$F$1200,5,FALSE()),"")</f>
        <v>0</v>
      </c>
      <c r="I248" s="151"/>
      <c r="J248" s="151"/>
      <c r="K248" s="153"/>
      <c r="L248" s="228" t="s">
        <v>396</v>
      </c>
      <c r="M248" s="7" t="s">
        <v>65</v>
      </c>
      <c r="N248" s="7" t="s">
        <v>47</v>
      </c>
      <c r="O248" s="197" t="str">
        <f>HYPERLINK("https://leetcode.com/problems/sqrtx/","https://leetcode.com/problems/sqrtx/")</f>
        <v>https://leetcode.com/problems/sqrtx/</v>
      </c>
    </row>
    <row r="249" spans="1:15" ht="31.5" customHeight="1" x14ac:dyDescent="0.2">
      <c r="A249" s="155">
        <v>244</v>
      </c>
      <c r="B249" s="155">
        <v>4</v>
      </c>
      <c r="C249" s="156" t="s">
        <v>40</v>
      </c>
      <c r="D249" s="157" t="s">
        <v>4435</v>
      </c>
      <c r="E249" s="161" t="s">
        <v>42</v>
      </c>
      <c r="F249" s="157" t="s">
        <v>41</v>
      </c>
      <c r="G249" s="157" t="s">
        <v>512</v>
      </c>
      <c r="H249" s="155">
        <f>IFERROR(VLOOKUP(B251,'📊 Problem Tracker'!$B$4:$F$1200,5,FALSE()),"")</f>
        <v>0</v>
      </c>
      <c r="I249" s="155"/>
      <c r="J249" s="155"/>
      <c r="K249" s="157"/>
      <c r="L249" s="228" t="s">
        <v>45</v>
      </c>
      <c r="M249" s="7" t="s">
        <v>46</v>
      </c>
      <c r="N249" s="7" t="s">
        <v>47</v>
      </c>
      <c r="O249" s="198" t="str">
        <f>HYPERLINK("https://leetcode.com/problems/median-of-two-sorted-arrays/","https://leetcode.com/problems/median-of-two-sorted-arrays/")</f>
        <v>https://leetcode.com/problems/median-of-two-sorted-arrays/</v>
      </c>
    </row>
    <row r="250" spans="1:15" ht="31.5" customHeight="1" x14ac:dyDescent="0.2">
      <c r="A250" s="151">
        <v>245</v>
      </c>
      <c r="B250" s="151">
        <v>556</v>
      </c>
      <c r="C250" s="152" t="s">
        <v>1601</v>
      </c>
      <c r="D250" s="153" t="s">
        <v>4941</v>
      </c>
      <c r="E250" s="154" t="s">
        <v>28</v>
      </c>
      <c r="F250" s="153" t="s">
        <v>1602</v>
      </c>
      <c r="G250" s="153"/>
      <c r="H250" s="151">
        <f>IFERROR(VLOOKUP(B252,'📊 Problem Tracker'!$B$4:$F$1200,5,FALSE()),"")</f>
        <v>0</v>
      </c>
      <c r="I250" s="151"/>
      <c r="J250" s="151"/>
      <c r="K250" s="153"/>
      <c r="L250" s="228" t="s">
        <v>1603</v>
      </c>
      <c r="M250" s="7" t="s">
        <v>1604</v>
      </c>
      <c r="N250" s="7" t="s">
        <v>1604</v>
      </c>
      <c r="O250" s="197" t="str">
        <f>HYPERLINK("https://leetcode.com/problems/next-greater-element-iii/","https://leetcode.com/problems/next-greater-element-iii/")</f>
        <v>https://leetcode.com/problems/next-greater-element-iii/</v>
      </c>
    </row>
    <row r="251" spans="1:15" ht="31.5" customHeight="1" x14ac:dyDescent="0.2">
      <c r="A251" s="155">
        <v>246</v>
      </c>
      <c r="B251" s="155">
        <v>570</v>
      </c>
      <c r="C251" s="156" t="s">
        <v>1630</v>
      </c>
      <c r="D251" s="157" t="s">
        <v>4644</v>
      </c>
      <c r="E251" s="158" t="s">
        <v>28</v>
      </c>
      <c r="F251" s="157" t="s">
        <v>19</v>
      </c>
      <c r="G251" s="157"/>
      <c r="H251" s="155">
        <f>IFERROR(VLOOKUP(B253,'📊 Problem Tracker'!$B$4:$F$1200,5,FALSE()),"")</f>
        <v>0</v>
      </c>
      <c r="I251" s="155"/>
      <c r="J251" s="155"/>
      <c r="K251" s="157"/>
      <c r="L251" s="228" t="s">
        <v>1632</v>
      </c>
      <c r="M251" s="7" t="s">
        <v>24</v>
      </c>
      <c r="N251" s="7" t="s">
        <v>24</v>
      </c>
      <c r="O251" s="198" t="str">
        <f>HYPERLINK("https://leetcode.com/problems/managers-with-at-least-5-direct-reports/","https://leetcode.com/problems/managers-with-at-least-5-direct-reports/")</f>
        <v>https://leetcode.com/problems/managers-with-at-least-5-direct-reports/</v>
      </c>
    </row>
    <row r="252" spans="1:15" ht="31.5" customHeight="1" x14ac:dyDescent="0.2">
      <c r="A252" s="151">
        <v>247</v>
      </c>
      <c r="B252" s="151">
        <v>2667</v>
      </c>
      <c r="C252" s="152" t="s">
        <v>3014</v>
      </c>
      <c r="D252" s="153" t="s">
        <v>4480</v>
      </c>
      <c r="E252" s="160" t="s">
        <v>20</v>
      </c>
      <c r="F252" s="153" t="s">
        <v>3002</v>
      </c>
      <c r="G252" s="153" t="s">
        <v>3002</v>
      </c>
      <c r="H252" s="151">
        <f>IFERROR(VLOOKUP(B254,'📊 Problem Tracker'!$B$4:$F$1200,5,FALSE()),"")</f>
        <v>0</v>
      </c>
      <c r="I252" s="151"/>
      <c r="J252" s="151"/>
      <c r="K252" s="153"/>
      <c r="L252" s="228" t="s">
        <v>3016</v>
      </c>
      <c r="M252" s="7" t="s">
        <v>47</v>
      </c>
      <c r="N252" s="7" t="s">
        <v>47</v>
      </c>
      <c r="O252" s="197" t="str">
        <f>HYPERLINK("https://leetcode.com/problems/create-hello-world-function/","https://leetcode.com/problems/create-hello-world-function/")</f>
        <v>https://leetcode.com/problems/create-hello-world-function/</v>
      </c>
    </row>
    <row r="253" spans="1:15" ht="31.5" customHeight="1" x14ac:dyDescent="0.2">
      <c r="A253" s="155">
        <v>248</v>
      </c>
      <c r="B253" s="155">
        <v>796</v>
      </c>
      <c r="C253" s="156" t="s">
        <v>1917</v>
      </c>
      <c r="D253" s="157" t="s">
        <v>4444</v>
      </c>
      <c r="E253" s="159" t="s">
        <v>20</v>
      </c>
      <c r="F253" s="157" t="s">
        <v>897</v>
      </c>
      <c r="G253" s="157"/>
      <c r="H253" s="155">
        <f>IFERROR(VLOOKUP(B255,'📊 Problem Tracker'!$B$4:$F$1200,5,FALSE()),"")</f>
        <v>0</v>
      </c>
      <c r="I253" s="155"/>
      <c r="J253" s="155"/>
      <c r="K253" s="157"/>
      <c r="L253" s="228" t="s">
        <v>705</v>
      </c>
      <c r="M253" s="7" t="s">
        <v>24</v>
      </c>
      <c r="N253" s="7" t="s">
        <v>24</v>
      </c>
      <c r="O253" s="198" t="str">
        <f>HYPERLINK("https://leetcode.com/problems/rotate-string/","https://leetcode.com/problems/rotate-string/")</f>
        <v>https://leetcode.com/problems/rotate-string/</v>
      </c>
    </row>
    <row r="254" spans="1:15" ht="31.5" customHeight="1" x14ac:dyDescent="0.2">
      <c r="A254" s="151">
        <v>249</v>
      </c>
      <c r="B254" s="151">
        <v>852</v>
      </c>
      <c r="C254" s="152" t="s">
        <v>1981</v>
      </c>
      <c r="D254" s="153" t="s">
        <v>4495</v>
      </c>
      <c r="E254" s="154" t="s">
        <v>28</v>
      </c>
      <c r="F254" s="153" t="s">
        <v>41</v>
      </c>
      <c r="G254" s="153" t="s">
        <v>512</v>
      </c>
      <c r="H254" s="151">
        <f>IFERROR(VLOOKUP(B256,'📊 Problem Tracker'!$B$4:$F$1200,5,FALSE()),"")</f>
        <v>0</v>
      </c>
      <c r="I254" s="151"/>
      <c r="J254" s="151"/>
      <c r="K254" s="153"/>
      <c r="L254" s="228" t="s">
        <v>513</v>
      </c>
      <c r="M254" s="7" t="s">
        <v>65</v>
      </c>
      <c r="N254" s="7" t="s">
        <v>47</v>
      </c>
      <c r="O254" s="197" t="str">
        <f>HYPERLINK("https://leetcode.com/problems/peak-index-in-a-mountain-array/","https://leetcode.com/problems/peak-index-in-a-mountain-array/")</f>
        <v>https://leetcode.com/problems/peak-index-in-a-mountain-array/</v>
      </c>
    </row>
    <row r="255" spans="1:15" ht="31.5" customHeight="1" x14ac:dyDescent="0.2">
      <c r="A255" s="155">
        <v>250</v>
      </c>
      <c r="B255" s="155">
        <v>1152</v>
      </c>
      <c r="C255" s="156" t="s">
        <v>2249</v>
      </c>
      <c r="D255" s="157" t="s">
        <v>4774</v>
      </c>
      <c r="E255" s="158" t="s">
        <v>28</v>
      </c>
      <c r="F255" s="157" t="s">
        <v>1467</v>
      </c>
      <c r="G255" s="157" t="s">
        <v>4942</v>
      </c>
      <c r="H255" s="155">
        <f>IFERROR(VLOOKUP(B257,'📊 Problem Tracker'!$B$4:$F$1200,5,FALSE()),"")</f>
        <v>0</v>
      </c>
      <c r="I255" s="155"/>
      <c r="J255" s="155"/>
      <c r="K255" s="157"/>
      <c r="L255" s="228" t="s">
        <v>2251</v>
      </c>
      <c r="M255" s="7" t="s">
        <v>2252</v>
      </c>
      <c r="N255" s="7" t="s">
        <v>24</v>
      </c>
      <c r="O255" s="198" t="str">
        <f>HYPERLINK("https://leetcode.com/problems/analyze-user-website-visit-pattern/","https://leetcode.com/problems/analyze-user-website-visit-pattern/")</f>
        <v>https://leetcode.com/problems/analyze-user-website-visit-pattern/</v>
      </c>
    </row>
    <row r="256" spans="1:15" ht="31.5" customHeight="1" x14ac:dyDescent="0.2">
      <c r="A256" s="151">
        <v>251</v>
      </c>
      <c r="B256" s="151">
        <v>1148</v>
      </c>
      <c r="C256" s="152" t="s">
        <v>2245</v>
      </c>
      <c r="D256" s="153" t="s">
        <v>4943</v>
      </c>
      <c r="E256" s="160" t="s">
        <v>20</v>
      </c>
      <c r="F256" s="153" t="s">
        <v>796</v>
      </c>
      <c r="G256" s="153" t="s">
        <v>796</v>
      </c>
      <c r="H256" s="151">
        <f>IFERROR(VLOOKUP(B258,'📊 Problem Tracker'!$B$4:$F$1200,5,FALSE()),"")</f>
        <v>0</v>
      </c>
      <c r="I256" s="151"/>
      <c r="J256" s="151"/>
      <c r="K256" s="153"/>
      <c r="L256" s="228" t="s">
        <v>2247</v>
      </c>
      <c r="M256" s="7" t="s">
        <v>326</v>
      </c>
      <c r="N256" s="7" t="s">
        <v>24</v>
      </c>
      <c r="O256" s="197" t="str">
        <f>HYPERLINK("https://leetcode.com/problems/article-views-i/","https://leetcode.com/problems/article-views-i/")</f>
        <v>https://leetcode.com/problems/article-views-i/</v>
      </c>
    </row>
    <row r="257" spans="1:15" ht="31.5" customHeight="1" x14ac:dyDescent="0.2">
      <c r="A257" s="155">
        <v>252</v>
      </c>
      <c r="B257" s="155">
        <v>67</v>
      </c>
      <c r="C257" s="156" t="s">
        <v>380</v>
      </c>
      <c r="D257" s="157" t="s">
        <v>4498</v>
      </c>
      <c r="E257" s="159" t="s">
        <v>20</v>
      </c>
      <c r="F257" s="157" t="s">
        <v>381</v>
      </c>
      <c r="G257" s="157" t="s">
        <v>666</v>
      </c>
      <c r="H257" s="155">
        <f>IFERROR(VLOOKUP(B259,'📊 Problem Tracker'!$B$4:$F$1200,5,FALSE()),"")</f>
        <v>0</v>
      </c>
      <c r="I257" s="155"/>
      <c r="J257" s="155"/>
      <c r="K257" s="157"/>
      <c r="L257" s="228" t="s">
        <v>384</v>
      </c>
      <c r="M257" s="7" t="s">
        <v>32</v>
      </c>
      <c r="N257" s="7" t="s">
        <v>32</v>
      </c>
      <c r="O257" s="198" t="str">
        <f>HYPERLINK("https://leetcode.com/problems/add-binary/","https://leetcode.com/problems/add-binary/")</f>
        <v>https://leetcode.com/problems/add-binary/</v>
      </c>
    </row>
    <row r="258" spans="1:15" ht="31.5" customHeight="1" x14ac:dyDescent="0.2">
      <c r="A258" s="151">
        <v>253</v>
      </c>
      <c r="B258" s="151">
        <v>1661</v>
      </c>
      <c r="C258" s="152" t="s">
        <v>2616</v>
      </c>
      <c r="D258" s="153" t="s">
        <v>4495</v>
      </c>
      <c r="E258" s="160" t="s">
        <v>20</v>
      </c>
      <c r="F258" s="153" t="s">
        <v>796</v>
      </c>
      <c r="G258" s="153" t="s">
        <v>796</v>
      </c>
      <c r="H258" s="151">
        <f>IFERROR(VLOOKUP(B260,'📊 Problem Tracker'!$B$4:$F$1200,5,FALSE()),"")</f>
        <v>0</v>
      </c>
      <c r="I258" s="151"/>
      <c r="J258" s="151"/>
      <c r="K258" s="153"/>
      <c r="L258" s="228" t="s">
        <v>2618</v>
      </c>
      <c r="M258" s="7" t="s">
        <v>24</v>
      </c>
      <c r="N258" s="7" t="s">
        <v>24</v>
      </c>
      <c r="O258" s="197" t="str">
        <f>HYPERLINK("https://leetcode.com/problems/average-time-of-process-per-machine/","https://leetcode.com/problems/average-time-of-process-per-machine/")</f>
        <v>https://leetcode.com/problems/average-time-of-process-per-machine/</v>
      </c>
    </row>
    <row r="259" spans="1:15" ht="31.5" customHeight="1" x14ac:dyDescent="0.2">
      <c r="A259" s="155">
        <v>254</v>
      </c>
      <c r="B259" s="155">
        <v>1768</v>
      </c>
      <c r="C259" s="156" t="s">
        <v>2701</v>
      </c>
      <c r="D259" s="157" t="s">
        <v>4721</v>
      </c>
      <c r="E259" s="159" t="s">
        <v>20</v>
      </c>
      <c r="F259" s="157" t="s">
        <v>611</v>
      </c>
      <c r="G259" s="157" t="s">
        <v>689</v>
      </c>
      <c r="H259" s="155">
        <f>IFERROR(VLOOKUP(B261,'📊 Problem Tracker'!$B$4:$F$1200,5,FALSE()),"")</f>
        <v>0</v>
      </c>
      <c r="I259" s="155"/>
      <c r="J259" s="155"/>
      <c r="K259" s="157"/>
      <c r="L259" s="228" t="s">
        <v>690</v>
      </c>
      <c r="M259" s="7" t="s">
        <v>24</v>
      </c>
      <c r="N259" s="7" t="s">
        <v>1096</v>
      </c>
      <c r="O259" s="198" t="str">
        <f>HYPERLINK("https://leetcode.com/problems/merge-strings-alternately/","https://leetcode.com/problems/merge-strings-alternately/")</f>
        <v>https://leetcode.com/problems/merge-strings-alternately/</v>
      </c>
    </row>
    <row r="260" spans="1:15" ht="31.5" customHeight="1" x14ac:dyDescent="0.2">
      <c r="A260" s="151">
        <v>255</v>
      </c>
      <c r="B260" s="151">
        <v>1757</v>
      </c>
      <c r="C260" s="152" t="s">
        <v>2691</v>
      </c>
      <c r="D260" s="153" t="s">
        <v>4720</v>
      </c>
      <c r="E260" s="160" t="s">
        <v>20</v>
      </c>
      <c r="F260" s="153" t="s">
        <v>796</v>
      </c>
      <c r="G260" s="153" t="s">
        <v>796</v>
      </c>
      <c r="H260" s="151">
        <f>IFERROR(VLOOKUP(B262,'📊 Problem Tracker'!$B$4:$F$1200,5,FALSE()),"")</f>
        <v>0</v>
      </c>
      <c r="I260" s="151"/>
      <c r="J260" s="151"/>
      <c r="K260" s="153"/>
      <c r="L260" s="228" t="s">
        <v>2693</v>
      </c>
      <c r="M260" s="7" t="s">
        <v>24</v>
      </c>
      <c r="N260" s="7" t="s">
        <v>24</v>
      </c>
      <c r="O260" s="197" t="str">
        <f>HYPERLINK("https://leetcode.com/problems/recyclable-and-low-fat-products/","https://leetcode.com/problems/recyclable-and-low-fat-products/")</f>
        <v>https://leetcode.com/problems/recyclable-and-low-fat-products/</v>
      </c>
    </row>
    <row r="261" spans="1:15" ht="31.5" customHeight="1" x14ac:dyDescent="0.2">
      <c r="A261" s="155">
        <v>256</v>
      </c>
      <c r="B261" s="155">
        <v>595</v>
      </c>
      <c r="C261" s="156" t="s">
        <v>1649</v>
      </c>
      <c r="D261" s="157" t="s">
        <v>4678</v>
      </c>
      <c r="E261" s="159" t="s">
        <v>20</v>
      </c>
      <c r="F261" s="157" t="s">
        <v>796</v>
      </c>
      <c r="G261" s="157" t="s">
        <v>796</v>
      </c>
      <c r="H261" s="155">
        <f>IFERROR(VLOOKUP(B263,'📊 Problem Tracker'!$B$4:$F$1200,5,FALSE()),"")</f>
        <v>0</v>
      </c>
      <c r="I261" s="155"/>
      <c r="J261" s="155"/>
      <c r="K261" s="157"/>
      <c r="L261" s="228" t="s">
        <v>927</v>
      </c>
      <c r="M261" s="7" t="s">
        <v>912</v>
      </c>
      <c r="N261" s="7" t="s">
        <v>913</v>
      </c>
      <c r="O261" s="198" t="str">
        <f>HYPERLINK("https://leetcode.com/problems/big-countries/","https://leetcode.com/problems/big-countries/")</f>
        <v>https://leetcode.com/problems/big-countries/</v>
      </c>
    </row>
    <row r="262" spans="1:15" ht="31.5" customHeight="1" x14ac:dyDescent="0.2">
      <c r="A262" s="151">
        <v>257</v>
      </c>
      <c r="B262" s="151">
        <v>662</v>
      </c>
      <c r="C262" s="152" t="s">
        <v>1721</v>
      </c>
      <c r="D262" s="153" t="s">
        <v>4685</v>
      </c>
      <c r="E262" s="154" t="s">
        <v>28</v>
      </c>
      <c r="F262" s="153" t="s">
        <v>534</v>
      </c>
      <c r="G262" s="153" t="s">
        <v>4270</v>
      </c>
      <c r="H262" s="151">
        <f>IFERROR(VLOOKUP(B264,'📊 Problem Tracker'!$B$4:$F$1200,5,FALSE()),"")</f>
        <v>0</v>
      </c>
      <c r="I262" s="151"/>
      <c r="J262" s="151"/>
      <c r="K262" s="153"/>
      <c r="L262" s="228" t="s">
        <v>571</v>
      </c>
      <c r="M262" s="7" t="s">
        <v>24</v>
      </c>
      <c r="N262" s="7" t="s">
        <v>24</v>
      </c>
      <c r="O262" s="197" t="str">
        <f>HYPERLINK("https://leetcode.com/problems/maximum-width-of-binary-tree/","https://leetcode.com/problems/maximum-width-of-binary-tree/")</f>
        <v>https://leetcode.com/problems/maximum-width-of-binary-tree/</v>
      </c>
    </row>
    <row r="263" spans="1:15" ht="31.5" customHeight="1" x14ac:dyDescent="0.2">
      <c r="A263" s="155">
        <v>258</v>
      </c>
      <c r="B263" s="155">
        <v>165</v>
      </c>
      <c r="C263" s="156" t="s">
        <v>758</v>
      </c>
      <c r="D263" s="157" t="s">
        <v>4660</v>
      </c>
      <c r="E263" s="158" t="s">
        <v>28</v>
      </c>
      <c r="F263" s="157" t="s">
        <v>98</v>
      </c>
      <c r="G263" s="157" t="s">
        <v>98</v>
      </c>
      <c r="H263" s="155">
        <f>IFERROR(VLOOKUP(B265,'📊 Problem Tracker'!$B$4:$F$1200,5,FALSE()),"")</f>
        <v>0</v>
      </c>
      <c r="I263" s="155"/>
      <c r="J263" s="155"/>
      <c r="K263" s="157"/>
      <c r="L263" s="228" t="s">
        <v>750</v>
      </c>
      <c r="M263" s="7" t="s">
        <v>24</v>
      </c>
      <c r="N263" s="7" t="s">
        <v>24</v>
      </c>
      <c r="O263" s="198" t="str">
        <f>HYPERLINK("https://leetcode.com/problems/compare-version-numbers/","https://leetcode.com/problems/compare-version-numbers/")</f>
        <v>https://leetcode.com/problems/compare-version-numbers/</v>
      </c>
    </row>
    <row r="264" spans="1:15" ht="31.5" customHeight="1" x14ac:dyDescent="0.2">
      <c r="A264" s="151">
        <v>259</v>
      </c>
      <c r="B264" s="151">
        <v>175</v>
      </c>
      <c r="C264" s="152" t="s">
        <v>795</v>
      </c>
      <c r="D264" s="153" t="s">
        <v>4944</v>
      </c>
      <c r="E264" s="160" t="s">
        <v>20</v>
      </c>
      <c r="F264" s="153" t="s">
        <v>796</v>
      </c>
      <c r="G264" s="153" t="s">
        <v>796</v>
      </c>
      <c r="H264" s="151">
        <f>IFERROR(VLOOKUP(B266,'📊 Problem Tracker'!$B$4:$F$1200,5,FALSE()),"")</f>
        <v>0</v>
      </c>
      <c r="I264" s="151"/>
      <c r="J264" s="151"/>
      <c r="K264" s="153"/>
      <c r="L264" s="228" t="s">
        <v>798</v>
      </c>
      <c r="M264" s="7" t="s">
        <v>24</v>
      </c>
      <c r="N264" s="7" t="s">
        <v>24</v>
      </c>
      <c r="O264" s="197" t="str">
        <f>HYPERLINK("https://leetcode.com/problems/combine-two-tables/","https://leetcode.com/problems/combine-two-tables/")</f>
        <v>https://leetcode.com/problems/combine-two-tables/</v>
      </c>
    </row>
    <row r="265" spans="1:15" ht="31.5" customHeight="1" x14ac:dyDescent="0.2">
      <c r="A265" s="155">
        <v>260</v>
      </c>
      <c r="B265" s="155">
        <v>209</v>
      </c>
      <c r="C265" s="156" t="s">
        <v>915</v>
      </c>
      <c r="D265" s="157" t="s">
        <v>4945</v>
      </c>
      <c r="E265" s="158" t="s">
        <v>28</v>
      </c>
      <c r="F265" s="157" t="s">
        <v>916</v>
      </c>
      <c r="G265" s="157" t="s">
        <v>917</v>
      </c>
      <c r="H265" s="155">
        <f>IFERROR(VLOOKUP(B267,'📊 Problem Tracker'!$B$4:$F$1200,5,FALSE()),"")</f>
        <v>0</v>
      </c>
      <c r="I265" s="155"/>
      <c r="J265" s="155"/>
      <c r="K265" s="157"/>
      <c r="L265" s="228" t="s">
        <v>919</v>
      </c>
      <c r="M265" s="7" t="s">
        <v>24</v>
      </c>
      <c r="N265" s="7" t="s">
        <v>47</v>
      </c>
      <c r="O265" s="198" t="str">
        <f>HYPERLINK("https://leetcode.com/problems/minimum-size-subarray-sum/","https://leetcode.com/problems/minimum-size-subarray-sum/")</f>
        <v>https://leetcode.com/problems/minimum-size-subarray-sum/</v>
      </c>
    </row>
    <row r="266" spans="1:15" ht="31.5" customHeight="1" x14ac:dyDescent="0.2">
      <c r="A266" s="151">
        <v>261</v>
      </c>
      <c r="B266" s="151">
        <v>1071</v>
      </c>
      <c r="C266" s="152" t="s">
        <v>2219</v>
      </c>
      <c r="D266" s="153" t="s">
        <v>4674</v>
      </c>
      <c r="E266" s="160" t="s">
        <v>20</v>
      </c>
      <c r="F266" s="153" t="s">
        <v>56</v>
      </c>
      <c r="G266" s="153" t="s">
        <v>4946</v>
      </c>
      <c r="H266" s="151">
        <f>IFERROR(VLOOKUP(B268,'📊 Problem Tracker'!$B$4:$F$1200,5,FALSE()),"")</f>
        <v>0</v>
      </c>
      <c r="I266" s="151"/>
      <c r="J266" s="151"/>
      <c r="K266" s="153"/>
      <c r="L266" s="228" t="s">
        <v>750</v>
      </c>
      <c r="M266" s="7" t="s">
        <v>24</v>
      </c>
      <c r="N266" s="7" t="s">
        <v>24</v>
      </c>
      <c r="O266" s="197" t="str">
        <f>HYPERLINK("https://leetcode.com/problems/greatest-common-divisor-of-strings/","https://leetcode.com/problems/greatest-common-divisor-of-strings/")</f>
        <v>https://leetcode.com/problems/greatest-common-divisor-of-strings/</v>
      </c>
    </row>
    <row r="267" spans="1:15" ht="31.5" customHeight="1" x14ac:dyDescent="0.2">
      <c r="A267" s="155">
        <v>262</v>
      </c>
      <c r="B267" s="155">
        <v>160</v>
      </c>
      <c r="C267" s="156" t="s">
        <v>743</v>
      </c>
      <c r="D267" s="157" t="s">
        <v>4525</v>
      </c>
      <c r="E267" s="159" t="s">
        <v>20</v>
      </c>
      <c r="F267" s="157" t="s">
        <v>127</v>
      </c>
      <c r="G267" s="157" t="s">
        <v>127</v>
      </c>
      <c r="H267" s="155">
        <f>IFERROR(VLOOKUP(B269,'📊 Problem Tracker'!$B$4:$F$1200,5,FALSE()),"")</f>
        <v>0</v>
      </c>
      <c r="I267" s="155"/>
      <c r="J267" s="155"/>
      <c r="K267" s="157"/>
      <c r="L267" s="228" t="s">
        <v>745</v>
      </c>
      <c r="M267" s="7" t="s">
        <v>259</v>
      </c>
      <c r="N267" s="7" t="s">
        <v>47</v>
      </c>
      <c r="O267" s="198" t="str">
        <f>HYPERLINK("https://leetcode.com/problems/intersection-of-two-linked-lists/","https://leetcode.com/problems/intersection-of-two-linked-lists/")</f>
        <v>https://leetcode.com/problems/intersection-of-two-linked-lists/</v>
      </c>
    </row>
    <row r="268" spans="1:15" ht="31.5" customHeight="1" x14ac:dyDescent="0.2">
      <c r="A268" s="151">
        <v>263</v>
      </c>
      <c r="B268" s="151">
        <v>2461</v>
      </c>
      <c r="C268" s="152" t="s">
        <v>2955</v>
      </c>
      <c r="D268" s="153" t="s">
        <v>4890</v>
      </c>
      <c r="E268" s="154" t="s">
        <v>28</v>
      </c>
      <c r="F268" s="153" t="s">
        <v>2956</v>
      </c>
      <c r="G268" s="153" t="s">
        <v>4947</v>
      </c>
      <c r="H268" s="151">
        <f>IFERROR(VLOOKUP(B270,'📊 Problem Tracker'!$B$4:$F$1200,5,FALSE()),"")</f>
        <v>0</v>
      </c>
      <c r="I268" s="151"/>
      <c r="J268" s="151"/>
      <c r="K268" s="153"/>
      <c r="L268" s="228" t="s">
        <v>2957</v>
      </c>
      <c r="M268" s="7" t="s">
        <v>24</v>
      </c>
      <c r="N268" s="7" t="s">
        <v>153</v>
      </c>
      <c r="O268" s="197" t="str">
        <f>HYPERLINK("https://leetcode.com/problems/maximum-sum-of-distinct-subarrays-with-length-k/","https://leetcode.com/problems/maximum-sum-of-distinct-subarrays-with-length-k/")</f>
        <v>https://leetcode.com/problems/maximum-sum-of-distinct-subarrays-with-length-k/</v>
      </c>
    </row>
    <row r="269" spans="1:15" ht="31.5" customHeight="1" x14ac:dyDescent="0.2">
      <c r="A269" s="155">
        <v>264</v>
      </c>
      <c r="B269" s="155">
        <v>1283</v>
      </c>
      <c r="C269" s="156" t="s">
        <v>2362</v>
      </c>
      <c r="D269" s="157" t="s">
        <v>4772</v>
      </c>
      <c r="E269" s="158" t="s">
        <v>28</v>
      </c>
      <c r="F269" s="157" t="s">
        <v>41</v>
      </c>
      <c r="G269" s="157" t="s">
        <v>1801</v>
      </c>
      <c r="H269" s="155">
        <f>IFERROR(VLOOKUP(B271,'📊 Problem Tracker'!$B$4:$F$1200,5,FALSE()),"")</f>
        <v>0</v>
      </c>
      <c r="I269" s="155"/>
      <c r="J269" s="155"/>
      <c r="K269" s="157"/>
      <c r="L269" s="228" t="s">
        <v>2363</v>
      </c>
      <c r="M269" s="7" t="s">
        <v>2364</v>
      </c>
      <c r="N269" s="7" t="s">
        <v>47</v>
      </c>
      <c r="O269" s="198" t="str">
        <f>HYPERLINK("https://leetcode.com/problems/find-the-smallest-divisor-given-a-threshold/","https://leetcode.com/problems/find-the-smallest-divisor-given-a-threshold/")</f>
        <v>https://leetcode.com/problems/find-the-smallest-divisor-given-a-threshold/</v>
      </c>
    </row>
    <row r="270" spans="1:15" ht="31.5" customHeight="1" x14ac:dyDescent="0.2">
      <c r="A270" s="151">
        <v>265</v>
      </c>
      <c r="B270" s="151">
        <v>802</v>
      </c>
      <c r="C270" s="152" t="s">
        <v>1930</v>
      </c>
      <c r="D270" s="153" t="s">
        <v>4697</v>
      </c>
      <c r="E270" s="154" t="s">
        <v>28</v>
      </c>
      <c r="F270" s="153" t="s">
        <v>1232</v>
      </c>
      <c r="G270" s="153"/>
      <c r="H270" s="151">
        <f>IFERROR(VLOOKUP(B272,'📊 Problem Tracker'!$B$4:$F$1200,5,FALSE()),"")</f>
        <v>0</v>
      </c>
      <c r="I270" s="151"/>
      <c r="J270" s="151"/>
      <c r="K270" s="153"/>
      <c r="L270" s="228" t="s">
        <v>619</v>
      </c>
      <c r="M270" s="7" t="s">
        <v>648</v>
      </c>
      <c r="N270" s="7" t="s">
        <v>648</v>
      </c>
      <c r="O270" s="197" t="str">
        <f>HYPERLINK("https://leetcode.com/problems/find-eventual-safe-states/","https://leetcode.com/problems/find-eventual-safe-states/")</f>
        <v>https://leetcode.com/problems/find-eventual-safe-states/</v>
      </c>
    </row>
    <row r="271" spans="1:15" ht="31.5" customHeight="1" x14ac:dyDescent="0.2">
      <c r="A271" s="155">
        <v>266</v>
      </c>
      <c r="B271" s="155">
        <v>114</v>
      </c>
      <c r="C271" s="156" t="s">
        <v>582</v>
      </c>
      <c r="D271" s="157" t="s">
        <v>4697</v>
      </c>
      <c r="E271" s="158" t="s">
        <v>28</v>
      </c>
      <c r="F271" s="157" t="s">
        <v>500</v>
      </c>
      <c r="G271" s="157" t="s">
        <v>4256</v>
      </c>
      <c r="H271" s="155">
        <f>IFERROR(VLOOKUP(B273,'📊 Problem Tracker'!$B$4:$F$1200,5,FALSE()),"")</f>
        <v>0</v>
      </c>
      <c r="I271" s="155"/>
      <c r="J271" s="155"/>
      <c r="K271" s="157"/>
      <c r="L271" s="228" t="s">
        <v>461</v>
      </c>
      <c r="M271" s="7" t="s">
        <v>24</v>
      </c>
      <c r="N271" s="7" t="s">
        <v>503</v>
      </c>
      <c r="O271" s="198" t="str">
        <f>HYPERLINK("https://leetcode.com/problems/flatten-binary-tree-to-linked-list/","https://leetcode.com/problems/flatten-binary-tree-to-linked-list/")</f>
        <v>https://leetcode.com/problems/flatten-binary-tree-to-linked-list/</v>
      </c>
    </row>
    <row r="272" spans="1:15" ht="31.5" customHeight="1" x14ac:dyDescent="0.2">
      <c r="A272" s="151">
        <v>267</v>
      </c>
      <c r="B272" s="151">
        <v>636</v>
      </c>
      <c r="C272" s="152" t="s">
        <v>1690</v>
      </c>
      <c r="D272" s="153" t="s">
        <v>4681</v>
      </c>
      <c r="E272" s="154" t="s">
        <v>28</v>
      </c>
      <c r="F272" s="153" t="s">
        <v>1472</v>
      </c>
      <c r="G272" s="153" t="s">
        <v>540</v>
      </c>
      <c r="H272" s="151">
        <f>IFERROR(VLOOKUP(B274,'📊 Problem Tracker'!$B$4:$F$1200,5,FALSE()),"")</f>
        <v>0</v>
      </c>
      <c r="I272" s="151"/>
      <c r="J272" s="151"/>
      <c r="K272" s="153"/>
      <c r="L272" s="228" t="s">
        <v>542</v>
      </c>
      <c r="M272" s="7" t="s">
        <v>24</v>
      </c>
      <c r="N272" s="7" t="s">
        <v>24</v>
      </c>
      <c r="O272" s="197" t="str">
        <f>HYPERLINK("https://leetcode.com/problems/exclusive-time-of-functions/","https://leetcode.com/problems/exclusive-time-of-functions/")</f>
        <v>https://leetcode.com/problems/exclusive-time-of-functions/</v>
      </c>
    </row>
    <row r="273" spans="1:15" ht="31.5" customHeight="1" x14ac:dyDescent="0.2">
      <c r="A273" s="155">
        <v>268</v>
      </c>
      <c r="B273" s="155">
        <v>987</v>
      </c>
      <c r="C273" s="156" t="s">
        <v>2141</v>
      </c>
      <c r="D273" s="157" t="s">
        <v>4538</v>
      </c>
      <c r="E273" s="161" t="s">
        <v>42</v>
      </c>
      <c r="F273" s="157" t="s">
        <v>2142</v>
      </c>
      <c r="G273" s="157"/>
      <c r="H273" s="155">
        <f>IFERROR(VLOOKUP(B275,'📊 Problem Tracker'!$B$4:$F$1200,5,FALSE()),"")</f>
        <v>0</v>
      </c>
      <c r="I273" s="155"/>
      <c r="J273" s="155"/>
      <c r="K273" s="157"/>
      <c r="L273" s="228" t="s">
        <v>571</v>
      </c>
      <c r="M273" s="7" t="s">
        <v>326</v>
      </c>
      <c r="N273" s="7" t="s">
        <v>24</v>
      </c>
      <c r="O273" s="198" t="str">
        <f>HYPERLINK("https://leetcode.com/problems/vertical-order-traversal-of-a-binary-tree/","https://leetcode.com/problems/vertical-order-traversal-of-a-binary-tree/")</f>
        <v>https://leetcode.com/problems/vertical-order-traversal-of-a-binary-tree/</v>
      </c>
    </row>
    <row r="274" spans="1:15" ht="31.5" customHeight="1" x14ac:dyDescent="0.2">
      <c r="A274" s="151">
        <v>269</v>
      </c>
      <c r="B274" s="151">
        <v>371</v>
      </c>
      <c r="C274" s="152" t="s">
        <v>1316</v>
      </c>
      <c r="D274" s="153" t="s">
        <v>4585</v>
      </c>
      <c r="E274" s="154" t="s">
        <v>28</v>
      </c>
      <c r="F274" s="153" t="s">
        <v>1317</v>
      </c>
      <c r="G274" s="153" t="s">
        <v>666</v>
      </c>
      <c r="H274" s="151">
        <f>IFERROR(VLOOKUP(B276,'📊 Problem Tracker'!$B$4:$F$1200,5,FALSE()),"")</f>
        <v>0</v>
      </c>
      <c r="I274" s="151"/>
      <c r="J274" s="151"/>
      <c r="K274" s="153"/>
      <c r="L274" s="228" t="s">
        <v>1320</v>
      </c>
      <c r="M274" s="7" t="s">
        <v>47</v>
      </c>
      <c r="N274" s="7" t="s">
        <v>47</v>
      </c>
      <c r="O274" s="197" t="str">
        <f>HYPERLINK("https://leetcode.com/problems/sum-of-two-integers/","https://leetcode.com/problems/sum-of-two-integers/")</f>
        <v>https://leetcode.com/problems/sum-of-two-integers/</v>
      </c>
    </row>
    <row r="275" spans="1:15" ht="31.5" customHeight="1" x14ac:dyDescent="0.2">
      <c r="A275" s="155">
        <v>270</v>
      </c>
      <c r="B275" s="155">
        <v>1552</v>
      </c>
      <c r="C275" s="156" t="s">
        <v>2536</v>
      </c>
      <c r="D275" s="157" t="s">
        <v>4837</v>
      </c>
      <c r="E275" s="158" t="s">
        <v>28</v>
      </c>
      <c r="F275" s="157" t="s">
        <v>41</v>
      </c>
      <c r="G275" s="157"/>
      <c r="H275" s="155">
        <f>IFERROR(VLOOKUP(B277,'📊 Problem Tracker'!$B$4:$F$1200,5,FALSE()),"")</f>
        <v>0</v>
      </c>
      <c r="I275" s="155"/>
      <c r="J275" s="155"/>
      <c r="K275" s="157"/>
      <c r="L275" s="228" t="s">
        <v>513</v>
      </c>
      <c r="M275" s="7" t="s">
        <v>65</v>
      </c>
      <c r="N275" s="7" t="s">
        <v>47</v>
      </c>
      <c r="O275" s="198" t="str">
        <f>HYPERLINK("https://leetcode.com/problems/magnetic-force-between-two-balls/","https://leetcode.com/problems/magnetic-force-between-two-balls/")</f>
        <v>https://leetcode.com/problems/magnetic-force-between-two-balls/</v>
      </c>
    </row>
    <row r="276" spans="1:15" ht="31.5" customHeight="1" x14ac:dyDescent="0.2">
      <c r="A276" s="151">
        <v>271</v>
      </c>
      <c r="B276" s="151">
        <v>1934</v>
      </c>
      <c r="C276" s="152" t="s">
        <v>2798</v>
      </c>
      <c r="D276" s="153" t="s">
        <v>4948</v>
      </c>
      <c r="E276" s="154" t="s">
        <v>28</v>
      </c>
      <c r="F276" s="153" t="s">
        <v>796</v>
      </c>
      <c r="G276" s="153" t="s">
        <v>796</v>
      </c>
      <c r="H276" s="151">
        <f>IFERROR(VLOOKUP(B278,'📊 Problem Tracker'!$B$4:$F$1200,5,FALSE()),"")</f>
        <v>0</v>
      </c>
      <c r="I276" s="151"/>
      <c r="J276" s="151"/>
      <c r="K276" s="153"/>
      <c r="L276" s="228" t="s">
        <v>2800</v>
      </c>
      <c r="M276" s="7" t="s">
        <v>24</v>
      </c>
      <c r="N276" s="7" t="s">
        <v>24</v>
      </c>
      <c r="O276" s="197" t="str">
        <f>HYPERLINK("https://leetcode.com/problems/confirmation-rate/","https://leetcode.com/problems/confirmation-rate/")</f>
        <v>https://leetcode.com/problems/confirmation-rate/</v>
      </c>
    </row>
    <row r="277" spans="1:15" ht="31.5" customHeight="1" x14ac:dyDescent="0.2">
      <c r="A277" s="155">
        <v>272</v>
      </c>
      <c r="B277" s="155">
        <v>622</v>
      </c>
      <c r="C277" s="156" t="s">
        <v>1668</v>
      </c>
      <c r="D277" s="157" t="s">
        <v>4566</v>
      </c>
      <c r="E277" s="158" t="s">
        <v>28</v>
      </c>
      <c r="F277" s="157" t="s">
        <v>1298</v>
      </c>
      <c r="G277" s="157"/>
      <c r="H277" s="155">
        <f>IFERROR(VLOOKUP(B279,'📊 Problem Tracker'!$B$4:$F$1200,5,FALSE()),"")</f>
        <v>0</v>
      </c>
      <c r="I277" s="155"/>
      <c r="J277" s="155"/>
      <c r="K277" s="157"/>
      <c r="L277" s="228" t="s">
        <v>1670</v>
      </c>
      <c r="M277" s="7" t="s">
        <v>24</v>
      </c>
      <c r="N277" s="7" t="s">
        <v>24</v>
      </c>
      <c r="O277" s="198" t="str">
        <f>HYPERLINK("https://leetcode.com/problems/design-circular-queue/","https://leetcode.com/problems/design-circular-queue/")</f>
        <v>https://leetcode.com/problems/design-circular-queue/</v>
      </c>
    </row>
    <row r="278" spans="1:15" ht="31.5" customHeight="1" x14ac:dyDescent="0.2">
      <c r="A278" s="151">
        <v>273</v>
      </c>
      <c r="B278" s="151">
        <v>1838</v>
      </c>
      <c r="C278" s="152" t="s">
        <v>2724</v>
      </c>
      <c r="D278" s="153" t="s">
        <v>4722</v>
      </c>
      <c r="E278" s="154" t="s">
        <v>28</v>
      </c>
      <c r="F278" s="153" t="s">
        <v>916</v>
      </c>
      <c r="G278" s="153"/>
      <c r="H278" s="151">
        <f>IFERROR(VLOOKUP(B280,'📊 Problem Tracker'!$B$4:$F$1200,5,FALSE()),"")</f>
        <v>0</v>
      </c>
      <c r="I278" s="151"/>
      <c r="J278" s="151"/>
      <c r="K278" s="153"/>
      <c r="L278" s="228" t="s">
        <v>919</v>
      </c>
      <c r="M278" s="7" t="s">
        <v>326</v>
      </c>
      <c r="N278" s="7" t="s">
        <v>47</v>
      </c>
      <c r="O278" s="197" t="str">
        <f>HYPERLINK("https://leetcode.com/problems/frequency-of-the-most-frequent-element/","https://leetcode.com/problems/frequency-of-the-most-frequent-element/")</f>
        <v>https://leetcode.com/problems/frequency-of-the-most-frequent-element/</v>
      </c>
    </row>
    <row r="279" spans="1:15" ht="31.5" customHeight="1" x14ac:dyDescent="0.2">
      <c r="A279" s="155">
        <v>274</v>
      </c>
      <c r="B279" s="155">
        <v>354</v>
      </c>
      <c r="C279" s="156" t="s">
        <v>1288</v>
      </c>
      <c r="D279" s="157" t="s">
        <v>4632</v>
      </c>
      <c r="E279" s="161" t="s">
        <v>42</v>
      </c>
      <c r="F279" s="157" t="s">
        <v>1136</v>
      </c>
      <c r="G279" s="157" t="s">
        <v>4949</v>
      </c>
      <c r="H279" s="155">
        <f>IFERROR(VLOOKUP(B281,'📊 Problem Tracker'!$B$4:$F$1200,5,FALSE()),"")</f>
        <v>0</v>
      </c>
      <c r="I279" s="155"/>
      <c r="J279" s="155"/>
      <c r="K279" s="157"/>
      <c r="L279" s="228" t="s">
        <v>513</v>
      </c>
      <c r="M279" s="7" t="s">
        <v>65</v>
      </c>
      <c r="N279" s="7" t="s">
        <v>47</v>
      </c>
      <c r="O279" s="198" t="str">
        <f>HYPERLINK("https://leetcode.com/problems/russian-doll-envelopes/","https://leetcode.com/problems/russian-doll-envelopes/")</f>
        <v>https://leetcode.com/problems/russian-doll-envelopes/</v>
      </c>
    </row>
    <row r="280" spans="1:15" ht="31.5" customHeight="1" x14ac:dyDescent="0.2">
      <c r="A280" s="151">
        <v>275</v>
      </c>
      <c r="B280" s="151">
        <v>38</v>
      </c>
      <c r="C280" s="152" t="s">
        <v>228</v>
      </c>
      <c r="D280" s="153" t="s">
        <v>4472</v>
      </c>
      <c r="E280" s="154" t="s">
        <v>28</v>
      </c>
      <c r="F280" s="153" t="s">
        <v>56</v>
      </c>
      <c r="G280" s="153" t="s">
        <v>98</v>
      </c>
      <c r="H280" s="151">
        <f>IFERROR(VLOOKUP(B282,'📊 Problem Tracker'!$B$4:$F$1200,5,FALSE()),"")</f>
        <v>0</v>
      </c>
      <c r="I280" s="151"/>
      <c r="J280" s="151"/>
      <c r="K280" s="153"/>
      <c r="L280" s="228" t="s">
        <v>230</v>
      </c>
      <c r="M280" s="7" t="s">
        <v>231</v>
      </c>
      <c r="N280" s="7" t="s">
        <v>231</v>
      </c>
      <c r="O280" s="197" t="str">
        <f>HYPERLINK("https://leetcode.com/problems/count-and-say/","https://leetcode.com/problems/count-and-say/")</f>
        <v>https://leetcode.com/problems/count-and-say/</v>
      </c>
    </row>
    <row r="281" spans="1:15" ht="31.5" customHeight="1" x14ac:dyDescent="0.2">
      <c r="A281" s="155">
        <v>276</v>
      </c>
      <c r="B281" s="155">
        <v>1209</v>
      </c>
      <c r="C281" s="156" t="s">
        <v>2287</v>
      </c>
      <c r="D281" s="157" t="s">
        <v>4515</v>
      </c>
      <c r="E281" s="158" t="s">
        <v>28</v>
      </c>
      <c r="F281" s="157" t="s">
        <v>133</v>
      </c>
      <c r="G281" s="157" t="s">
        <v>540</v>
      </c>
      <c r="H281" s="155">
        <f>IFERROR(VLOOKUP(B283,'📊 Problem Tracker'!$B$4:$F$1200,5,FALSE()),"")</f>
        <v>0</v>
      </c>
      <c r="I281" s="155"/>
      <c r="J281" s="155"/>
      <c r="K281" s="157"/>
      <c r="L281" s="228" t="s">
        <v>2289</v>
      </c>
      <c r="M281" s="7" t="s">
        <v>24</v>
      </c>
      <c r="N281" s="7" t="s">
        <v>24</v>
      </c>
      <c r="O281" s="198" t="str">
        <f>HYPERLINK("https://leetcode.com/problems/remove-all-adjacent-duplicates-in-string-ii/","https://leetcode.com/problems/remove-all-adjacent-duplicates-in-string-ii/")</f>
        <v>https://leetcode.com/problems/remove-all-adjacent-duplicates-in-string-ii/</v>
      </c>
    </row>
    <row r="282" spans="1:15" ht="31.5" customHeight="1" x14ac:dyDescent="0.2">
      <c r="A282" s="151">
        <v>277</v>
      </c>
      <c r="B282" s="151">
        <v>99</v>
      </c>
      <c r="C282" s="152" t="s">
        <v>522</v>
      </c>
      <c r="D282" s="153" t="s">
        <v>4521</v>
      </c>
      <c r="E282" s="154" t="s">
        <v>28</v>
      </c>
      <c r="F282" s="153" t="s">
        <v>518</v>
      </c>
      <c r="G282" s="153" t="s">
        <v>4950</v>
      </c>
      <c r="H282" s="151">
        <f>IFERROR(VLOOKUP(B284,'📊 Problem Tracker'!$B$4:$F$1200,5,FALSE()),"")</f>
        <v>0</v>
      </c>
      <c r="I282" s="151"/>
      <c r="J282" s="151"/>
      <c r="K282" s="153"/>
      <c r="L282" s="228" t="s">
        <v>513</v>
      </c>
      <c r="M282" s="7" t="s">
        <v>24</v>
      </c>
      <c r="N282" s="7" t="s">
        <v>503</v>
      </c>
      <c r="O282" s="197" t="str">
        <f>HYPERLINK("https://leetcode.com/problems/recover-binary-search-tree/","https://leetcode.com/problems/recover-binary-search-tree/")</f>
        <v>https://leetcode.com/problems/recover-binary-search-tree/</v>
      </c>
    </row>
    <row r="283" spans="1:15" ht="31.5" customHeight="1" x14ac:dyDescent="0.2">
      <c r="A283" s="155">
        <v>278</v>
      </c>
      <c r="B283" s="155">
        <v>58</v>
      </c>
      <c r="C283" s="156" t="s">
        <v>333</v>
      </c>
      <c r="D283" s="157" t="s">
        <v>4491</v>
      </c>
      <c r="E283" s="159" t="s">
        <v>20</v>
      </c>
      <c r="F283" s="157" t="s">
        <v>98</v>
      </c>
      <c r="G283" s="157" t="s">
        <v>98</v>
      </c>
      <c r="H283" s="155">
        <f>IFERROR(VLOOKUP(B285,'📊 Problem Tracker'!$B$4:$F$1200,5,FALSE()),"")</f>
        <v>0</v>
      </c>
      <c r="I283" s="155"/>
      <c r="J283" s="155"/>
      <c r="K283" s="157"/>
      <c r="L283" s="228" t="s">
        <v>335</v>
      </c>
      <c r="M283" s="7" t="s">
        <v>24</v>
      </c>
      <c r="N283" s="7" t="s">
        <v>47</v>
      </c>
      <c r="O283" s="198" t="str">
        <f>HYPERLINK("https://leetcode.com/problems/length-of-last-word/","https://leetcode.com/problems/length-of-last-word/")</f>
        <v>https://leetcode.com/problems/length-of-last-word/</v>
      </c>
    </row>
    <row r="284" spans="1:15" ht="31.5" customHeight="1" x14ac:dyDescent="0.2">
      <c r="A284" s="151">
        <v>279</v>
      </c>
      <c r="B284" s="151">
        <v>1642</v>
      </c>
      <c r="C284" s="152" t="s">
        <v>2598</v>
      </c>
      <c r="D284" s="153" t="s">
        <v>4933</v>
      </c>
      <c r="E284" s="154" t="s">
        <v>28</v>
      </c>
      <c r="F284" s="153" t="s">
        <v>1531</v>
      </c>
      <c r="G284" s="153" t="s">
        <v>4951</v>
      </c>
      <c r="H284" s="151">
        <f>IFERROR(VLOOKUP(B286,'📊 Problem Tracker'!$B$4:$F$1200,5,FALSE()),"")</f>
        <v>0</v>
      </c>
      <c r="I284" s="151"/>
      <c r="J284" s="151"/>
      <c r="K284" s="153"/>
      <c r="L284" s="228" t="s">
        <v>959</v>
      </c>
      <c r="M284" s="7" t="s">
        <v>960</v>
      </c>
      <c r="N284" s="7" t="s">
        <v>153</v>
      </c>
      <c r="O284" s="197" t="str">
        <f>HYPERLINK("https://leetcode.com/problems/furthest-building-you-can-reach/","https://leetcode.com/problems/furthest-building-you-can-reach/")</f>
        <v>https://leetcode.com/problems/furthest-building-you-can-reach/</v>
      </c>
    </row>
    <row r="285" spans="1:15" ht="31.5" customHeight="1" x14ac:dyDescent="0.2">
      <c r="A285" s="155">
        <v>280</v>
      </c>
      <c r="B285" s="155">
        <v>1166</v>
      </c>
      <c r="C285" s="156" t="s">
        <v>2262</v>
      </c>
      <c r="D285" s="157" t="s">
        <v>4665</v>
      </c>
      <c r="E285" s="158" t="s">
        <v>28</v>
      </c>
      <c r="F285" s="157" t="s">
        <v>2263</v>
      </c>
      <c r="G285" s="157" t="s">
        <v>4952</v>
      </c>
      <c r="H285" s="155">
        <f>IFERROR(VLOOKUP(B287,'📊 Problem Tracker'!$B$4:$F$1200,5,FALSE()),"")</f>
        <v>0</v>
      </c>
      <c r="I285" s="155"/>
      <c r="J285" s="155"/>
      <c r="K285" s="157"/>
      <c r="L285" s="228" t="s">
        <v>2265</v>
      </c>
      <c r="M285" s="7" t="s">
        <v>912</v>
      </c>
      <c r="N285" s="7" t="s">
        <v>2266</v>
      </c>
      <c r="O285" s="198" t="str">
        <f>HYPERLINK("https://leetcode.com/problems/design-file-system/","https://leetcode.com/problems/design-file-system/")</f>
        <v>https://leetcode.com/problems/design-file-system/</v>
      </c>
    </row>
    <row r="286" spans="1:15" ht="31.5" customHeight="1" x14ac:dyDescent="0.2">
      <c r="A286" s="151">
        <v>281</v>
      </c>
      <c r="B286" s="151">
        <v>1752</v>
      </c>
      <c r="C286" s="152" t="s">
        <v>2687</v>
      </c>
      <c r="D286" s="153" t="s">
        <v>4813</v>
      </c>
      <c r="E286" s="160" t="s">
        <v>20</v>
      </c>
      <c r="F286" s="153" t="s">
        <v>166</v>
      </c>
      <c r="G286" s="153" t="s">
        <v>166</v>
      </c>
      <c r="H286" s="151">
        <f>IFERROR(VLOOKUP(B288,'📊 Problem Tracker'!$B$4:$F$1200,5,FALSE()),"")</f>
        <v>0</v>
      </c>
      <c r="I286" s="151"/>
      <c r="J286" s="151"/>
      <c r="K286" s="153"/>
      <c r="L286" s="228" t="s">
        <v>2689</v>
      </c>
      <c r="M286" s="7" t="s">
        <v>24</v>
      </c>
      <c r="N286" s="7" t="s">
        <v>47</v>
      </c>
      <c r="O286" s="197" t="str">
        <f>HYPERLINK("https://leetcode.com/problems/check-if-array-is-sorted-and-rotated/","https://leetcode.com/problems/check-if-array-is-sorted-and-rotated/")</f>
        <v>https://leetcode.com/problems/check-if-array-is-sorted-and-rotated/</v>
      </c>
    </row>
    <row r="287" spans="1:15" ht="31.5" customHeight="1" x14ac:dyDescent="0.2">
      <c r="A287" s="155">
        <v>282</v>
      </c>
      <c r="B287" s="155">
        <v>65</v>
      </c>
      <c r="C287" s="156" t="s">
        <v>370</v>
      </c>
      <c r="D287" s="157" t="s">
        <v>4865</v>
      </c>
      <c r="E287" s="161" t="s">
        <v>42</v>
      </c>
      <c r="F287" s="157" t="s">
        <v>98</v>
      </c>
      <c r="G287" s="157" t="s">
        <v>98</v>
      </c>
      <c r="H287" s="155">
        <f>IFERROR(VLOOKUP(B289,'📊 Problem Tracker'!$B$4:$F$1200,5,FALSE()),"")</f>
        <v>0</v>
      </c>
      <c r="I287" s="155"/>
      <c r="J287" s="155"/>
      <c r="K287" s="157"/>
      <c r="L287" s="228" t="s">
        <v>373</v>
      </c>
      <c r="M287" s="7" t="s">
        <v>24</v>
      </c>
      <c r="N287" s="7" t="s">
        <v>47</v>
      </c>
      <c r="O287" s="198" t="str">
        <f>HYPERLINK("https://leetcode.com/problems/valid-number/","https://leetcode.com/problems/valid-number/")</f>
        <v>https://leetcode.com/problems/valid-number/</v>
      </c>
    </row>
    <row r="288" spans="1:15" ht="31.5" customHeight="1" x14ac:dyDescent="0.2">
      <c r="A288" s="151">
        <v>283</v>
      </c>
      <c r="B288" s="151">
        <v>643</v>
      </c>
      <c r="C288" s="152" t="s">
        <v>1696</v>
      </c>
      <c r="D288" s="153" t="s">
        <v>4683</v>
      </c>
      <c r="E288" s="160" t="s">
        <v>20</v>
      </c>
      <c r="F288" s="153" t="s">
        <v>916</v>
      </c>
      <c r="G288" s="153" t="s">
        <v>917</v>
      </c>
      <c r="H288" s="151">
        <f>IFERROR(VLOOKUP(B290,'📊 Problem Tracker'!$B$4:$F$1200,5,FALSE()),"")</f>
        <v>0</v>
      </c>
      <c r="I288" s="151"/>
      <c r="J288" s="151"/>
      <c r="K288" s="153"/>
      <c r="L288" s="228" t="s">
        <v>919</v>
      </c>
      <c r="M288" s="7" t="s">
        <v>24</v>
      </c>
      <c r="N288" s="7" t="s">
        <v>1096</v>
      </c>
      <c r="O288" s="197" t="str">
        <f>HYPERLINK("https://leetcode.com/problems/maximum-average-subarray-i/","https://leetcode.com/problems/maximum-average-subarray-i/")</f>
        <v>https://leetcode.com/problems/maximum-average-subarray-i/</v>
      </c>
    </row>
    <row r="289" spans="1:15" ht="31.5" customHeight="1" x14ac:dyDescent="0.2">
      <c r="A289" s="155">
        <v>284</v>
      </c>
      <c r="B289" s="155">
        <v>63</v>
      </c>
      <c r="C289" s="156" t="s">
        <v>359</v>
      </c>
      <c r="D289" s="157" t="s">
        <v>4466</v>
      </c>
      <c r="E289" s="158" t="s">
        <v>28</v>
      </c>
      <c r="F289" s="157" t="s">
        <v>360</v>
      </c>
      <c r="G289" s="157" t="s">
        <v>1042</v>
      </c>
      <c r="H289" s="155">
        <f>IFERROR(VLOOKUP(B291,'📊 Problem Tracker'!$B$4:$F$1200,5,FALSE()),"")</f>
        <v>0</v>
      </c>
      <c r="I289" s="155"/>
      <c r="J289" s="155"/>
      <c r="K289" s="157"/>
      <c r="L289" s="228" t="s">
        <v>362</v>
      </c>
      <c r="M289" s="7" t="s">
        <v>363</v>
      </c>
      <c r="N289" s="7" t="s">
        <v>24</v>
      </c>
      <c r="O289" s="198" t="str">
        <f>HYPERLINK("https://leetcode.com/problems/unique-paths-ii/","https://leetcode.com/problems/unique-paths-ii/")</f>
        <v>https://leetcode.com/problems/unique-paths-ii/</v>
      </c>
    </row>
    <row r="290" spans="1:15" ht="31.5" customHeight="1" x14ac:dyDescent="0.2">
      <c r="A290" s="151">
        <v>285</v>
      </c>
      <c r="B290" s="151">
        <v>168</v>
      </c>
      <c r="C290" s="152" t="s">
        <v>768</v>
      </c>
      <c r="D290" s="153" t="s">
        <v>4435</v>
      </c>
      <c r="E290" s="160" t="s">
        <v>20</v>
      </c>
      <c r="F290" s="153" t="s">
        <v>769</v>
      </c>
      <c r="G290" s="153" t="s">
        <v>62</v>
      </c>
      <c r="H290" s="151">
        <f>IFERROR(VLOOKUP(B292,'📊 Problem Tracker'!$B$4:$F$1200,5,FALSE()),"")</f>
        <v>0</v>
      </c>
      <c r="I290" s="151"/>
      <c r="J290" s="151"/>
      <c r="K290" s="153"/>
      <c r="L290" s="228" t="s">
        <v>771</v>
      </c>
      <c r="M290" s="7" t="s">
        <v>24</v>
      </c>
      <c r="N290" s="7" t="s">
        <v>24</v>
      </c>
      <c r="O290" s="197" t="str">
        <f>HYPERLINK("https://leetcode.com/problems/excel-sheet-column-title/","https://leetcode.com/problems/excel-sheet-column-title/")</f>
        <v>https://leetcode.com/problems/excel-sheet-column-title/</v>
      </c>
    </row>
    <row r="291" spans="1:15" ht="31.5" customHeight="1" x14ac:dyDescent="0.2">
      <c r="A291" s="155">
        <v>286</v>
      </c>
      <c r="B291" s="155">
        <v>407</v>
      </c>
      <c r="C291" s="156" t="s">
        <v>1389</v>
      </c>
      <c r="D291" s="157" t="s">
        <v>4650</v>
      </c>
      <c r="E291" s="161" t="s">
        <v>42</v>
      </c>
      <c r="F291" s="157" t="s">
        <v>1390</v>
      </c>
      <c r="G291" s="157"/>
      <c r="H291" s="155">
        <f>IFERROR(VLOOKUP(B293,'📊 Problem Tracker'!$B$4:$F$1200,5,FALSE()),"")</f>
        <v>0</v>
      </c>
      <c r="I291" s="155"/>
      <c r="J291" s="155"/>
      <c r="K291" s="157"/>
      <c r="L291" s="228" t="s">
        <v>959</v>
      </c>
      <c r="M291" s="7" t="s">
        <v>81</v>
      </c>
      <c r="N291" s="7" t="s">
        <v>81</v>
      </c>
      <c r="O291" s="198" t="str">
        <f>HYPERLINK("https://leetcode.com/problems/trapping-rain-water-ii/","https://leetcode.com/problems/trapping-rain-water-ii/")</f>
        <v>https://leetcode.com/problems/trapping-rain-water-ii/</v>
      </c>
    </row>
    <row r="292" spans="1:15" ht="31.5" customHeight="1" x14ac:dyDescent="0.2">
      <c r="A292" s="151">
        <v>287</v>
      </c>
      <c r="B292" s="151">
        <v>1251</v>
      </c>
      <c r="C292" s="152" t="s">
        <v>2335</v>
      </c>
      <c r="D292" s="153" t="s">
        <v>4832</v>
      </c>
      <c r="E292" s="160" t="s">
        <v>20</v>
      </c>
      <c r="F292" s="153" t="s">
        <v>796</v>
      </c>
      <c r="G292" s="153" t="s">
        <v>796</v>
      </c>
      <c r="H292" s="151">
        <f>IFERROR(VLOOKUP(B294,'📊 Problem Tracker'!$B$4:$F$1200,5,FALSE()),"")</f>
        <v>0</v>
      </c>
      <c r="I292" s="151"/>
      <c r="J292" s="151"/>
      <c r="K292" s="153"/>
      <c r="L292" s="228" t="s">
        <v>2337</v>
      </c>
      <c r="M292" s="7" t="s">
        <v>24</v>
      </c>
      <c r="N292" s="7" t="s">
        <v>24</v>
      </c>
      <c r="O292" s="197" t="str">
        <f>HYPERLINK("https://leetcode.com/problems/average-selling-price/","https://leetcode.com/problems/average-selling-price/")</f>
        <v>https://leetcode.com/problems/average-selling-price/</v>
      </c>
    </row>
    <row r="293" spans="1:15" ht="31.5" customHeight="1" x14ac:dyDescent="0.2">
      <c r="A293" s="155">
        <v>288</v>
      </c>
      <c r="B293" s="155">
        <v>185</v>
      </c>
      <c r="C293" s="156" t="s">
        <v>839</v>
      </c>
      <c r="D293" s="157" t="s">
        <v>4440</v>
      </c>
      <c r="E293" s="161" t="s">
        <v>42</v>
      </c>
      <c r="F293" s="157" t="s">
        <v>796</v>
      </c>
      <c r="G293" s="157" t="s">
        <v>796</v>
      </c>
      <c r="H293" s="155">
        <f>IFERROR(VLOOKUP(B295,'📊 Problem Tracker'!$B$4:$F$1200,5,FALSE()),"")</f>
        <v>0</v>
      </c>
      <c r="I293" s="155"/>
      <c r="J293" s="155"/>
      <c r="K293" s="157"/>
      <c r="L293" s="228" t="s">
        <v>841</v>
      </c>
      <c r="M293" s="7" t="s">
        <v>326</v>
      </c>
      <c r="N293" s="7" t="s">
        <v>24</v>
      </c>
      <c r="O293" s="198" t="str">
        <f>HYPERLINK("https://leetcode.com/problems/department-top-three-salaries/","https://leetcode.com/problems/department-top-three-salaries/")</f>
        <v>https://leetcode.com/problems/department-top-three-salaries/</v>
      </c>
    </row>
    <row r="294" spans="1:15" ht="31.5" customHeight="1" x14ac:dyDescent="0.2">
      <c r="A294" s="151">
        <v>289</v>
      </c>
      <c r="B294" s="151">
        <v>43</v>
      </c>
      <c r="C294" s="152" t="s">
        <v>256</v>
      </c>
      <c r="D294" s="153" t="s">
        <v>4478</v>
      </c>
      <c r="E294" s="154" t="s">
        <v>28</v>
      </c>
      <c r="F294" s="153" t="s">
        <v>56</v>
      </c>
      <c r="G294" s="153" t="s">
        <v>4953</v>
      </c>
      <c r="H294" s="151">
        <f>IFERROR(VLOOKUP(B296,'📊 Problem Tracker'!$B$4:$F$1200,5,FALSE()),"")</f>
        <v>0</v>
      </c>
      <c r="I294" s="151"/>
      <c r="J294" s="151"/>
      <c r="K294" s="153"/>
      <c r="L294" s="228" t="s">
        <v>258</v>
      </c>
      <c r="M294" s="7" t="s">
        <v>81</v>
      </c>
      <c r="N294" s="7" t="s">
        <v>259</v>
      </c>
      <c r="O294" s="197" t="str">
        <f>HYPERLINK("https://leetcode.com/problems/multiply-strings/","https://leetcode.com/problems/multiply-strings/")</f>
        <v>https://leetcode.com/problems/multiply-strings/</v>
      </c>
    </row>
    <row r="295" spans="1:15" ht="31.5" customHeight="1" x14ac:dyDescent="0.2">
      <c r="A295" s="155">
        <v>290</v>
      </c>
      <c r="B295" s="155">
        <v>94</v>
      </c>
      <c r="C295" s="156" t="s">
        <v>499</v>
      </c>
      <c r="D295" s="157" t="s">
        <v>4481</v>
      </c>
      <c r="E295" s="159" t="s">
        <v>20</v>
      </c>
      <c r="F295" s="157" t="s">
        <v>500</v>
      </c>
      <c r="G295" s="157" t="s">
        <v>4256</v>
      </c>
      <c r="H295" s="155">
        <f>IFERROR(VLOOKUP(B297,'📊 Problem Tracker'!$B$4:$F$1200,5,FALSE()),"")</f>
        <v>0</v>
      </c>
      <c r="I295" s="155"/>
      <c r="J295" s="155"/>
      <c r="K295" s="157"/>
      <c r="L295" s="228" t="s">
        <v>502</v>
      </c>
      <c r="M295" s="7" t="s">
        <v>24</v>
      </c>
      <c r="N295" s="7" t="s">
        <v>503</v>
      </c>
      <c r="O295" s="198" t="str">
        <f>HYPERLINK("https://leetcode.com/problems/binary-tree-inorder-traversal/","https://leetcode.com/problems/binary-tree-inorder-traversal/")</f>
        <v>https://leetcode.com/problems/binary-tree-inorder-traversal/</v>
      </c>
    </row>
    <row r="296" spans="1:15" ht="31.5" customHeight="1" x14ac:dyDescent="0.2">
      <c r="A296" s="151">
        <v>291</v>
      </c>
      <c r="B296" s="151">
        <v>1047</v>
      </c>
      <c r="C296" s="152" t="s">
        <v>2209</v>
      </c>
      <c r="D296" s="153" t="s">
        <v>4573</v>
      </c>
      <c r="E296" s="160" t="s">
        <v>20</v>
      </c>
      <c r="F296" s="153" t="s">
        <v>133</v>
      </c>
      <c r="G296" s="153" t="s">
        <v>540</v>
      </c>
      <c r="H296" s="151">
        <f>IFERROR(VLOOKUP(B298,'📊 Problem Tracker'!$B$4:$F$1200,5,FALSE()),"")</f>
        <v>0</v>
      </c>
      <c r="I296" s="151"/>
      <c r="J296" s="151"/>
      <c r="K296" s="153"/>
      <c r="L296" s="228" t="s">
        <v>542</v>
      </c>
      <c r="M296" s="7" t="s">
        <v>24</v>
      </c>
      <c r="N296" s="7" t="s">
        <v>24</v>
      </c>
      <c r="O296" s="197" t="str">
        <f>HYPERLINK("https://leetcode.com/problems/remove-all-adjacent-duplicates-in-string/","https://leetcode.com/problems/remove-all-adjacent-duplicates-in-string/")</f>
        <v>https://leetcode.com/problems/remove-all-adjacent-duplicates-in-string/</v>
      </c>
    </row>
    <row r="297" spans="1:15" ht="31.5" customHeight="1" x14ac:dyDescent="0.2">
      <c r="A297" s="155">
        <v>292</v>
      </c>
      <c r="B297" s="155">
        <v>441</v>
      </c>
      <c r="C297" s="156" t="s">
        <v>1445</v>
      </c>
      <c r="D297" s="157" t="s">
        <v>4954</v>
      </c>
      <c r="E297" s="159" t="s">
        <v>20</v>
      </c>
      <c r="F297" s="157" t="s">
        <v>62</v>
      </c>
      <c r="G297" s="157" t="s">
        <v>62</v>
      </c>
      <c r="H297" s="155">
        <f>IFERROR(VLOOKUP(B299,'📊 Problem Tracker'!$B$4:$F$1200,5,FALSE()),"")</f>
        <v>0</v>
      </c>
      <c r="I297" s="155"/>
      <c r="J297" s="155"/>
      <c r="K297" s="157"/>
      <c r="L297" s="228" t="s">
        <v>1447</v>
      </c>
      <c r="M297" s="7" t="s">
        <v>24</v>
      </c>
      <c r="N297" s="7" t="s">
        <v>24</v>
      </c>
      <c r="O297" s="198" t="str">
        <f>HYPERLINK("https://leetcode.com/problems/arranging-coins/","https://leetcode.com/problems/arranging-coins/")</f>
        <v>https://leetcode.com/problems/arranging-coins/</v>
      </c>
    </row>
    <row r="298" spans="1:15" ht="31.5" customHeight="1" x14ac:dyDescent="0.2">
      <c r="A298" s="151">
        <v>293</v>
      </c>
      <c r="B298" s="151">
        <v>504</v>
      </c>
      <c r="C298" s="152" t="s">
        <v>1537</v>
      </c>
      <c r="D298" s="153" t="s">
        <v>4619</v>
      </c>
      <c r="E298" s="160" t="s">
        <v>20</v>
      </c>
      <c r="F298" s="153" t="s">
        <v>62</v>
      </c>
      <c r="G298" s="153" t="s">
        <v>62</v>
      </c>
      <c r="H298" s="151">
        <f>IFERROR(VLOOKUP(B300,'📊 Problem Tracker'!$B$4:$F$1200,5,FALSE()),"")</f>
        <v>0</v>
      </c>
      <c r="I298" s="151"/>
      <c r="J298" s="151"/>
      <c r="K298" s="153"/>
      <c r="L298" s="228" t="s">
        <v>1539</v>
      </c>
      <c r="M298" s="7" t="s">
        <v>65</v>
      </c>
      <c r="N298" s="7" t="s">
        <v>65</v>
      </c>
      <c r="O298" s="197" t="str">
        <f>HYPERLINK("https://leetcode.com/problems/base-7/","https://leetcode.com/problems/base-7/")</f>
        <v>https://leetcode.com/problems/base-7/</v>
      </c>
    </row>
    <row r="299" spans="1:15" ht="31.5" customHeight="1" x14ac:dyDescent="0.2">
      <c r="A299" s="155">
        <v>294</v>
      </c>
      <c r="B299" s="155">
        <v>678</v>
      </c>
      <c r="C299" s="156" t="s">
        <v>1726</v>
      </c>
      <c r="D299" s="157" t="s">
        <v>4686</v>
      </c>
      <c r="E299" s="158" t="s">
        <v>28</v>
      </c>
      <c r="F299" s="157" t="s">
        <v>1381</v>
      </c>
      <c r="G299" s="157" t="s">
        <v>4955</v>
      </c>
      <c r="H299" s="155">
        <f>IFERROR(VLOOKUP(B301,'📊 Problem Tracker'!$B$4:$F$1200,5,FALSE()),"")</f>
        <v>0</v>
      </c>
      <c r="I299" s="155"/>
      <c r="J299" s="155"/>
      <c r="K299" s="157"/>
      <c r="L299" s="228" t="s">
        <v>750</v>
      </c>
      <c r="M299" s="7" t="s">
        <v>24</v>
      </c>
      <c r="N299" s="7" t="s">
        <v>24</v>
      </c>
      <c r="O299" s="198" t="str">
        <f>HYPERLINK("https://leetcode.com/problems/valid-parenthesis-string/","https://leetcode.com/problems/valid-parenthesis-string/")</f>
        <v>https://leetcode.com/problems/valid-parenthesis-string/</v>
      </c>
    </row>
    <row r="300" spans="1:15" ht="31.5" customHeight="1" x14ac:dyDescent="0.2">
      <c r="A300" s="151">
        <v>295</v>
      </c>
      <c r="B300" s="151">
        <v>225</v>
      </c>
      <c r="C300" s="152" t="s">
        <v>973</v>
      </c>
      <c r="D300" s="153" t="s">
        <v>4546</v>
      </c>
      <c r="E300" s="160" t="s">
        <v>20</v>
      </c>
      <c r="F300" s="153" t="s">
        <v>974</v>
      </c>
      <c r="G300" s="153" t="s">
        <v>4956</v>
      </c>
      <c r="H300" s="151">
        <f>IFERROR(VLOOKUP(B302,'📊 Problem Tracker'!$B$4:$F$1200,5,FALSE()),"")</f>
        <v>0</v>
      </c>
      <c r="I300" s="151"/>
      <c r="J300" s="151"/>
      <c r="K300" s="153"/>
      <c r="L300" s="228" t="s">
        <v>542</v>
      </c>
      <c r="M300" s="7" t="s">
        <v>24</v>
      </c>
      <c r="N300" s="7" t="s">
        <v>24</v>
      </c>
      <c r="O300" s="197" t="str">
        <f>HYPERLINK("https://leetcode.com/problems/implement-stack-using-queues/","https://leetcode.com/problems/implement-stack-using-queues/")</f>
        <v>https://leetcode.com/problems/implement-stack-using-queues/</v>
      </c>
    </row>
    <row r="301" spans="1:15" ht="31.5" customHeight="1" x14ac:dyDescent="0.2">
      <c r="A301" s="155">
        <v>296</v>
      </c>
      <c r="B301" s="155">
        <v>455</v>
      </c>
      <c r="C301" s="156" t="s">
        <v>1469</v>
      </c>
      <c r="D301" s="157" t="s">
        <v>4530</v>
      </c>
      <c r="E301" s="159" t="s">
        <v>20</v>
      </c>
      <c r="F301" s="157" t="s">
        <v>318</v>
      </c>
      <c r="G301" s="157" t="s">
        <v>3091</v>
      </c>
      <c r="H301" s="155">
        <f>IFERROR(VLOOKUP(B303,'📊 Problem Tracker'!$B$4:$F$1200,5,FALSE()),"")</f>
        <v>0</v>
      </c>
      <c r="I301" s="155"/>
      <c r="J301" s="155"/>
      <c r="K301" s="157"/>
      <c r="L301" s="228" t="s">
        <v>654</v>
      </c>
      <c r="M301" s="7" t="s">
        <v>24</v>
      </c>
      <c r="N301" s="7" t="s">
        <v>1100</v>
      </c>
      <c r="O301" s="198" t="str">
        <f>HYPERLINK("https://leetcode.com/problems/assign-cookies/","https://leetcode.com/problems/assign-cookies/")</f>
        <v>https://leetcode.com/problems/assign-cookies/</v>
      </c>
    </row>
    <row r="302" spans="1:15" ht="31.5" customHeight="1" x14ac:dyDescent="0.2">
      <c r="A302" s="151">
        <v>297</v>
      </c>
      <c r="B302" s="151">
        <v>278</v>
      </c>
      <c r="C302" s="152" t="s">
        <v>1082</v>
      </c>
      <c r="D302" s="153" t="s">
        <v>4544</v>
      </c>
      <c r="E302" s="160" t="s">
        <v>20</v>
      </c>
      <c r="F302" s="153" t="s">
        <v>512</v>
      </c>
      <c r="G302" s="153" t="s">
        <v>512</v>
      </c>
      <c r="H302" s="151">
        <f>IFERROR(VLOOKUP(B304,'📊 Problem Tracker'!$B$4:$F$1200,5,FALSE()),"")</f>
        <v>0</v>
      </c>
      <c r="I302" s="151"/>
      <c r="J302" s="151"/>
      <c r="K302" s="153"/>
      <c r="L302" s="228" t="s">
        <v>513</v>
      </c>
      <c r="M302" s="7" t="s">
        <v>65</v>
      </c>
      <c r="N302" s="7" t="s">
        <v>47</v>
      </c>
      <c r="O302" s="197" t="str">
        <f>HYPERLINK("https://leetcode.com/problems/first-bad-version/","https://leetcode.com/problems/first-bad-version/")</f>
        <v>https://leetcode.com/problems/first-bad-version/</v>
      </c>
    </row>
    <row r="303" spans="1:15" ht="31.5" customHeight="1" x14ac:dyDescent="0.2">
      <c r="A303" s="155">
        <v>298</v>
      </c>
      <c r="B303" s="155">
        <v>110</v>
      </c>
      <c r="C303" s="156" t="s">
        <v>568</v>
      </c>
      <c r="D303" s="157" t="s">
        <v>4529</v>
      </c>
      <c r="E303" s="159" t="s">
        <v>20</v>
      </c>
      <c r="F303" s="157" t="s">
        <v>500</v>
      </c>
      <c r="G303" s="157" t="s">
        <v>4256</v>
      </c>
      <c r="H303" s="155">
        <f>IFERROR(VLOOKUP(B305,'📊 Problem Tracker'!$B$4:$F$1200,5,FALSE()),"")</f>
        <v>0</v>
      </c>
      <c r="I303" s="155"/>
      <c r="J303" s="155"/>
      <c r="K303" s="157"/>
      <c r="L303" s="228" t="s">
        <v>571</v>
      </c>
      <c r="M303" s="7" t="s">
        <v>24</v>
      </c>
      <c r="N303" s="7" t="s">
        <v>503</v>
      </c>
      <c r="O303" s="198" t="str">
        <f>HYPERLINK("https://leetcode.com/problems/balanced-binary-tree/","https://leetcode.com/problems/balanced-binary-tree/")</f>
        <v>https://leetcode.com/problems/balanced-binary-tree/</v>
      </c>
    </row>
    <row r="304" spans="1:15" ht="31.5" customHeight="1" x14ac:dyDescent="0.2">
      <c r="A304" s="151">
        <v>299</v>
      </c>
      <c r="B304" s="151">
        <v>696</v>
      </c>
      <c r="C304" s="152" t="s">
        <v>1753</v>
      </c>
      <c r="D304" s="153" t="s">
        <v>4675</v>
      </c>
      <c r="E304" s="160" t="s">
        <v>20</v>
      </c>
      <c r="F304" s="153" t="s">
        <v>611</v>
      </c>
      <c r="G304" s="153" t="s">
        <v>689</v>
      </c>
      <c r="H304" s="151">
        <f>IFERROR(VLOOKUP(B306,'📊 Problem Tracker'!$B$4:$F$1200,5,FALSE()),"")</f>
        <v>0</v>
      </c>
      <c r="I304" s="151"/>
      <c r="J304" s="151"/>
      <c r="K304" s="153"/>
      <c r="L304" s="228" t="s">
        <v>1755</v>
      </c>
      <c r="M304" s="7" t="s">
        <v>24</v>
      </c>
      <c r="N304" s="7" t="s">
        <v>24</v>
      </c>
      <c r="O304" s="197" t="str">
        <f>HYPERLINK("https://leetcode.com/problems/count-binary-substrings/","https://leetcode.com/problems/count-binary-substrings/")</f>
        <v>https://leetcode.com/problems/count-binary-substrings/</v>
      </c>
    </row>
    <row r="305" spans="1:15" ht="31.5" customHeight="1" x14ac:dyDescent="0.2">
      <c r="A305" s="155">
        <v>300</v>
      </c>
      <c r="B305" s="155">
        <v>359</v>
      </c>
      <c r="C305" s="156" t="s">
        <v>1294</v>
      </c>
      <c r="D305" s="157" t="s">
        <v>4576</v>
      </c>
      <c r="E305" s="159" t="s">
        <v>20</v>
      </c>
      <c r="F305" s="157" t="s">
        <v>1295</v>
      </c>
      <c r="G305" s="157" t="s">
        <v>4957</v>
      </c>
      <c r="H305" s="155">
        <f>IFERROR(VLOOKUP(B307,'📊 Problem Tracker'!$B$4:$F$1200,5,FALSE()),"")</f>
        <v>0</v>
      </c>
      <c r="I305" s="155"/>
      <c r="J305" s="155"/>
      <c r="K305" s="157"/>
      <c r="L305" s="228" t="s">
        <v>705</v>
      </c>
      <c r="M305" s="7" t="s">
        <v>24</v>
      </c>
      <c r="N305" s="7" t="s">
        <v>24</v>
      </c>
      <c r="O305" s="198" t="str">
        <f>HYPERLINK("https://leetcode.com/problems/logger-rate-limiter/","https://leetcode.com/problems/logger-rate-limiter/")</f>
        <v>https://leetcode.com/problems/logger-rate-limiter/</v>
      </c>
    </row>
    <row r="306" spans="1:15" ht="31.5" customHeight="1" x14ac:dyDescent="0.2">
      <c r="A306" s="151">
        <v>301</v>
      </c>
      <c r="B306" s="151">
        <v>1721</v>
      </c>
      <c r="C306" s="152" t="s">
        <v>2666</v>
      </c>
      <c r="D306" s="153" t="s">
        <v>4913</v>
      </c>
      <c r="E306" s="154" t="s">
        <v>28</v>
      </c>
      <c r="F306" s="153" t="s">
        <v>127</v>
      </c>
      <c r="G306" s="153" t="s">
        <v>127</v>
      </c>
      <c r="H306" s="151">
        <f>IFERROR(VLOOKUP(B308,'📊 Problem Tracker'!$B$4:$F$1200,5,FALSE()),"")</f>
        <v>0</v>
      </c>
      <c r="I306" s="151"/>
      <c r="J306" s="151"/>
      <c r="K306" s="153"/>
      <c r="L306" s="228" t="s">
        <v>2667</v>
      </c>
      <c r="M306" s="7" t="s">
        <v>24</v>
      </c>
      <c r="N306" s="7" t="s">
        <v>47</v>
      </c>
      <c r="O306" s="197" t="str">
        <f>HYPERLINK("https://leetcode.com/problems/swapping-nodes-in-a-linked-list/","https://leetcode.com/problems/swapping-nodes-in-a-linked-list/")</f>
        <v>https://leetcode.com/problems/swapping-nodes-in-a-linked-list/</v>
      </c>
    </row>
    <row r="307" spans="1:15" ht="31.5" customHeight="1" x14ac:dyDescent="0.2">
      <c r="A307" s="155">
        <v>302</v>
      </c>
      <c r="B307" s="155">
        <v>561</v>
      </c>
      <c r="C307" s="156" t="s">
        <v>1614</v>
      </c>
      <c r="D307" s="157" t="s">
        <v>4958</v>
      </c>
      <c r="E307" s="159" t="s">
        <v>20</v>
      </c>
      <c r="F307" s="157" t="s">
        <v>166</v>
      </c>
      <c r="G307" s="157" t="s">
        <v>166</v>
      </c>
      <c r="H307" s="155">
        <f>IFERROR(VLOOKUP(B309,'📊 Problem Tracker'!$B$4:$F$1200,5,FALSE()),"")</f>
        <v>0</v>
      </c>
      <c r="I307" s="155"/>
      <c r="J307" s="155"/>
      <c r="K307" s="157"/>
      <c r="L307" s="228" t="s">
        <v>1616</v>
      </c>
      <c r="M307" s="7" t="s">
        <v>326</v>
      </c>
      <c r="N307" s="7" t="s">
        <v>47</v>
      </c>
      <c r="O307" s="198" t="str">
        <f>HYPERLINK("https://leetcode.com/problems/array-partition/","https://leetcode.com/problems/array-partition/")</f>
        <v>https://leetcode.com/problems/array-partition/</v>
      </c>
    </row>
    <row r="308" spans="1:15" ht="31.5" customHeight="1" x14ac:dyDescent="0.2">
      <c r="A308" s="151">
        <v>303</v>
      </c>
      <c r="B308" s="151">
        <v>59</v>
      </c>
      <c r="C308" s="152" t="s">
        <v>337</v>
      </c>
      <c r="D308" s="153" t="s">
        <v>4853</v>
      </c>
      <c r="E308" s="154" t="s">
        <v>28</v>
      </c>
      <c r="F308" s="153" t="s">
        <v>283</v>
      </c>
      <c r="G308" s="153" t="s">
        <v>4488</v>
      </c>
      <c r="H308" s="151">
        <f>IFERROR(VLOOKUP(B310,'📊 Problem Tracker'!$B$4:$F$1200,5,FALSE()),"")</f>
        <v>0</v>
      </c>
      <c r="I308" s="151"/>
      <c r="J308" s="151"/>
      <c r="K308" s="153"/>
      <c r="L308" s="228" t="s">
        <v>340</v>
      </c>
      <c r="M308" s="7" t="s">
        <v>341</v>
      </c>
      <c r="N308" s="7" t="s">
        <v>47</v>
      </c>
      <c r="O308" s="197" t="str">
        <f>HYPERLINK("https://leetcode.com/problems/spiral-matrix-ii/","https://leetcode.com/problems/spiral-matrix-ii/")</f>
        <v>https://leetcode.com/problems/spiral-matrix-ii/</v>
      </c>
    </row>
    <row r="309" spans="1:15" ht="31.5" customHeight="1" x14ac:dyDescent="0.2">
      <c r="A309" s="155">
        <v>304</v>
      </c>
      <c r="B309" s="155">
        <v>930</v>
      </c>
      <c r="C309" s="156" t="s">
        <v>2064</v>
      </c>
      <c r="D309" s="157" t="s">
        <v>4527</v>
      </c>
      <c r="E309" s="158" t="s">
        <v>28</v>
      </c>
      <c r="F309" s="157" t="s">
        <v>1559</v>
      </c>
      <c r="G309" s="157" t="s">
        <v>4959</v>
      </c>
      <c r="H309" s="155">
        <f>IFERROR(VLOOKUP(B311,'📊 Problem Tracker'!$B$4:$F$1200,5,FALSE()),"")</f>
        <v>0</v>
      </c>
      <c r="I309" s="155"/>
      <c r="J309" s="155"/>
      <c r="K309" s="157"/>
      <c r="L309" s="228" t="s">
        <v>2066</v>
      </c>
      <c r="M309" s="7" t="s">
        <v>24</v>
      </c>
      <c r="N309" s="7" t="s">
        <v>24</v>
      </c>
      <c r="O309" s="198" t="str">
        <f>HYPERLINK("https://leetcode.com/problems/binary-subarrays-with-sum/","https://leetcode.com/problems/binary-subarrays-with-sum/")</f>
        <v>https://leetcode.com/problems/binary-subarrays-with-sum/</v>
      </c>
    </row>
    <row r="310" spans="1:15" ht="31.5" customHeight="1" x14ac:dyDescent="0.2">
      <c r="A310" s="151">
        <v>305</v>
      </c>
      <c r="B310" s="151">
        <v>1365</v>
      </c>
      <c r="C310" s="152" t="s">
        <v>2422</v>
      </c>
      <c r="D310" s="153" t="s">
        <v>4960</v>
      </c>
      <c r="E310" s="160" t="s">
        <v>20</v>
      </c>
      <c r="F310" s="153" t="s">
        <v>1075</v>
      </c>
      <c r="G310" s="153" t="s">
        <v>4249</v>
      </c>
      <c r="H310" s="151">
        <f>IFERROR(VLOOKUP(B312,'📊 Problem Tracker'!$B$4:$F$1200,5,FALSE()),"")</f>
        <v>0</v>
      </c>
      <c r="I310" s="151"/>
      <c r="J310" s="151"/>
      <c r="K310" s="153"/>
      <c r="L310" s="228" t="s">
        <v>2424</v>
      </c>
      <c r="M310" s="7" t="s">
        <v>2425</v>
      </c>
      <c r="N310" s="7" t="s">
        <v>2426</v>
      </c>
      <c r="O310" s="197" t="str">
        <f>HYPERLINK("https://leetcode.com/problems/how-many-numbers-are-smaller-than-the-current-number/","https://leetcode.com/problems/how-many-numbers-are-smaller-than-the-current-number/")</f>
        <v>https://leetcode.com/problems/how-many-numbers-are-smaller-than-the-current-number/</v>
      </c>
    </row>
    <row r="311" spans="1:15" ht="31.5" customHeight="1" x14ac:dyDescent="0.2">
      <c r="A311" s="155">
        <v>306</v>
      </c>
      <c r="B311" s="155">
        <v>1070</v>
      </c>
      <c r="C311" s="156" t="s">
        <v>2215</v>
      </c>
      <c r="D311" s="157" t="s">
        <v>4961</v>
      </c>
      <c r="E311" s="158" t="s">
        <v>28</v>
      </c>
      <c r="F311" s="157" t="s">
        <v>796</v>
      </c>
      <c r="G311" s="157" t="s">
        <v>796</v>
      </c>
      <c r="H311" s="155">
        <f>IFERROR(VLOOKUP(B313,'📊 Problem Tracker'!$B$4:$F$1200,5,FALSE()),"")</f>
        <v>0</v>
      </c>
      <c r="I311" s="155"/>
      <c r="J311" s="155"/>
      <c r="K311" s="157"/>
      <c r="L311" s="228" t="s">
        <v>2217</v>
      </c>
      <c r="M311" s="7" t="s">
        <v>24</v>
      </c>
      <c r="N311" s="7" t="s">
        <v>24</v>
      </c>
      <c r="O311" s="198" t="str">
        <f>HYPERLINK("https://leetcode.com/problems/product-sales-analysis-iii/","https://leetcode.com/problems/product-sales-analysis-iii/")</f>
        <v>https://leetcode.com/problems/product-sales-analysis-iii/</v>
      </c>
    </row>
    <row r="312" spans="1:15" ht="31.5" customHeight="1" x14ac:dyDescent="0.2">
      <c r="A312" s="151">
        <v>307</v>
      </c>
      <c r="B312" s="151">
        <v>3434</v>
      </c>
      <c r="C312" s="152" t="s">
        <v>3180</v>
      </c>
      <c r="D312" s="153" t="s">
        <v>4962</v>
      </c>
      <c r="E312" s="154" t="s">
        <v>28</v>
      </c>
      <c r="F312" s="153" t="s">
        <v>3181</v>
      </c>
      <c r="G312" s="153" t="s">
        <v>4947</v>
      </c>
      <c r="H312" s="151">
        <f>IFERROR(VLOOKUP(B314,'📊 Problem Tracker'!$B$4:$F$1200,5,FALSE()),"")</f>
        <v>0</v>
      </c>
      <c r="I312" s="151"/>
      <c r="J312" s="151"/>
      <c r="K312" s="153"/>
      <c r="L312" s="228" t="s">
        <v>3183</v>
      </c>
      <c r="M312" s="7" t="s">
        <v>1370</v>
      </c>
      <c r="N312" s="7" t="s">
        <v>47</v>
      </c>
      <c r="O312" s="197" t="str">
        <f>HYPERLINK("https://leetcode.com/problems/maximum-frequency-after-subarray-operation/","https://leetcode.com/problems/maximum-frequency-after-subarray-operation/")</f>
        <v>https://leetcode.com/problems/maximum-frequency-after-subarray-operation/</v>
      </c>
    </row>
    <row r="313" spans="1:15" ht="31.5" customHeight="1" x14ac:dyDescent="0.2">
      <c r="A313" s="155">
        <v>308</v>
      </c>
      <c r="B313" s="155">
        <v>177</v>
      </c>
      <c r="C313" s="156" t="s">
        <v>804</v>
      </c>
      <c r="D313" s="157" t="s">
        <v>4963</v>
      </c>
      <c r="E313" s="158" t="s">
        <v>28</v>
      </c>
      <c r="F313" s="157" t="s">
        <v>796</v>
      </c>
      <c r="G313" s="157" t="s">
        <v>796</v>
      </c>
      <c r="H313" s="155">
        <f>IFERROR(VLOOKUP(B315,'📊 Problem Tracker'!$B$4:$F$1200,5,FALSE()),"")</f>
        <v>0</v>
      </c>
      <c r="I313" s="155"/>
      <c r="J313" s="155"/>
      <c r="K313" s="157"/>
      <c r="L313" s="228" t="s">
        <v>806</v>
      </c>
      <c r="M313" s="7" t="s">
        <v>24</v>
      </c>
      <c r="N313" s="7" t="s">
        <v>24</v>
      </c>
      <c r="O313" s="198" t="str">
        <f>HYPERLINK("https://leetcode.com/problems/nth-highest-salary/","https://leetcode.com/problems/nth-highest-salary/")</f>
        <v>https://leetcode.com/problems/nth-highest-salary/</v>
      </c>
    </row>
    <row r="314" spans="1:15" ht="31.5" customHeight="1" x14ac:dyDescent="0.2">
      <c r="A314" s="151">
        <v>309</v>
      </c>
      <c r="B314" s="151">
        <v>1277</v>
      </c>
      <c r="C314" s="152" t="s">
        <v>2353</v>
      </c>
      <c r="D314" s="153" t="s">
        <v>4715</v>
      </c>
      <c r="E314" s="154" t="s">
        <v>28</v>
      </c>
      <c r="F314" s="153" t="s">
        <v>360</v>
      </c>
      <c r="G314" s="153" t="s">
        <v>3980</v>
      </c>
      <c r="H314" s="151">
        <f>IFERROR(VLOOKUP(B316,'📊 Problem Tracker'!$B$4:$F$1200,5,FALSE()),"")</f>
        <v>0</v>
      </c>
      <c r="I314" s="151"/>
      <c r="J314" s="151"/>
      <c r="K314" s="153"/>
      <c r="L314" s="228" t="s">
        <v>2355</v>
      </c>
      <c r="M314" s="7" t="s">
        <v>363</v>
      </c>
      <c r="N314" s="7" t="s">
        <v>47</v>
      </c>
      <c r="O314" s="197" t="str">
        <f>HYPERLINK("https://leetcode.com/problems/count-square-submatrices-with-all-ones/","https://leetcode.com/problems/count-square-submatrices-with-all-ones/")</f>
        <v>https://leetcode.com/problems/count-square-submatrices-with-all-ones/</v>
      </c>
    </row>
    <row r="315" spans="1:15" ht="31.5" customHeight="1" x14ac:dyDescent="0.2">
      <c r="A315" s="155">
        <v>310</v>
      </c>
      <c r="B315" s="155">
        <v>181</v>
      </c>
      <c r="C315" s="156" t="s">
        <v>823</v>
      </c>
      <c r="D315" s="157" t="s">
        <v>4573</v>
      </c>
      <c r="E315" s="159" t="s">
        <v>20</v>
      </c>
      <c r="F315" s="157" t="s">
        <v>796</v>
      </c>
      <c r="G315" s="157" t="s">
        <v>796</v>
      </c>
      <c r="H315" s="155">
        <f>IFERROR(VLOOKUP(B317,'📊 Problem Tracker'!$B$4:$F$1200,5,FALSE()),"")</f>
        <v>0</v>
      </c>
      <c r="I315" s="155"/>
      <c r="J315" s="155"/>
      <c r="K315" s="157"/>
      <c r="L315" s="228" t="s">
        <v>825</v>
      </c>
      <c r="M315" s="7" t="s">
        <v>24</v>
      </c>
      <c r="N315" s="7" t="s">
        <v>24</v>
      </c>
      <c r="O315" s="198" t="str">
        <f>HYPERLINK("https://leetcode.com/problems/employees-earning-more-than-their-managers/","https://leetcode.com/problems/employees-earning-more-than-their-managers/")</f>
        <v>https://leetcode.com/problems/employees-earning-more-than-their-managers/</v>
      </c>
    </row>
    <row r="316" spans="1:15" ht="31.5" customHeight="1" x14ac:dyDescent="0.2">
      <c r="A316" s="151">
        <v>311</v>
      </c>
      <c r="B316" s="151">
        <v>1019</v>
      </c>
      <c r="C316" s="152" t="s">
        <v>2171</v>
      </c>
      <c r="D316" s="153" t="s">
        <v>4592</v>
      </c>
      <c r="E316" s="154" t="s">
        <v>28</v>
      </c>
      <c r="F316" s="153" t="s">
        <v>1454</v>
      </c>
      <c r="G316" s="153" t="s">
        <v>4964</v>
      </c>
      <c r="H316" s="151">
        <f>IFERROR(VLOOKUP(B318,'📊 Problem Tracker'!$B$4:$F$1200,5,FALSE()),"")</f>
        <v>0</v>
      </c>
      <c r="I316" s="151"/>
      <c r="J316" s="151"/>
      <c r="K316" s="153"/>
      <c r="L316" s="228" t="s">
        <v>2172</v>
      </c>
      <c r="M316" s="7" t="s">
        <v>24</v>
      </c>
      <c r="N316" s="7" t="s">
        <v>24</v>
      </c>
      <c r="O316" s="197" t="str">
        <f>HYPERLINK("https://leetcode.com/problems/next-greater-node-in-linked-list/","https://leetcode.com/problems/next-greater-node-in-linked-list/")</f>
        <v>https://leetcode.com/problems/next-greater-node-in-linked-list/</v>
      </c>
    </row>
    <row r="317" spans="1:15" ht="31.5" customHeight="1" x14ac:dyDescent="0.2">
      <c r="A317" s="155">
        <v>312</v>
      </c>
      <c r="B317" s="155">
        <v>860</v>
      </c>
      <c r="C317" s="156" t="s">
        <v>1990</v>
      </c>
      <c r="D317" s="157" t="s">
        <v>4965</v>
      </c>
      <c r="E317" s="159" t="s">
        <v>20</v>
      </c>
      <c r="F317" s="157" t="s">
        <v>318</v>
      </c>
      <c r="G317" s="157" t="s">
        <v>3091</v>
      </c>
      <c r="H317" s="155">
        <f>IFERROR(VLOOKUP(B319,'📊 Problem Tracker'!$B$4:$F$1200,5,FALSE()),"")</f>
        <v>0</v>
      </c>
      <c r="I317" s="155"/>
      <c r="J317" s="155"/>
      <c r="K317" s="157"/>
      <c r="L317" s="228" t="s">
        <v>1992</v>
      </c>
      <c r="M317" s="7" t="s">
        <v>24</v>
      </c>
      <c r="N317" s="7" t="s">
        <v>24</v>
      </c>
      <c r="O317" s="198" t="str">
        <f>HYPERLINK("https://leetcode.com/problems/lemonade-change/","https://leetcode.com/problems/lemonade-change/")</f>
        <v>https://leetcode.com/problems/lemonade-change/</v>
      </c>
    </row>
    <row r="318" spans="1:15" ht="31.5" customHeight="1" x14ac:dyDescent="0.2">
      <c r="A318" s="151">
        <v>313</v>
      </c>
      <c r="B318" s="151">
        <v>1423</v>
      </c>
      <c r="C318" s="152" t="s">
        <v>2464</v>
      </c>
      <c r="D318" s="153" t="s">
        <v>4966</v>
      </c>
      <c r="E318" s="154" t="s">
        <v>28</v>
      </c>
      <c r="F318" s="153" t="s">
        <v>916</v>
      </c>
      <c r="G318" s="153" t="s">
        <v>917</v>
      </c>
      <c r="H318" s="151">
        <f>IFERROR(VLOOKUP(B320,'📊 Problem Tracker'!$B$4:$F$1200,5,FALSE()),"")</f>
        <v>0</v>
      </c>
      <c r="I318" s="151"/>
      <c r="J318" s="151"/>
      <c r="K318" s="153"/>
      <c r="L318" s="228" t="s">
        <v>2466</v>
      </c>
      <c r="M318" s="7" t="s">
        <v>153</v>
      </c>
      <c r="N318" s="7" t="s">
        <v>47</v>
      </c>
      <c r="O318" s="197" t="str">
        <f>HYPERLINK("https://leetcode.com/problems/maximum-points-you-can-obtain-from-cards/","https://leetcode.com/problems/maximum-points-you-can-obtain-from-cards/")</f>
        <v>https://leetcode.com/problems/maximum-points-you-can-obtain-from-cards/</v>
      </c>
    </row>
    <row r="319" spans="1:15" ht="31.5" customHeight="1" x14ac:dyDescent="0.2">
      <c r="A319" s="155">
        <v>314</v>
      </c>
      <c r="B319" s="155">
        <v>1581</v>
      </c>
      <c r="C319" s="156" t="s">
        <v>2557</v>
      </c>
      <c r="D319" s="157" t="s">
        <v>4708</v>
      </c>
      <c r="E319" s="159" t="s">
        <v>20</v>
      </c>
      <c r="F319" s="157" t="s">
        <v>796</v>
      </c>
      <c r="G319" s="157" t="s">
        <v>796</v>
      </c>
      <c r="H319" s="155">
        <f>IFERROR(VLOOKUP(B321,'📊 Problem Tracker'!$B$4:$F$1200,5,FALSE()),"")</f>
        <v>0</v>
      </c>
      <c r="I319" s="155"/>
      <c r="J319" s="155"/>
      <c r="K319" s="157"/>
      <c r="L319" s="228" t="s">
        <v>2559</v>
      </c>
      <c r="M319" s="7" t="s">
        <v>24</v>
      </c>
      <c r="N319" s="7" t="s">
        <v>24</v>
      </c>
      <c r="O319" s="198" t="str">
        <f>HYPERLINK("https://leetcode.com/problems/customer-who-visited-but-did-not-make-any-transactions/","https://leetcode.com/problems/customer-who-visited-but-did-not-make-any-transactions/")</f>
        <v>https://leetcode.com/problems/customer-who-visited-but-did-not-make-any-transactions/</v>
      </c>
    </row>
    <row r="320" spans="1:15" ht="31.5" customHeight="1" x14ac:dyDescent="0.2">
      <c r="A320" s="151">
        <v>315</v>
      </c>
      <c r="B320" s="151">
        <v>1193</v>
      </c>
      <c r="C320" s="152" t="s">
        <v>2278</v>
      </c>
      <c r="D320" s="153" t="s">
        <v>4965</v>
      </c>
      <c r="E320" s="154" t="s">
        <v>28</v>
      </c>
      <c r="F320" s="153" t="s">
        <v>796</v>
      </c>
      <c r="G320" s="153" t="s">
        <v>796</v>
      </c>
      <c r="H320" s="151">
        <f>IFERROR(VLOOKUP(B322,'📊 Problem Tracker'!$B$4:$F$1200,5,FALSE()),"")</f>
        <v>0</v>
      </c>
      <c r="I320" s="151"/>
      <c r="J320" s="151"/>
      <c r="K320" s="153"/>
      <c r="L320" s="228" t="s">
        <v>2280</v>
      </c>
      <c r="M320" s="7" t="s">
        <v>24</v>
      </c>
      <c r="N320" s="7" t="s">
        <v>24</v>
      </c>
      <c r="O320" s="197" t="str">
        <f>HYPERLINK("https://leetcode.com/problems/monthly-transactions-i/","https://leetcode.com/problems/monthly-transactions-i/")</f>
        <v>https://leetcode.com/problems/monthly-transactions-i/</v>
      </c>
    </row>
    <row r="321" spans="1:15" ht="31.5" customHeight="1" x14ac:dyDescent="0.2">
      <c r="A321" s="155">
        <v>316</v>
      </c>
      <c r="B321" s="155">
        <v>1046</v>
      </c>
      <c r="C321" s="156" t="s">
        <v>2207</v>
      </c>
      <c r="D321" s="157" t="s">
        <v>4967</v>
      </c>
      <c r="E321" s="159" t="s">
        <v>20</v>
      </c>
      <c r="F321" s="157" t="s">
        <v>941</v>
      </c>
      <c r="G321" s="157" t="s">
        <v>4229</v>
      </c>
      <c r="H321" s="155">
        <f>IFERROR(VLOOKUP(B323,'📊 Problem Tracker'!$B$4:$F$1200,5,FALSE()),"")</f>
        <v>0</v>
      </c>
      <c r="I321" s="155"/>
      <c r="J321" s="155"/>
      <c r="K321" s="157"/>
      <c r="L321" s="228" t="s">
        <v>959</v>
      </c>
      <c r="M321" s="7" t="s">
        <v>326</v>
      </c>
      <c r="N321" s="7" t="s">
        <v>24</v>
      </c>
      <c r="O321" s="198" t="str">
        <f>HYPERLINK("https://leetcode.com/problems/last-stone-weight/","https://leetcode.com/problems/last-stone-weight/")</f>
        <v>https://leetcode.com/problems/last-stone-weight/</v>
      </c>
    </row>
    <row r="322" spans="1:15" ht="31.5" customHeight="1" x14ac:dyDescent="0.2">
      <c r="A322" s="151">
        <v>317</v>
      </c>
      <c r="B322" s="151">
        <v>83</v>
      </c>
      <c r="C322" s="152" t="s">
        <v>463</v>
      </c>
      <c r="D322" s="153" t="s">
        <v>4487</v>
      </c>
      <c r="E322" s="160" t="s">
        <v>20</v>
      </c>
      <c r="F322" s="153" t="s">
        <v>127</v>
      </c>
      <c r="G322" s="153" t="s">
        <v>127</v>
      </c>
      <c r="H322" s="151">
        <f>IFERROR(VLOOKUP(B324,'📊 Problem Tracker'!$B$4:$F$1200,5,FALSE()),"")</f>
        <v>0</v>
      </c>
      <c r="I322" s="151"/>
      <c r="J322" s="151"/>
      <c r="K322" s="153"/>
      <c r="L322" s="228" t="s">
        <v>461</v>
      </c>
      <c r="M322" s="7" t="s">
        <v>24</v>
      </c>
      <c r="N322" s="7" t="s">
        <v>47</v>
      </c>
      <c r="O322" s="197" t="str">
        <f>HYPERLINK("https://leetcode.com/problems/remove-duplicates-from-sorted-list/","https://leetcode.com/problems/remove-duplicates-from-sorted-list/")</f>
        <v>https://leetcode.com/problems/remove-duplicates-from-sorted-list/</v>
      </c>
    </row>
    <row r="323" spans="1:15" ht="31.5" customHeight="1" x14ac:dyDescent="0.2">
      <c r="A323" s="155">
        <v>318</v>
      </c>
      <c r="B323" s="155">
        <v>137</v>
      </c>
      <c r="C323" s="156" t="s">
        <v>665</v>
      </c>
      <c r="D323" s="157" t="s">
        <v>4522</v>
      </c>
      <c r="E323" s="158" t="s">
        <v>28</v>
      </c>
      <c r="F323" s="157" t="s">
        <v>666</v>
      </c>
      <c r="G323" s="157" t="s">
        <v>666</v>
      </c>
      <c r="H323" s="155">
        <f>IFERROR(VLOOKUP(B325,'📊 Problem Tracker'!$B$4:$F$1200,5,FALSE()),"")</f>
        <v>0</v>
      </c>
      <c r="I323" s="155"/>
      <c r="J323" s="155"/>
      <c r="K323" s="157"/>
      <c r="L323" s="228" t="s">
        <v>230</v>
      </c>
      <c r="M323" s="7" t="s">
        <v>24</v>
      </c>
      <c r="N323" s="7" t="s">
        <v>47</v>
      </c>
      <c r="O323" s="198" t="str">
        <f>HYPERLINK("https://leetcode.com/problems/single-number-ii/","https://leetcode.com/problems/single-number-ii/")</f>
        <v>https://leetcode.com/problems/single-number-ii/</v>
      </c>
    </row>
    <row r="324" spans="1:15" ht="31.5" customHeight="1" x14ac:dyDescent="0.2">
      <c r="A324" s="151">
        <v>319</v>
      </c>
      <c r="B324" s="151">
        <v>947</v>
      </c>
      <c r="C324" s="152" t="s">
        <v>2088</v>
      </c>
      <c r="D324" s="153" t="s">
        <v>4472</v>
      </c>
      <c r="E324" s="154" t="s">
        <v>28</v>
      </c>
      <c r="F324" s="153" t="s">
        <v>1050</v>
      </c>
      <c r="G324" s="153"/>
      <c r="H324" s="151">
        <f>IFERROR(VLOOKUP(B326,'📊 Problem Tracker'!$B$4:$F$1200,5,FALSE()),"")</f>
        <v>0</v>
      </c>
      <c r="I324" s="151"/>
      <c r="J324" s="151"/>
      <c r="K324" s="153"/>
      <c r="L324" s="228" t="s">
        <v>619</v>
      </c>
      <c r="M324" s="7" t="s">
        <v>648</v>
      </c>
      <c r="N324" s="7" t="s">
        <v>648</v>
      </c>
      <c r="O324" s="197" t="str">
        <f>HYPERLINK("https://leetcode.com/problems/most-stones-removed-with-same-row-or-column/","https://leetcode.com/problems/most-stones-removed-with-same-row-or-column/")</f>
        <v>https://leetcode.com/problems/most-stones-removed-with-same-row-or-column/</v>
      </c>
    </row>
    <row r="325" spans="1:15" ht="31.5" customHeight="1" x14ac:dyDescent="0.2">
      <c r="A325" s="155">
        <v>320</v>
      </c>
      <c r="B325" s="155">
        <v>931</v>
      </c>
      <c r="C325" s="156" t="s">
        <v>2068</v>
      </c>
      <c r="D325" s="157" t="s">
        <v>4688</v>
      </c>
      <c r="E325" s="158" t="s">
        <v>28</v>
      </c>
      <c r="F325" s="157" t="s">
        <v>309</v>
      </c>
      <c r="G325" s="157"/>
      <c r="H325" s="155">
        <f>IFERROR(VLOOKUP(B327,'📊 Problem Tracker'!$B$4:$F$1200,5,FALSE()),"")</f>
        <v>0</v>
      </c>
      <c r="I325" s="155"/>
      <c r="J325" s="155"/>
      <c r="K325" s="157"/>
      <c r="L325" s="228" t="s">
        <v>508</v>
      </c>
      <c r="M325" s="7" t="s">
        <v>341</v>
      </c>
      <c r="N325" s="7" t="s">
        <v>24</v>
      </c>
      <c r="O325" s="198" t="str">
        <f>HYPERLINK("https://leetcode.com/problems/minimum-falling-path-sum/","https://leetcode.com/problems/minimum-falling-path-sum/")</f>
        <v>https://leetcode.com/problems/minimum-falling-path-sum/</v>
      </c>
    </row>
    <row r="326" spans="1:15" ht="31.5" customHeight="1" x14ac:dyDescent="0.2">
      <c r="A326" s="151">
        <v>321</v>
      </c>
      <c r="B326" s="151">
        <v>389</v>
      </c>
      <c r="C326" s="152" t="s">
        <v>1350</v>
      </c>
      <c r="D326" s="153" t="s">
        <v>4643</v>
      </c>
      <c r="E326" s="160" t="s">
        <v>20</v>
      </c>
      <c r="F326" s="153" t="s">
        <v>381</v>
      </c>
      <c r="G326" s="153" t="s">
        <v>666</v>
      </c>
      <c r="H326" s="151">
        <f>IFERROR(VLOOKUP(B328,'📊 Problem Tracker'!$B$4:$F$1200,5,FALSE()),"")</f>
        <v>0</v>
      </c>
      <c r="I326" s="151"/>
      <c r="J326" s="151"/>
      <c r="K326" s="153"/>
      <c r="L326" s="228" t="s">
        <v>230</v>
      </c>
      <c r="M326" s="7" t="s">
        <v>24</v>
      </c>
      <c r="N326" s="7" t="s">
        <v>24</v>
      </c>
      <c r="O326" s="197" t="str">
        <f>HYPERLINK("https://leetcode.com/problems/find-the-difference/","https://leetcode.com/problems/find-the-difference/")</f>
        <v>https://leetcode.com/problems/find-the-difference/</v>
      </c>
    </row>
    <row r="327" spans="1:15" ht="31.5" customHeight="1" x14ac:dyDescent="0.2">
      <c r="A327" s="155">
        <v>322</v>
      </c>
      <c r="B327" s="155">
        <v>174</v>
      </c>
      <c r="C327" s="156" t="s">
        <v>790</v>
      </c>
      <c r="D327" s="157" t="s">
        <v>4901</v>
      </c>
      <c r="E327" s="161" t="s">
        <v>42</v>
      </c>
      <c r="F327" s="157" t="s">
        <v>309</v>
      </c>
      <c r="G327" s="157" t="s">
        <v>1042</v>
      </c>
      <c r="H327" s="155">
        <f>IFERROR(VLOOKUP(B329,'📊 Problem Tracker'!$B$4:$F$1200,5,FALSE()),"")</f>
        <v>0</v>
      </c>
      <c r="I327" s="155"/>
      <c r="J327" s="155"/>
      <c r="K327" s="157"/>
      <c r="L327" s="228" t="s">
        <v>793</v>
      </c>
      <c r="M327" s="7" t="s">
        <v>363</v>
      </c>
      <c r="N327" s="7" t="s">
        <v>363</v>
      </c>
      <c r="O327" s="198" t="str">
        <f>HYPERLINK("https://leetcode.com/problems/dungeon-game/","https://leetcode.com/problems/dungeon-game/")</f>
        <v>https://leetcode.com/problems/dungeon-game/</v>
      </c>
    </row>
    <row r="328" spans="1:15" ht="31.5" customHeight="1" x14ac:dyDescent="0.2">
      <c r="A328" s="151">
        <v>323</v>
      </c>
      <c r="B328" s="151">
        <v>1353</v>
      </c>
      <c r="C328" s="152" t="s">
        <v>2413</v>
      </c>
      <c r="D328" s="153" t="s">
        <v>4434</v>
      </c>
      <c r="E328" s="154" t="s">
        <v>28</v>
      </c>
      <c r="F328" s="153" t="s">
        <v>1531</v>
      </c>
      <c r="G328" s="153" t="s">
        <v>4951</v>
      </c>
      <c r="H328" s="151">
        <f>IFERROR(VLOOKUP(B330,'📊 Problem Tracker'!$B$4:$F$1200,5,FALSE()),"")</f>
        <v>0</v>
      </c>
      <c r="I328" s="151"/>
      <c r="J328" s="151"/>
      <c r="K328" s="153"/>
      <c r="L328" s="228" t="s">
        <v>2415</v>
      </c>
      <c r="M328" s="7" t="s">
        <v>326</v>
      </c>
      <c r="N328" s="7" t="s">
        <v>24</v>
      </c>
      <c r="O328" s="197" t="str">
        <f>HYPERLINK("https://leetcode.com/problems/maximum-number-of-events-that-can-be-attended/","https://leetcode.com/problems/maximum-number-of-events-that-can-be-attended/")</f>
        <v>https://leetcode.com/problems/maximum-number-of-events-that-can-be-attended/</v>
      </c>
    </row>
    <row r="329" spans="1:15" ht="31.5" customHeight="1" x14ac:dyDescent="0.2">
      <c r="A329" s="155">
        <v>324</v>
      </c>
      <c r="B329" s="155">
        <v>178</v>
      </c>
      <c r="C329" s="156" t="s">
        <v>808</v>
      </c>
      <c r="D329" s="157" t="s">
        <v>4708</v>
      </c>
      <c r="E329" s="158" t="s">
        <v>28</v>
      </c>
      <c r="F329" s="157" t="s">
        <v>796</v>
      </c>
      <c r="G329" s="157" t="s">
        <v>796</v>
      </c>
      <c r="H329" s="155">
        <f>IFERROR(VLOOKUP(B331,'📊 Problem Tracker'!$B$4:$F$1200,5,FALSE()),"")</f>
        <v>0</v>
      </c>
      <c r="I329" s="155"/>
      <c r="J329" s="155"/>
      <c r="K329" s="157"/>
      <c r="L329" s="228" t="s">
        <v>810</v>
      </c>
      <c r="M329" s="7" t="s">
        <v>326</v>
      </c>
      <c r="N329" s="7" t="s">
        <v>24</v>
      </c>
      <c r="O329" s="198" t="str">
        <f>HYPERLINK("https://leetcode.com/problems/rank-scores/","https://leetcode.com/problems/rank-scores/")</f>
        <v>https://leetcode.com/problems/rank-scores/</v>
      </c>
    </row>
    <row r="330" spans="1:15" ht="31.5" customHeight="1" x14ac:dyDescent="0.2">
      <c r="A330" s="151">
        <v>325</v>
      </c>
      <c r="B330" s="151">
        <v>557</v>
      </c>
      <c r="C330" s="152" t="s">
        <v>4968</v>
      </c>
      <c r="D330" s="153" t="s">
        <v>4969</v>
      </c>
      <c r="E330" s="160" t="s">
        <v>20</v>
      </c>
      <c r="F330" s="153" t="s">
        <v>611</v>
      </c>
      <c r="G330" s="153" t="s">
        <v>689</v>
      </c>
      <c r="H330" s="151">
        <f>IFERROR(VLOOKUP(B332,'📊 Problem Tracker'!$B$4:$F$1200,5,FALSE()),"")</f>
        <v>0</v>
      </c>
      <c r="I330" s="151"/>
      <c r="J330" s="151"/>
      <c r="K330" s="153"/>
      <c r="L330" s="228" t="s">
        <v>1608</v>
      </c>
      <c r="M330" s="7" t="s">
        <v>24</v>
      </c>
      <c r="N330" s="7" t="s">
        <v>24</v>
      </c>
      <c r="O330" s="197" t="str">
        <f>HYPERLINK("https://leetcode.com/problems/reverse-words-in-a-string-iii/","https://leetcode.com/problems/reverse-words-in-a-string-iii/")</f>
        <v>https://leetcode.com/problems/reverse-words-in-a-string-iii/</v>
      </c>
    </row>
    <row r="331" spans="1:15" ht="31.5" customHeight="1" x14ac:dyDescent="0.2">
      <c r="A331" s="155">
        <v>326</v>
      </c>
      <c r="B331" s="155">
        <v>274</v>
      </c>
      <c r="C331" s="156" t="s">
        <v>1074</v>
      </c>
      <c r="D331" s="157" t="s">
        <v>4752</v>
      </c>
      <c r="E331" s="158" t="s">
        <v>28</v>
      </c>
      <c r="F331" s="157" t="s">
        <v>1075</v>
      </c>
      <c r="G331" s="157" t="s">
        <v>4249</v>
      </c>
      <c r="H331" s="155">
        <f>IFERROR(VLOOKUP(B333,'📊 Problem Tracker'!$B$4:$F$1200,5,FALSE()),"")</f>
        <v>0</v>
      </c>
      <c r="I331" s="155"/>
      <c r="J331" s="155"/>
      <c r="K331" s="157"/>
      <c r="L331" s="228" t="s">
        <v>1077</v>
      </c>
      <c r="M331" s="7" t="s">
        <v>24</v>
      </c>
      <c r="N331" s="7" t="s">
        <v>24</v>
      </c>
      <c r="O331" s="198" t="str">
        <f>HYPERLINK("https://leetcode.com/problems/h-index/","https://leetcode.com/problems/h-index/")</f>
        <v>https://leetcode.com/problems/h-index/</v>
      </c>
    </row>
    <row r="332" spans="1:15" ht="31.5" customHeight="1" x14ac:dyDescent="0.2">
      <c r="A332" s="151">
        <v>327</v>
      </c>
      <c r="B332" s="151">
        <v>1373</v>
      </c>
      <c r="C332" s="152" t="s">
        <v>2428</v>
      </c>
      <c r="D332" s="153" t="s">
        <v>4510</v>
      </c>
      <c r="E332" s="162" t="s">
        <v>42</v>
      </c>
      <c r="F332" s="153" t="s">
        <v>518</v>
      </c>
      <c r="G332" s="153" t="s">
        <v>4950</v>
      </c>
      <c r="H332" s="151">
        <f>IFERROR(VLOOKUP(B334,'📊 Problem Tracker'!$B$4:$F$1200,5,FALSE()),"")</f>
        <v>0</v>
      </c>
      <c r="I332" s="151"/>
      <c r="J332" s="151"/>
      <c r="K332" s="153"/>
      <c r="L332" s="228" t="s">
        <v>2430</v>
      </c>
      <c r="M332" s="7" t="s">
        <v>24</v>
      </c>
      <c r="N332" s="7" t="s">
        <v>503</v>
      </c>
      <c r="O332" s="197" t="str">
        <f>HYPERLINK("https://leetcode.com/problems/maximum-sum-bst-in-binary-tree/","https://leetcode.com/problems/maximum-sum-bst-in-binary-tree/")</f>
        <v>https://leetcode.com/problems/maximum-sum-bst-in-binary-tree/</v>
      </c>
    </row>
    <row r="333" spans="1:15" ht="31.5" customHeight="1" x14ac:dyDescent="0.2">
      <c r="A333" s="155">
        <v>328</v>
      </c>
      <c r="B333" s="155">
        <v>626</v>
      </c>
      <c r="C333" s="156" t="s">
        <v>1672</v>
      </c>
      <c r="D333" s="157" t="s">
        <v>4668</v>
      </c>
      <c r="E333" s="158" t="s">
        <v>28</v>
      </c>
      <c r="F333" s="157" t="s">
        <v>796</v>
      </c>
      <c r="G333" s="157" t="s">
        <v>796</v>
      </c>
      <c r="H333" s="155">
        <f>IFERROR(VLOOKUP(B335,'📊 Problem Tracker'!$B$4:$F$1200,5,FALSE()),"")</f>
        <v>0</v>
      </c>
      <c r="I333" s="155"/>
      <c r="J333" s="155"/>
      <c r="K333" s="157"/>
      <c r="L333" s="228" t="s">
        <v>1674</v>
      </c>
      <c r="M333" s="7" t="s">
        <v>326</v>
      </c>
      <c r="N333" s="7" t="s">
        <v>24</v>
      </c>
      <c r="O333" s="198" t="str">
        <f>HYPERLINK("https://leetcode.com/problems/exchange-seats/","https://leetcode.com/problems/exchange-seats/")</f>
        <v>https://leetcode.com/problems/exchange-seats/</v>
      </c>
    </row>
    <row r="334" spans="1:15" ht="31.5" customHeight="1" x14ac:dyDescent="0.2">
      <c r="A334" s="151">
        <v>329</v>
      </c>
      <c r="B334" s="151">
        <v>191</v>
      </c>
      <c r="C334" s="152" t="s">
        <v>858</v>
      </c>
      <c r="D334" s="153" t="s">
        <v>4576</v>
      </c>
      <c r="E334" s="160" t="s">
        <v>20</v>
      </c>
      <c r="F334" s="153" t="s">
        <v>666</v>
      </c>
      <c r="G334" s="153" t="s">
        <v>666</v>
      </c>
      <c r="H334" s="151">
        <f>IFERROR(VLOOKUP(B336,'📊 Problem Tracker'!$B$4:$F$1200,5,FALSE()),"")</f>
        <v>0</v>
      </c>
      <c r="I334" s="151"/>
      <c r="J334" s="151"/>
      <c r="K334" s="153"/>
      <c r="L334" s="228" t="s">
        <v>230</v>
      </c>
      <c r="M334" s="7" t="s">
        <v>47</v>
      </c>
      <c r="N334" s="7" t="s">
        <v>47</v>
      </c>
      <c r="O334" s="197" t="str">
        <f>HYPERLINK("https://leetcode.com/problems/number-of-1-bits/","https://leetcode.com/problems/number-of-1-bits/")</f>
        <v>https://leetcode.com/problems/number-of-1-bits/</v>
      </c>
    </row>
    <row r="335" spans="1:15" ht="31.5" customHeight="1" x14ac:dyDescent="0.2">
      <c r="A335" s="155">
        <v>330</v>
      </c>
      <c r="B335" s="155">
        <v>645</v>
      </c>
      <c r="C335" s="156" t="s">
        <v>1698</v>
      </c>
      <c r="D335" s="157" t="s">
        <v>4970</v>
      </c>
      <c r="E335" s="159" t="s">
        <v>20</v>
      </c>
      <c r="F335" s="157" t="s">
        <v>19</v>
      </c>
      <c r="G335" s="157" t="s">
        <v>4971</v>
      </c>
      <c r="H335" s="155">
        <f>IFERROR(VLOOKUP(B337,'📊 Problem Tracker'!$B$4:$F$1200,5,FALSE()),"")</f>
        <v>0</v>
      </c>
      <c r="I335" s="155"/>
      <c r="J335" s="155"/>
      <c r="K335" s="157"/>
      <c r="L335" s="228" t="s">
        <v>1700</v>
      </c>
      <c r="M335" s="7" t="s">
        <v>24</v>
      </c>
      <c r="N335" s="7" t="s">
        <v>24</v>
      </c>
      <c r="O335" s="198" t="str">
        <f>HYPERLINK("https://leetcode.com/problems/set-mismatch/","https://leetcode.com/problems/set-mismatch/")</f>
        <v>https://leetcode.com/problems/set-mismatch/</v>
      </c>
    </row>
    <row r="336" spans="1:15" ht="31.5" customHeight="1" x14ac:dyDescent="0.2">
      <c r="A336" s="151">
        <v>331</v>
      </c>
      <c r="B336" s="151">
        <v>263</v>
      </c>
      <c r="C336" s="152" t="s">
        <v>1053</v>
      </c>
      <c r="D336" s="153" t="s">
        <v>4611</v>
      </c>
      <c r="E336" s="160" t="s">
        <v>20</v>
      </c>
      <c r="F336" s="153" t="s">
        <v>62</v>
      </c>
      <c r="G336" s="153" t="s">
        <v>62</v>
      </c>
      <c r="H336" s="151">
        <f>IFERROR(VLOOKUP(B338,'📊 Problem Tracker'!$B$4:$F$1200,5,FALSE()),"")</f>
        <v>0</v>
      </c>
      <c r="I336" s="151"/>
      <c r="J336" s="151"/>
      <c r="K336" s="153"/>
      <c r="L336" s="228" t="s">
        <v>230</v>
      </c>
      <c r="M336" s="7" t="s">
        <v>65</v>
      </c>
      <c r="N336" s="7" t="s">
        <v>47</v>
      </c>
      <c r="O336" s="197" t="str">
        <f>HYPERLINK("https://leetcode.com/problems/ugly-number/","https://leetcode.com/problems/ugly-number/")</f>
        <v>https://leetcode.com/problems/ugly-number/</v>
      </c>
    </row>
    <row r="337" spans="1:15" ht="31.5" customHeight="1" x14ac:dyDescent="0.2">
      <c r="A337" s="155">
        <v>332</v>
      </c>
      <c r="B337" s="155">
        <v>2488</v>
      </c>
      <c r="C337" s="156" t="s">
        <v>2965</v>
      </c>
      <c r="D337" s="157" t="s">
        <v>4676</v>
      </c>
      <c r="E337" s="161" t="s">
        <v>42</v>
      </c>
      <c r="F337" s="157" t="s">
        <v>916</v>
      </c>
      <c r="G337" s="157" t="s">
        <v>917</v>
      </c>
      <c r="H337" s="155">
        <f>IFERROR(VLOOKUP(B339,'📊 Problem Tracker'!$B$4:$F$1200,5,FALSE()),"")</f>
        <v>0</v>
      </c>
      <c r="I337" s="155"/>
      <c r="J337" s="155"/>
      <c r="K337" s="157"/>
      <c r="L337" s="228" t="s">
        <v>2967</v>
      </c>
      <c r="M337" s="7" t="s">
        <v>24</v>
      </c>
      <c r="N337" s="7" t="s">
        <v>24</v>
      </c>
      <c r="O337" s="198" t="str">
        <f>HYPERLINK("https://leetcode.com/problems/count-subarrays-with-median-k/","https://leetcode.com/problems/count-subarrays-with-median-k/")</f>
        <v>https://leetcode.com/problems/count-subarrays-with-median-k/</v>
      </c>
    </row>
    <row r="338" spans="1:15" ht="31.5" customHeight="1" x14ac:dyDescent="0.2">
      <c r="A338" s="151">
        <v>333</v>
      </c>
      <c r="B338" s="151">
        <v>106</v>
      </c>
      <c r="C338" s="152" t="s">
        <v>553</v>
      </c>
      <c r="D338" s="153" t="s">
        <v>4610</v>
      </c>
      <c r="E338" s="154" t="s">
        <v>28</v>
      </c>
      <c r="F338" s="153" t="s">
        <v>549</v>
      </c>
      <c r="G338" s="153" t="s">
        <v>4256</v>
      </c>
      <c r="H338" s="151">
        <f>IFERROR(VLOOKUP(B340,'📊 Problem Tracker'!$B$4:$F$1200,5,FALSE()),"")</f>
        <v>0</v>
      </c>
      <c r="I338" s="151"/>
      <c r="J338" s="151"/>
      <c r="K338" s="153"/>
      <c r="L338" s="228" t="s">
        <v>555</v>
      </c>
      <c r="M338" s="7" t="s">
        <v>24</v>
      </c>
      <c r="N338" s="7" t="s">
        <v>24</v>
      </c>
      <c r="O338" s="197" t="str">
        <f>HYPERLINK("https://leetcode.com/problems/construct-binary-tree-from-inorder-and-postorder-traversal/","https://leetcode.com/problems/construct-binary-tree-from-inorder-and-postorder-traversal/")</f>
        <v>https://leetcode.com/problems/construct-binary-tree-from-inorder-and-postorder-traversal/</v>
      </c>
    </row>
    <row r="339" spans="1:15" ht="31.5" customHeight="1" x14ac:dyDescent="0.2">
      <c r="A339" s="155">
        <v>334</v>
      </c>
      <c r="B339" s="155">
        <v>1248</v>
      </c>
      <c r="C339" s="156" t="s">
        <v>2329</v>
      </c>
      <c r="D339" s="157" t="s">
        <v>4972</v>
      </c>
      <c r="E339" s="158" t="s">
        <v>28</v>
      </c>
      <c r="F339" s="157" t="s">
        <v>916</v>
      </c>
      <c r="G339" s="157" t="s">
        <v>917</v>
      </c>
      <c r="H339" s="155">
        <f>IFERROR(VLOOKUP(B341,'📊 Problem Tracker'!$B$4:$F$1200,5,FALSE()),"")</f>
        <v>0</v>
      </c>
      <c r="I339" s="155"/>
      <c r="J339" s="155"/>
      <c r="K339" s="157"/>
      <c r="L339" s="228" t="s">
        <v>2331</v>
      </c>
      <c r="M339" s="7" t="s">
        <v>24</v>
      </c>
      <c r="N339" s="7" t="s">
        <v>24</v>
      </c>
      <c r="O339" s="198" t="str">
        <f>HYPERLINK("https://leetcode.com/problems/count-number-of-nice-subarrays/","https://leetcode.com/problems/count-number-of-nice-subarrays/")</f>
        <v>https://leetcode.com/problems/count-number-of-nice-subarrays/</v>
      </c>
    </row>
    <row r="340" spans="1:15" ht="31.5" customHeight="1" x14ac:dyDescent="0.2">
      <c r="A340" s="151">
        <v>335</v>
      </c>
      <c r="B340" s="151">
        <v>172</v>
      </c>
      <c r="C340" s="152" t="s">
        <v>781</v>
      </c>
      <c r="D340" s="153" t="s">
        <v>4973</v>
      </c>
      <c r="E340" s="154" t="s">
        <v>28</v>
      </c>
      <c r="F340" s="153" t="s">
        <v>62</v>
      </c>
      <c r="G340" s="153" t="s">
        <v>62</v>
      </c>
      <c r="H340" s="151">
        <f>IFERROR(VLOOKUP(B342,'📊 Problem Tracker'!$B$4:$F$1200,5,FALSE()),"")</f>
        <v>0</v>
      </c>
      <c r="I340" s="151"/>
      <c r="J340" s="151"/>
      <c r="K340" s="153"/>
      <c r="L340" s="228" t="s">
        <v>783</v>
      </c>
      <c r="M340" s="7" t="s">
        <v>65</v>
      </c>
      <c r="N340" s="7" t="s">
        <v>47</v>
      </c>
      <c r="O340" s="197" t="str">
        <f>HYPERLINK("https://leetcode.com/problems/factorial-trailing-zeroes/","https://leetcode.com/problems/factorial-trailing-zeroes/")</f>
        <v>https://leetcode.com/problems/factorial-trailing-zeroes/</v>
      </c>
    </row>
    <row r="341" spans="1:15" ht="31.5" customHeight="1" x14ac:dyDescent="0.2">
      <c r="A341" s="155">
        <v>336</v>
      </c>
      <c r="B341" s="155">
        <v>1480</v>
      </c>
      <c r="C341" s="156" t="s">
        <v>2502</v>
      </c>
      <c r="D341" s="157" t="s">
        <v>4718</v>
      </c>
      <c r="E341" s="159" t="s">
        <v>20</v>
      </c>
      <c r="F341" s="157" t="s">
        <v>1009</v>
      </c>
      <c r="G341" s="157" t="s">
        <v>4316</v>
      </c>
      <c r="H341" s="155">
        <f>IFERROR(VLOOKUP(B343,'📊 Problem Tracker'!$B$4:$F$1200,5,FALSE()),"")</f>
        <v>0</v>
      </c>
      <c r="I341" s="155"/>
      <c r="J341" s="155"/>
      <c r="K341" s="157"/>
      <c r="L341" s="228" t="s">
        <v>654</v>
      </c>
      <c r="M341" s="7" t="s">
        <v>24</v>
      </c>
      <c r="N341" s="7" t="s">
        <v>1100</v>
      </c>
      <c r="O341" s="198" t="str">
        <f>HYPERLINK("https://leetcode.com/problems/running-sum-of-1d-array/","https://leetcode.com/problems/running-sum-of-1d-array/")</f>
        <v>https://leetcode.com/problems/running-sum-of-1d-array/</v>
      </c>
    </row>
    <row r="342" spans="1:15" ht="31.5" customHeight="1" x14ac:dyDescent="0.2">
      <c r="A342" s="151">
        <v>337</v>
      </c>
      <c r="B342" s="151">
        <v>326</v>
      </c>
      <c r="C342" s="152" t="s">
        <v>1219</v>
      </c>
      <c r="D342" s="153" t="s">
        <v>4499</v>
      </c>
      <c r="E342" s="160" t="s">
        <v>20</v>
      </c>
      <c r="F342" s="153" t="s">
        <v>62</v>
      </c>
      <c r="G342" s="153" t="s">
        <v>62</v>
      </c>
      <c r="H342" s="151">
        <f>IFERROR(VLOOKUP(B344,'📊 Problem Tracker'!$B$4:$F$1200,5,FALSE()),"")</f>
        <v>0</v>
      </c>
      <c r="I342" s="151"/>
      <c r="J342" s="151"/>
      <c r="K342" s="153"/>
      <c r="L342" s="228" t="s">
        <v>1220</v>
      </c>
      <c r="M342" s="7" t="s">
        <v>65</v>
      </c>
      <c r="N342" s="7" t="s">
        <v>47</v>
      </c>
      <c r="O342" s="197" t="str">
        <f>HYPERLINK("https://leetcode.com/problems/power-of-three/","https://leetcode.com/problems/power-of-three/")</f>
        <v>https://leetcode.com/problems/power-of-three/</v>
      </c>
    </row>
    <row r="343" spans="1:15" ht="31.5" customHeight="1" x14ac:dyDescent="0.2">
      <c r="A343" s="155">
        <v>338</v>
      </c>
      <c r="B343" s="155">
        <v>878</v>
      </c>
      <c r="C343" s="156" t="s">
        <v>2019</v>
      </c>
      <c r="D343" s="157" t="s">
        <v>4974</v>
      </c>
      <c r="E343" s="161" t="s">
        <v>42</v>
      </c>
      <c r="F343" s="157" t="s">
        <v>295</v>
      </c>
      <c r="G343" s="157" t="s">
        <v>512</v>
      </c>
      <c r="H343" s="155">
        <f>IFERROR(VLOOKUP(B345,'📊 Problem Tracker'!$B$4:$F$1200,5,FALSE()),"")</f>
        <v>0</v>
      </c>
      <c r="I343" s="155"/>
      <c r="J343" s="155"/>
      <c r="K343" s="157"/>
      <c r="L343" s="228" t="s">
        <v>2021</v>
      </c>
      <c r="M343" s="7" t="s">
        <v>2022</v>
      </c>
      <c r="N343" s="7" t="s">
        <v>47</v>
      </c>
      <c r="O343" s="198" t="str">
        <f>HYPERLINK("https://leetcode.com/problems/nth-magical-number/","https://leetcode.com/problems/nth-magical-number/")</f>
        <v>https://leetcode.com/problems/nth-magical-number/</v>
      </c>
    </row>
    <row r="344" spans="1:15" ht="31.5" customHeight="1" x14ac:dyDescent="0.2">
      <c r="A344" s="151">
        <v>339</v>
      </c>
      <c r="B344" s="151">
        <v>203</v>
      </c>
      <c r="C344" s="152" t="s">
        <v>891</v>
      </c>
      <c r="D344" s="153" t="s">
        <v>4745</v>
      </c>
      <c r="E344" s="160" t="s">
        <v>20</v>
      </c>
      <c r="F344" s="153" t="s">
        <v>127</v>
      </c>
      <c r="G344" s="153" t="s">
        <v>127</v>
      </c>
      <c r="H344" s="151">
        <f>IFERROR(VLOOKUP(B346,'📊 Problem Tracker'!$B$4:$F$1200,5,FALSE()),"")</f>
        <v>0</v>
      </c>
      <c r="I344" s="151"/>
      <c r="J344" s="151"/>
      <c r="K344" s="153"/>
      <c r="L344" s="228" t="s">
        <v>461</v>
      </c>
      <c r="M344" s="7" t="s">
        <v>24</v>
      </c>
      <c r="N344" s="7" t="s">
        <v>47</v>
      </c>
      <c r="O344" s="197" t="str">
        <f>HYPERLINK("https://leetcode.com/problems/remove-linked-list-elements/","https://leetcode.com/problems/remove-linked-list-elements/")</f>
        <v>https://leetcode.com/problems/remove-linked-list-elements/</v>
      </c>
    </row>
    <row r="345" spans="1:15" ht="31.5" customHeight="1" x14ac:dyDescent="0.2">
      <c r="A345" s="155">
        <v>340</v>
      </c>
      <c r="B345" s="155">
        <v>184</v>
      </c>
      <c r="C345" s="156" t="s">
        <v>835</v>
      </c>
      <c r="D345" s="157" t="s">
        <v>4498</v>
      </c>
      <c r="E345" s="158" t="s">
        <v>28</v>
      </c>
      <c r="F345" s="157" t="s">
        <v>796</v>
      </c>
      <c r="G345" s="157" t="s">
        <v>796</v>
      </c>
      <c r="H345" s="155">
        <f>IFERROR(VLOOKUP(B347,'📊 Problem Tracker'!$B$4:$F$1200,5,FALSE()),"")</f>
        <v>0</v>
      </c>
      <c r="I345" s="155"/>
      <c r="J345" s="155"/>
      <c r="K345" s="157"/>
      <c r="L345" s="228" t="s">
        <v>837</v>
      </c>
      <c r="M345" s="7" t="s">
        <v>24</v>
      </c>
      <c r="N345" s="7" t="s">
        <v>24</v>
      </c>
      <c r="O345" s="198" t="str">
        <f>HYPERLINK("https://leetcode.com/problems/department-highest-salary/","https://leetcode.com/problems/department-highest-salary/")</f>
        <v>https://leetcode.com/problems/department-highest-salary/</v>
      </c>
    </row>
    <row r="346" spans="1:15" ht="31.5" customHeight="1" x14ac:dyDescent="0.2">
      <c r="A346" s="151">
        <v>341</v>
      </c>
      <c r="B346" s="151">
        <v>190</v>
      </c>
      <c r="C346" s="152" t="s">
        <v>855</v>
      </c>
      <c r="D346" s="153" t="s">
        <v>4743</v>
      </c>
      <c r="E346" s="160" t="s">
        <v>20</v>
      </c>
      <c r="F346" s="153" t="s">
        <v>666</v>
      </c>
      <c r="G346" s="153" t="s">
        <v>666</v>
      </c>
      <c r="H346" s="151">
        <f>IFERROR(VLOOKUP(B348,'📊 Problem Tracker'!$B$4:$F$1200,5,FALSE()),"")</f>
        <v>0</v>
      </c>
      <c r="I346" s="151"/>
      <c r="J346" s="151"/>
      <c r="K346" s="153"/>
      <c r="L346" s="228" t="s">
        <v>230</v>
      </c>
      <c r="M346" s="7" t="s">
        <v>47</v>
      </c>
      <c r="N346" s="7" t="s">
        <v>47</v>
      </c>
      <c r="O346" s="197" t="str">
        <f>HYPERLINK("https://leetcode.com/problems/reverse-bits/","https://leetcode.com/problems/reverse-bits/")</f>
        <v>https://leetcode.com/problems/reverse-bits/</v>
      </c>
    </row>
    <row r="347" spans="1:15" ht="31.5" customHeight="1" x14ac:dyDescent="0.2">
      <c r="A347" s="155">
        <v>342</v>
      </c>
      <c r="B347" s="155">
        <v>355</v>
      </c>
      <c r="C347" s="156" t="s">
        <v>1290</v>
      </c>
      <c r="D347" s="157" t="s">
        <v>4766</v>
      </c>
      <c r="E347" s="158" t="s">
        <v>28</v>
      </c>
      <c r="F347" s="157" t="s">
        <v>1291</v>
      </c>
      <c r="G347" s="157" t="s">
        <v>4975</v>
      </c>
      <c r="H347" s="155">
        <f>IFERROR(VLOOKUP(B349,'📊 Problem Tracker'!$B$4:$F$1200,5,FALSE()),"")</f>
        <v>0</v>
      </c>
      <c r="I347" s="155"/>
      <c r="J347" s="155"/>
      <c r="K347" s="157"/>
      <c r="L347" s="228" t="s">
        <v>959</v>
      </c>
      <c r="M347" s="7" t="s">
        <v>960</v>
      </c>
      <c r="N347" s="7" t="s">
        <v>153</v>
      </c>
      <c r="O347" s="198" t="str">
        <f>HYPERLINK("https://leetcode.com/problems/design-twitter/","https://leetcode.com/problems/design-twitter/")</f>
        <v>https://leetcode.com/problems/design-twitter/</v>
      </c>
    </row>
    <row r="348" spans="1:15" ht="31.5" customHeight="1" x14ac:dyDescent="0.2">
      <c r="A348" s="151">
        <v>343</v>
      </c>
      <c r="B348" s="151">
        <v>1667</v>
      </c>
      <c r="C348" s="152" t="s">
        <v>2628</v>
      </c>
      <c r="D348" s="153" t="s">
        <v>4503</v>
      </c>
      <c r="E348" s="160" t="s">
        <v>20</v>
      </c>
      <c r="F348" s="153" t="s">
        <v>796</v>
      </c>
      <c r="G348" s="153" t="s">
        <v>796</v>
      </c>
      <c r="H348" s="151">
        <f>IFERROR(VLOOKUP(B350,'📊 Problem Tracker'!$B$4:$F$1200,5,FALSE()),"")</f>
        <v>0</v>
      </c>
      <c r="I348" s="151"/>
      <c r="J348" s="151"/>
      <c r="K348" s="153"/>
      <c r="L348" s="228" t="s">
        <v>2630</v>
      </c>
      <c r="M348" s="7" t="s">
        <v>326</v>
      </c>
      <c r="N348" s="7" t="s">
        <v>24</v>
      </c>
      <c r="O348" s="197" t="str">
        <f>HYPERLINK("https://leetcode.com/problems/fix-names-in-a-table/","https://leetcode.com/problems/fix-names-in-a-table/")</f>
        <v>https://leetcode.com/problems/fix-names-in-a-table/</v>
      </c>
    </row>
    <row r="349" spans="1:15" ht="31.5" customHeight="1" x14ac:dyDescent="0.2">
      <c r="A349" s="155">
        <v>344</v>
      </c>
      <c r="B349" s="155">
        <v>1319</v>
      </c>
      <c r="C349" s="156" t="s">
        <v>2388</v>
      </c>
      <c r="D349" s="157" t="s">
        <v>4967</v>
      </c>
      <c r="E349" s="158" t="s">
        <v>28</v>
      </c>
      <c r="F349" s="157" t="s">
        <v>1050</v>
      </c>
      <c r="G349" s="157" t="s">
        <v>1736</v>
      </c>
      <c r="H349" s="155">
        <f>IFERROR(VLOOKUP(B351,'📊 Problem Tracker'!$B$4:$F$1200,5,FALSE()),"")</f>
        <v>0</v>
      </c>
      <c r="I349" s="155"/>
      <c r="J349" s="155"/>
      <c r="K349" s="157"/>
      <c r="L349" s="228" t="s">
        <v>2389</v>
      </c>
      <c r="M349" s="7" t="s">
        <v>2390</v>
      </c>
      <c r="N349" s="7" t="s">
        <v>24</v>
      </c>
      <c r="O349" s="198" t="str">
        <f>HYPERLINK("https://leetcode.com/problems/number-of-operations-to-make-network-connected/","https://leetcode.com/problems/number-of-operations-to-make-network-connected/")</f>
        <v>https://leetcode.com/problems/number-of-operations-to-make-network-connected/</v>
      </c>
    </row>
    <row r="350" spans="1:15" ht="31.5" customHeight="1" x14ac:dyDescent="0.2">
      <c r="A350" s="151">
        <v>345</v>
      </c>
      <c r="B350" s="151">
        <v>1901</v>
      </c>
      <c r="C350" s="152" t="s">
        <v>2770</v>
      </c>
      <c r="D350" s="153" t="s">
        <v>4514</v>
      </c>
      <c r="E350" s="154" t="s">
        <v>28</v>
      </c>
      <c r="F350" s="153" t="s">
        <v>416</v>
      </c>
      <c r="G350" s="153" t="s">
        <v>512</v>
      </c>
      <c r="H350" s="151">
        <f>IFERROR(VLOOKUP(B352,'📊 Problem Tracker'!$B$4:$F$1200,5,FALSE()),"")</f>
        <v>0</v>
      </c>
      <c r="I350" s="151"/>
      <c r="J350" s="151"/>
      <c r="K350" s="153"/>
      <c r="L350" s="228" t="s">
        <v>2772</v>
      </c>
      <c r="M350" s="7" t="s">
        <v>2773</v>
      </c>
      <c r="N350" s="7" t="s">
        <v>47</v>
      </c>
      <c r="O350" s="197" t="str">
        <f>HYPERLINK("https://leetcode.com/problems/find-a-peak-element-ii/","https://leetcode.com/problems/find-a-peak-element-ii/")</f>
        <v>https://leetcode.com/problems/find-a-peak-element-ii/</v>
      </c>
    </row>
    <row r="351" spans="1:15" ht="31.5" customHeight="1" x14ac:dyDescent="0.2">
      <c r="A351" s="155">
        <v>346</v>
      </c>
      <c r="B351" s="155">
        <v>2114</v>
      </c>
      <c r="C351" s="156" t="s">
        <v>2862</v>
      </c>
      <c r="D351" s="157" t="s">
        <v>4976</v>
      </c>
      <c r="E351" s="159" t="s">
        <v>20</v>
      </c>
      <c r="F351" s="157" t="s">
        <v>387</v>
      </c>
      <c r="G351" s="157" t="s">
        <v>98</v>
      </c>
      <c r="H351" s="155">
        <f>IFERROR(VLOOKUP(B353,'📊 Problem Tracker'!$B$4:$F$1200,5,FALSE()),"")</f>
        <v>0</v>
      </c>
      <c r="I351" s="155"/>
      <c r="J351" s="155"/>
      <c r="K351" s="157"/>
      <c r="L351" s="228" t="s">
        <v>2864</v>
      </c>
      <c r="M351" s="7" t="s">
        <v>2865</v>
      </c>
      <c r="N351" s="7" t="s">
        <v>47</v>
      </c>
      <c r="O351" s="198" t="str">
        <f>HYPERLINK("https://leetcode.com/problems/maximum-number-of-words-found-in-sentences/","https://leetcode.com/problems/maximum-number-of-words-found-in-sentences/")</f>
        <v>https://leetcode.com/problems/maximum-number-of-words-found-in-sentences/</v>
      </c>
    </row>
    <row r="352" spans="1:15" ht="31.5" customHeight="1" x14ac:dyDescent="0.2">
      <c r="A352" s="151">
        <v>347</v>
      </c>
      <c r="B352" s="151">
        <v>319</v>
      </c>
      <c r="C352" s="152" t="s">
        <v>1201</v>
      </c>
      <c r="D352" s="153" t="s">
        <v>4626</v>
      </c>
      <c r="E352" s="154" t="s">
        <v>28</v>
      </c>
      <c r="F352" s="153" t="s">
        <v>62</v>
      </c>
      <c r="G352" s="153" t="s">
        <v>62</v>
      </c>
      <c r="H352" s="151">
        <f>IFERROR(VLOOKUP(B354,'📊 Problem Tracker'!$B$4:$F$1200,5,FALSE()),"")</f>
        <v>0</v>
      </c>
      <c r="I352" s="151"/>
      <c r="J352" s="151"/>
      <c r="K352" s="153"/>
      <c r="L352" s="228" t="s">
        <v>1203</v>
      </c>
      <c r="M352" s="7" t="s">
        <v>47</v>
      </c>
      <c r="N352" s="7" t="s">
        <v>47</v>
      </c>
      <c r="O352" s="197" t="str">
        <f>HYPERLINK("https://leetcode.com/problems/bulb-switcher/","https://leetcode.com/problems/bulb-switcher/")</f>
        <v>https://leetcode.com/problems/bulb-switcher/</v>
      </c>
    </row>
    <row r="353" spans="1:15" ht="31.5" customHeight="1" x14ac:dyDescent="0.2">
      <c r="A353" s="155">
        <v>348</v>
      </c>
      <c r="B353" s="155">
        <v>1174</v>
      </c>
      <c r="C353" s="156" t="s">
        <v>2272</v>
      </c>
      <c r="D353" s="157" t="s">
        <v>4813</v>
      </c>
      <c r="E353" s="158" t="s">
        <v>28</v>
      </c>
      <c r="F353" s="157" t="s">
        <v>796</v>
      </c>
      <c r="G353" s="157" t="s">
        <v>796</v>
      </c>
      <c r="H353" s="155">
        <f>IFERROR(VLOOKUP(B355,'📊 Problem Tracker'!$B$4:$F$1200,5,FALSE()),"")</f>
        <v>0</v>
      </c>
      <c r="I353" s="155"/>
      <c r="J353" s="155"/>
      <c r="K353" s="157"/>
      <c r="L353" s="228" t="s">
        <v>2274</v>
      </c>
      <c r="M353" s="7" t="s">
        <v>24</v>
      </c>
      <c r="N353" s="7" t="s">
        <v>24</v>
      </c>
      <c r="O353" s="198" t="str">
        <f>HYPERLINK("https://leetcode.com/problems/immediate-food-delivery-ii/","https://leetcode.com/problems/immediate-food-delivery-ii/")</f>
        <v>https://leetcode.com/problems/immediate-food-delivery-ii/</v>
      </c>
    </row>
    <row r="354" spans="1:15" ht="31.5" customHeight="1" x14ac:dyDescent="0.2">
      <c r="A354" s="151">
        <v>349</v>
      </c>
      <c r="B354" s="151">
        <v>180</v>
      </c>
      <c r="C354" s="152" t="s">
        <v>819</v>
      </c>
      <c r="D354" s="153" t="s">
        <v>4433</v>
      </c>
      <c r="E354" s="154" t="s">
        <v>28</v>
      </c>
      <c r="F354" s="153" t="s">
        <v>796</v>
      </c>
      <c r="G354" s="153" t="s">
        <v>796</v>
      </c>
      <c r="H354" s="151">
        <f>IFERROR(VLOOKUP(B356,'📊 Problem Tracker'!$B$4:$F$1200,5,FALSE()),"")</f>
        <v>0</v>
      </c>
      <c r="I354" s="151"/>
      <c r="J354" s="151"/>
      <c r="K354" s="153"/>
      <c r="L354" s="228" t="s">
        <v>821</v>
      </c>
      <c r="M354" s="7" t="s">
        <v>24</v>
      </c>
      <c r="N354" s="7" t="s">
        <v>24</v>
      </c>
      <c r="O354" s="197" t="str">
        <f>HYPERLINK("https://leetcode.com/problems/consecutive-numbers/","https://leetcode.com/problems/consecutive-numbers/")</f>
        <v>https://leetcode.com/problems/consecutive-numbers/</v>
      </c>
    </row>
    <row r="355" spans="1:15" ht="31.5" customHeight="1" x14ac:dyDescent="0.2">
      <c r="A355" s="155">
        <v>350</v>
      </c>
      <c r="B355" s="155">
        <v>81</v>
      </c>
      <c r="C355" s="156" t="s">
        <v>452</v>
      </c>
      <c r="D355" s="157" t="s">
        <v>4900</v>
      </c>
      <c r="E355" s="158" t="s">
        <v>28</v>
      </c>
      <c r="F355" s="157" t="s">
        <v>41</v>
      </c>
      <c r="G355" s="157" t="s">
        <v>512</v>
      </c>
      <c r="H355" s="155">
        <f>IFERROR(VLOOKUP(B357,'📊 Problem Tracker'!$B$4:$F$1200,5,FALSE()),"")</f>
        <v>0</v>
      </c>
      <c r="I355" s="155"/>
      <c r="J355" s="155"/>
      <c r="K355" s="157"/>
      <c r="L355" s="228" t="s">
        <v>455</v>
      </c>
      <c r="M355" s="7" t="s">
        <v>456</v>
      </c>
      <c r="N355" s="7" t="s">
        <v>47</v>
      </c>
      <c r="O355" s="198" t="str">
        <f>HYPERLINK("https://leetcode.com/problems/search-in-rotated-sorted-array-ii/","https://leetcode.com/problems/search-in-rotated-sorted-array-ii/")</f>
        <v>https://leetcode.com/problems/search-in-rotated-sorted-array-ii/</v>
      </c>
    </row>
    <row r="356" spans="1:15" ht="31.5" customHeight="1" x14ac:dyDescent="0.2">
      <c r="A356" s="151">
        <v>351</v>
      </c>
      <c r="B356" s="151">
        <v>445</v>
      </c>
      <c r="C356" s="152" t="s">
        <v>1453</v>
      </c>
      <c r="D356" s="153" t="s">
        <v>4645</v>
      </c>
      <c r="E356" s="154" t="s">
        <v>28</v>
      </c>
      <c r="F356" s="153" t="s">
        <v>1454</v>
      </c>
      <c r="G356" s="153" t="s">
        <v>4964</v>
      </c>
      <c r="H356" s="151">
        <f>IFERROR(VLOOKUP(B358,'📊 Problem Tracker'!$B$4:$F$1200,5,FALSE()),"")</f>
        <v>0</v>
      </c>
      <c r="I356" s="151"/>
      <c r="J356" s="151"/>
      <c r="K356" s="153"/>
      <c r="L356" s="228" t="s">
        <v>542</v>
      </c>
      <c r="M356" s="7" t="s">
        <v>140</v>
      </c>
      <c r="N356" s="7" t="s">
        <v>140</v>
      </c>
      <c r="O356" s="197" t="str">
        <f>HYPERLINK("https://leetcode.com/problems/add-two-numbers-ii/","https://leetcode.com/problems/add-two-numbers-ii/")</f>
        <v>https://leetcode.com/problems/add-two-numbers-ii/</v>
      </c>
    </row>
    <row r="357" spans="1:15" ht="31.5" customHeight="1" x14ac:dyDescent="0.2">
      <c r="A357" s="155">
        <v>352</v>
      </c>
      <c r="B357" s="155">
        <v>3733</v>
      </c>
      <c r="C357" s="156" t="s">
        <v>3284</v>
      </c>
      <c r="D357" s="157" t="s">
        <v>4941</v>
      </c>
      <c r="E357" s="158" t="s">
        <v>28</v>
      </c>
      <c r="F357" s="157" t="s">
        <v>376</v>
      </c>
      <c r="G357" s="157" t="s">
        <v>62</v>
      </c>
      <c r="H357" s="155">
        <f>IFERROR(VLOOKUP(B359,'📊 Problem Tracker'!$B$4:$F$1200,5,FALSE()),"")</f>
        <v>0</v>
      </c>
      <c r="I357" s="155"/>
      <c r="J357" s="155"/>
      <c r="K357" s="157"/>
      <c r="L357" s="228" t="s">
        <v>3285</v>
      </c>
      <c r="M357" s="7" t="s">
        <v>326</v>
      </c>
      <c r="N357" s="7" t="s">
        <v>47</v>
      </c>
      <c r="O357" s="198" t="str">
        <f>HYPERLINK("https://leetcode.com/problems/minimum-time-to-complete-all-deliveries/","https://leetcode.com/problems/minimum-time-to-complete-all-deliveries/")</f>
        <v>https://leetcode.com/problems/minimum-time-to-complete-all-deliveries/</v>
      </c>
    </row>
    <row r="358" spans="1:15" ht="31.5" customHeight="1" x14ac:dyDescent="0.2">
      <c r="A358" s="151">
        <v>353</v>
      </c>
      <c r="B358" s="151">
        <v>1929</v>
      </c>
      <c r="C358" s="152" t="s">
        <v>2796</v>
      </c>
      <c r="D358" s="153" t="s">
        <v>4724</v>
      </c>
      <c r="E358" s="160" t="s">
        <v>20</v>
      </c>
      <c r="F358" s="153" t="s">
        <v>166</v>
      </c>
      <c r="G358" s="153" t="s">
        <v>166</v>
      </c>
      <c r="H358" s="151">
        <f>IFERROR(VLOOKUP(B360,'📊 Problem Tracker'!$B$4:$F$1200,5,FALSE()),"")</f>
        <v>0</v>
      </c>
      <c r="I358" s="151"/>
      <c r="J358" s="151"/>
      <c r="K358" s="153"/>
      <c r="L358" s="228" t="s">
        <v>654</v>
      </c>
      <c r="M358" s="7" t="s">
        <v>24</v>
      </c>
      <c r="N358" s="7" t="s">
        <v>1100</v>
      </c>
      <c r="O358" s="197" t="str">
        <f>HYPERLINK("https://leetcode.com/problems/concatenation-of-array/","https://leetcode.com/problems/concatenation-of-array/")</f>
        <v>https://leetcode.com/problems/concatenation-of-array/</v>
      </c>
    </row>
    <row r="359" spans="1:15" ht="31.5" customHeight="1" x14ac:dyDescent="0.2">
      <c r="A359" s="155">
        <v>354</v>
      </c>
      <c r="B359" s="155">
        <v>653</v>
      </c>
      <c r="C359" s="156" t="s">
        <v>1708</v>
      </c>
      <c r="D359" s="157" t="s">
        <v>4726</v>
      </c>
      <c r="E359" s="159" t="s">
        <v>20</v>
      </c>
      <c r="F359" s="157" t="s">
        <v>518</v>
      </c>
      <c r="G359" s="157" t="s">
        <v>4950</v>
      </c>
      <c r="H359" s="155">
        <f>IFERROR(VLOOKUP(B361,'📊 Problem Tracker'!$B$4:$F$1200,5,FALSE()),"")</f>
        <v>0</v>
      </c>
      <c r="I359" s="155"/>
      <c r="J359" s="155"/>
      <c r="K359" s="157"/>
      <c r="L359" s="228" t="s">
        <v>1710</v>
      </c>
      <c r="M359" s="7" t="s">
        <v>24</v>
      </c>
      <c r="N359" s="7" t="s">
        <v>24</v>
      </c>
      <c r="O359" s="198" t="str">
        <f>HYPERLINK("https://leetcode.com/problems/two-sum-iv-input-is-a-bst/","https://leetcode.com/problems/two-sum-iv-input-is-a-bst/")</f>
        <v>https://leetcode.com/problems/two-sum-iv-input-is-a-bst/</v>
      </c>
    </row>
    <row r="360" spans="1:15" ht="31.5" customHeight="1" x14ac:dyDescent="0.2">
      <c r="A360" s="151">
        <v>355</v>
      </c>
      <c r="B360" s="151">
        <v>2910</v>
      </c>
      <c r="C360" s="152" t="s">
        <v>3064</v>
      </c>
      <c r="D360" s="153" t="s">
        <v>4977</v>
      </c>
      <c r="E360" s="154" t="s">
        <v>28</v>
      </c>
      <c r="F360" s="153" t="s">
        <v>19</v>
      </c>
      <c r="G360" s="153" t="s">
        <v>4244</v>
      </c>
      <c r="H360" s="151">
        <f>IFERROR(VLOOKUP(B362,'📊 Problem Tracker'!$B$4:$F$1200,5,FALSE()),"")</f>
        <v>0</v>
      </c>
      <c r="I360" s="151"/>
      <c r="J360" s="151"/>
      <c r="K360" s="153"/>
      <c r="L360" s="228" t="s">
        <v>3066</v>
      </c>
      <c r="M360" s="7" t="s">
        <v>326</v>
      </c>
      <c r="N360" s="7" t="s">
        <v>24</v>
      </c>
      <c r="O360" s="197" t="str">
        <f>HYPERLINK("https://leetcode.com/problems/minimum-number-of-groups-to-create-a-valid-assignment/","https://leetcode.com/problems/minimum-number-of-groups-to-create-a-valid-assignment/")</f>
        <v>https://leetcode.com/problems/minimum-number-of-groups-to-create-a-valid-assignment/</v>
      </c>
    </row>
    <row r="361" spans="1:15" ht="31.5" customHeight="1" x14ac:dyDescent="0.2">
      <c r="A361" s="155">
        <v>356</v>
      </c>
      <c r="B361" s="155">
        <v>183</v>
      </c>
      <c r="C361" s="156" t="s">
        <v>831</v>
      </c>
      <c r="D361" s="157" t="s">
        <v>4978</v>
      </c>
      <c r="E361" s="159" t="s">
        <v>20</v>
      </c>
      <c r="F361" s="157" t="s">
        <v>796</v>
      </c>
      <c r="G361" s="157" t="s">
        <v>796</v>
      </c>
      <c r="H361" s="155">
        <f>IFERROR(VLOOKUP(B363,'📊 Problem Tracker'!$B$4:$F$1200,5,FALSE()),"")</f>
        <v>0</v>
      </c>
      <c r="I361" s="155"/>
      <c r="J361" s="155"/>
      <c r="K361" s="157"/>
      <c r="L361" s="228" t="s">
        <v>833</v>
      </c>
      <c r="M361" s="7" t="s">
        <v>24</v>
      </c>
      <c r="N361" s="7" t="s">
        <v>24</v>
      </c>
      <c r="O361" s="198" t="str">
        <f>HYPERLINK("https://leetcode.com/problems/customers-who-never-order/","https://leetcode.com/problems/customers-who-never-order/")</f>
        <v>https://leetcode.com/problems/customers-who-never-order/</v>
      </c>
    </row>
    <row r="362" spans="1:15" ht="31.5" customHeight="1" x14ac:dyDescent="0.2">
      <c r="A362" s="151">
        <v>357</v>
      </c>
      <c r="B362" s="151">
        <v>1262</v>
      </c>
      <c r="C362" s="152" t="s">
        <v>2339</v>
      </c>
      <c r="D362" s="153" t="s">
        <v>4793</v>
      </c>
      <c r="E362" s="154" t="s">
        <v>28</v>
      </c>
      <c r="F362" s="153" t="s">
        <v>309</v>
      </c>
      <c r="G362" s="153" t="s">
        <v>1042</v>
      </c>
      <c r="H362" s="151">
        <f>IFERROR(VLOOKUP(B364,'📊 Problem Tracker'!$B$4:$F$1200,5,FALSE()),"")</f>
        <v>0</v>
      </c>
      <c r="I362" s="151"/>
      <c r="J362" s="151"/>
      <c r="K362" s="153"/>
      <c r="L362" s="228" t="s">
        <v>2341</v>
      </c>
      <c r="M362" s="7" t="s">
        <v>24</v>
      </c>
      <c r="N362" s="7" t="s">
        <v>47</v>
      </c>
      <c r="O362" s="197" t="str">
        <f>HYPERLINK("https://leetcode.com/problems/greatest-sum-divisible-by-three/","https://leetcode.com/problems/greatest-sum-divisible-by-three/")</f>
        <v>https://leetcode.com/problems/greatest-sum-divisible-by-three/</v>
      </c>
    </row>
    <row r="363" spans="1:15" ht="31.5" customHeight="1" x14ac:dyDescent="0.2">
      <c r="A363" s="155">
        <v>358</v>
      </c>
      <c r="B363" s="155">
        <v>97</v>
      </c>
      <c r="C363" s="156" t="s">
        <v>515</v>
      </c>
      <c r="D363" s="157" t="s">
        <v>4518</v>
      </c>
      <c r="E363" s="158" t="s">
        <v>28</v>
      </c>
      <c r="F363" s="157" t="s">
        <v>50</v>
      </c>
      <c r="G363" s="157" t="s">
        <v>1042</v>
      </c>
      <c r="H363" s="155">
        <f>IFERROR(VLOOKUP(B365,'📊 Problem Tracker'!$B$4:$F$1200,5,FALSE()),"")</f>
        <v>0</v>
      </c>
      <c r="I363" s="155"/>
      <c r="J363" s="155"/>
      <c r="K363" s="157"/>
      <c r="L363" s="228" t="s">
        <v>508</v>
      </c>
      <c r="M363" s="7" t="s">
        <v>81</v>
      </c>
      <c r="N363" s="7" t="s">
        <v>81</v>
      </c>
      <c r="O363" s="198" t="str">
        <f>HYPERLINK("https://leetcode.com/problems/interleaving-string/","https://leetcode.com/problems/interleaving-string/")</f>
        <v>https://leetcode.com/problems/interleaving-string/</v>
      </c>
    </row>
    <row r="364" spans="1:15" ht="31.5" customHeight="1" x14ac:dyDescent="0.2">
      <c r="A364" s="151">
        <v>359</v>
      </c>
      <c r="B364" s="151">
        <v>1648</v>
      </c>
      <c r="C364" s="152" t="s">
        <v>2600</v>
      </c>
      <c r="D364" s="153" t="s">
        <v>4689</v>
      </c>
      <c r="E364" s="154" t="s">
        <v>28</v>
      </c>
      <c r="F364" s="153" t="s">
        <v>376</v>
      </c>
      <c r="G364" s="153" t="s">
        <v>62</v>
      </c>
      <c r="H364" s="151">
        <f>IFERROR(VLOOKUP(B366,'📊 Problem Tracker'!$B$4:$F$1200,5,FALSE()),"")</f>
        <v>0</v>
      </c>
      <c r="I364" s="151"/>
      <c r="J364" s="151"/>
      <c r="K364" s="153"/>
      <c r="L364" s="228" t="s">
        <v>2602</v>
      </c>
      <c r="M364" s="7" t="s">
        <v>326</v>
      </c>
      <c r="N364" s="7" t="s">
        <v>47</v>
      </c>
      <c r="O364" s="197" t="str">
        <f>HYPERLINK("https://leetcode.com/problems/sell-diminishing-valued-colored-balls/","https://leetcode.com/problems/sell-diminishing-valued-colored-balls/")</f>
        <v>https://leetcode.com/problems/sell-diminishing-valued-colored-balls/</v>
      </c>
    </row>
    <row r="365" spans="1:15" ht="31.5" customHeight="1" x14ac:dyDescent="0.2">
      <c r="A365" s="155">
        <v>360</v>
      </c>
      <c r="B365" s="155">
        <v>1456</v>
      </c>
      <c r="C365" s="156" t="s">
        <v>4979</v>
      </c>
      <c r="D365" s="157" t="s">
        <v>4948</v>
      </c>
      <c r="E365" s="158" t="s">
        <v>28</v>
      </c>
      <c r="F365" s="157" t="s">
        <v>35</v>
      </c>
      <c r="G365" s="157" t="s">
        <v>917</v>
      </c>
      <c r="H365" s="155">
        <f>IFERROR(VLOOKUP(B367,'📊 Problem Tracker'!$B$4:$F$1200,5,FALSE()),"")</f>
        <v>0</v>
      </c>
      <c r="I365" s="155"/>
      <c r="J365" s="155"/>
      <c r="K365" s="157"/>
      <c r="L365" s="228" t="s">
        <v>2481</v>
      </c>
      <c r="M365" s="7" t="s">
        <v>24</v>
      </c>
      <c r="N365" s="7" t="s">
        <v>24</v>
      </c>
      <c r="O365" s="198" t="str">
        <f>HYPERLINK("https://leetcode.com/problems/maximum-number-of-vowels-in-a-substring-of-given-length/","https://leetcode.com/problems/maximum-number-of-vowels-in-a-substring-of-given-length/")</f>
        <v>https://leetcode.com/problems/maximum-number-of-vowels-in-a-substring-of-given-length/</v>
      </c>
    </row>
    <row r="366" spans="1:15" ht="31.5" customHeight="1" x14ac:dyDescent="0.2">
      <c r="A366" s="151">
        <v>361</v>
      </c>
      <c r="B366" s="151">
        <v>3752</v>
      </c>
      <c r="C366" s="152" t="s">
        <v>3291</v>
      </c>
      <c r="D366" s="153" t="s">
        <v>4962</v>
      </c>
      <c r="E366" s="154" t="s">
        <v>28</v>
      </c>
      <c r="F366" s="153" t="s">
        <v>376</v>
      </c>
      <c r="G366" s="153" t="s">
        <v>62</v>
      </c>
      <c r="H366" s="151">
        <f>IFERROR(VLOOKUP(B368,'📊 Problem Tracker'!$B$4:$F$1200,5,FALSE()),"")</f>
        <v>0</v>
      </c>
      <c r="I366" s="151"/>
      <c r="J366" s="151"/>
      <c r="K366" s="153"/>
      <c r="L366" s="228" t="s">
        <v>3293</v>
      </c>
      <c r="M366" s="7" t="s">
        <v>24</v>
      </c>
      <c r="N366" s="7" t="s">
        <v>24</v>
      </c>
      <c r="O366" s="197" t="str">
        <f>HYPERLINK("https://leetcode.com/problems/lexicographically-smallest-negated-permutation-that-sums-to-target/","https://leetcode.com/problems/lexicographically-smallest-negated-permutation-that-sums-to-target/")</f>
        <v>https://leetcode.com/problems/lexicographically-smallest-negated-permutation-that-sums-to-target/</v>
      </c>
    </row>
    <row r="367" spans="1:15" ht="31.5" customHeight="1" x14ac:dyDescent="0.2">
      <c r="A367" s="155">
        <v>362</v>
      </c>
      <c r="B367" s="155">
        <v>3381</v>
      </c>
      <c r="C367" s="156" t="s">
        <v>3161</v>
      </c>
      <c r="D367" s="157" t="s">
        <v>4684</v>
      </c>
      <c r="E367" s="158" t="s">
        <v>28</v>
      </c>
      <c r="F367" s="157" t="s">
        <v>3162</v>
      </c>
      <c r="G367" s="157" t="s">
        <v>917</v>
      </c>
      <c r="H367" s="155">
        <f>IFERROR(VLOOKUP(B369,'📊 Problem Tracker'!$B$4:$F$1200,5,FALSE()),"")</f>
        <v>0</v>
      </c>
      <c r="I367" s="155"/>
      <c r="J367" s="155"/>
      <c r="K367" s="157"/>
      <c r="L367" s="228" t="s">
        <v>3164</v>
      </c>
      <c r="M367" s="7" t="s">
        <v>24</v>
      </c>
      <c r="N367" s="7" t="s">
        <v>153</v>
      </c>
      <c r="O367" s="198" t="str">
        <f>HYPERLINK("https://leetcode.com/problems/maximum-subarray-sum-with-length-divisible-by-k/","https://leetcode.com/problems/maximum-subarray-sum-with-length-divisible-by-k/")</f>
        <v>https://leetcode.com/problems/maximum-subarray-sum-with-length-divisible-by-k/</v>
      </c>
    </row>
    <row r="368" spans="1:15" ht="31.5" customHeight="1" x14ac:dyDescent="0.2">
      <c r="A368" s="151">
        <v>363</v>
      </c>
      <c r="B368" s="151">
        <v>60</v>
      </c>
      <c r="C368" s="152" t="s">
        <v>343</v>
      </c>
      <c r="D368" s="153" t="s">
        <v>4492</v>
      </c>
      <c r="E368" s="162" t="s">
        <v>42</v>
      </c>
      <c r="F368" s="153" t="s">
        <v>344</v>
      </c>
      <c r="G368" s="153" t="s">
        <v>4980</v>
      </c>
      <c r="H368" s="151">
        <f>IFERROR(VLOOKUP(B370,'📊 Problem Tracker'!$B$4:$F$1200,5,FALSE()),"")</f>
        <v>0</v>
      </c>
      <c r="I368" s="151"/>
      <c r="J368" s="151"/>
      <c r="K368" s="153"/>
      <c r="L368" s="228" t="s">
        <v>346</v>
      </c>
      <c r="M368" s="7" t="s">
        <v>53</v>
      </c>
      <c r="N368" s="7" t="s">
        <v>24</v>
      </c>
      <c r="O368" s="197" t="str">
        <f>HYPERLINK("https://leetcode.com/problems/permutation-sequence/","https://leetcode.com/problems/permutation-sequence/")</f>
        <v>https://leetcode.com/problems/permutation-sequence/</v>
      </c>
    </row>
    <row r="369" spans="1:15" ht="31.5" customHeight="1" x14ac:dyDescent="0.2">
      <c r="A369" s="155">
        <v>364</v>
      </c>
      <c r="B369" s="155">
        <v>2141</v>
      </c>
      <c r="C369" s="156" t="s">
        <v>4981</v>
      </c>
      <c r="D369" s="157" t="s">
        <v>4614</v>
      </c>
      <c r="E369" s="161" t="s">
        <v>42</v>
      </c>
      <c r="F369" s="157" t="s">
        <v>41</v>
      </c>
      <c r="G369" s="157" t="s">
        <v>512</v>
      </c>
      <c r="H369" s="155">
        <f>IFERROR(VLOOKUP(B371,'📊 Problem Tracker'!$B$4:$F$1200,5,FALSE()),"")</f>
        <v>0</v>
      </c>
      <c r="I369" s="155"/>
      <c r="J369" s="155"/>
      <c r="K369" s="157"/>
      <c r="L369" s="228" t="s">
        <v>2869</v>
      </c>
      <c r="M369" s="7" t="s">
        <v>24</v>
      </c>
      <c r="N369" s="7" t="s">
        <v>24</v>
      </c>
      <c r="O369" s="198" t="str">
        <f>HYPERLINK("https://leetcode.com/problems/maximum-running-time-of-n-computers/","https://leetcode.com/problems/maximum-running-time-of-n-computers/")</f>
        <v>https://leetcode.com/problems/maximum-running-time-of-n-computers/</v>
      </c>
    </row>
    <row r="370" spans="1:15" ht="31.5" customHeight="1" x14ac:dyDescent="0.2">
      <c r="A370" s="151">
        <v>365</v>
      </c>
      <c r="B370" s="151">
        <v>871</v>
      </c>
      <c r="C370" s="152" t="s">
        <v>2006</v>
      </c>
      <c r="D370" s="153" t="s">
        <v>4752</v>
      </c>
      <c r="E370" s="162" t="s">
        <v>42</v>
      </c>
      <c r="F370" s="153" t="s">
        <v>1531</v>
      </c>
      <c r="G370" s="153" t="s">
        <v>4951</v>
      </c>
      <c r="H370" s="151">
        <f>IFERROR(VLOOKUP(B372,'📊 Problem Tracker'!$B$4:$F$1200,5,FALSE()),"")</f>
        <v>0</v>
      </c>
      <c r="I370" s="151"/>
      <c r="J370" s="151"/>
      <c r="K370" s="153"/>
      <c r="L370" s="228" t="s">
        <v>2008</v>
      </c>
      <c r="M370" s="7" t="s">
        <v>326</v>
      </c>
      <c r="N370" s="7" t="s">
        <v>24</v>
      </c>
      <c r="O370" s="197" t="str">
        <f>HYPERLINK("https://leetcode.com/problems/minimum-number-of-refueling-stops/","https://leetcode.com/problems/minimum-number-of-refueling-stops/")</f>
        <v>https://leetcode.com/problems/minimum-number-of-refueling-stops/</v>
      </c>
    </row>
    <row r="371" spans="1:15" ht="31.5" customHeight="1" x14ac:dyDescent="0.2">
      <c r="A371" s="155">
        <v>366</v>
      </c>
      <c r="B371" s="155">
        <v>3432</v>
      </c>
      <c r="C371" s="156" t="s">
        <v>3176</v>
      </c>
      <c r="D371" s="157" t="s">
        <v>4982</v>
      </c>
      <c r="E371" s="159" t="s">
        <v>20</v>
      </c>
      <c r="F371" s="157" t="s">
        <v>376</v>
      </c>
      <c r="G371" s="157" t="s">
        <v>62</v>
      </c>
      <c r="H371" s="155">
        <f>IFERROR(VLOOKUP(B373,'📊 Problem Tracker'!$B$4:$F$1200,5,FALSE()),"")</f>
        <v>0</v>
      </c>
      <c r="I371" s="155"/>
      <c r="J371" s="155"/>
      <c r="K371" s="157"/>
      <c r="L371" s="228" t="s">
        <v>3178</v>
      </c>
      <c r="M371" s="7" t="s">
        <v>24</v>
      </c>
      <c r="N371" s="7" t="s">
        <v>47</v>
      </c>
      <c r="O371" s="198" t="str">
        <f>HYPERLINK("https://leetcode.com/problems/count-partitions-with-even-sum-difference/","https://leetcode.com/problems/count-partitions-with-even-sum-difference/")</f>
        <v>https://leetcode.com/problems/count-partitions-with-even-sum-difference/</v>
      </c>
    </row>
    <row r="372" spans="1:15" ht="31.5" customHeight="1" x14ac:dyDescent="0.2">
      <c r="A372" s="151">
        <v>367</v>
      </c>
      <c r="B372" s="151">
        <v>1381</v>
      </c>
      <c r="C372" s="152" t="s">
        <v>2443</v>
      </c>
      <c r="D372" s="153" t="s">
        <v>4983</v>
      </c>
      <c r="E372" s="154" t="s">
        <v>28</v>
      </c>
      <c r="F372" s="153" t="s">
        <v>729</v>
      </c>
      <c r="G372" s="153" t="s">
        <v>4984</v>
      </c>
      <c r="H372" s="151">
        <f>IFERROR(VLOOKUP(B374,'📊 Problem Tracker'!$B$4:$F$1200,5,FALSE()),"")</f>
        <v>0</v>
      </c>
      <c r="I372" s="151"/>
      <c r="J372" s="151"/>
      <c r="K372" s="153"/>
      <c r="L372" s="228" t="s">
        <v>2445</v>
      </c>
      <c r="M372" s="7" t="s">
        <v>996</v>
      </c>
      <c r="N372" s="7" t="s">
        <v>24</v>
      </c>
      <c r="O372" s="197" t="str">
        <f>HYPERLINK("https://leetcode.com/problems/design-a-stack-with-increment-operation/","https://leetcode.com/problems/design-a-stack-with-increment-operation/")</f>
        <v>https://leetcode.com/problems/design-a-stack-with-increment-operation/</v>
      </c>
    </row>
    <row r="373" spans="1:15" ht="31.5" customHeight="1" x14ac:dyDescent="0.2">
      <c r="A373" s="155">
        <v>368</v>
      </c>
      <c r="B373" s="155">
        <v>1822</v>
      </c>
      <c r="C373" s="156" t="s">
        <v>2720</v>
      </c>
      <c r="D373" s="157" t="s">
        <v>4985</v>
      </c>
      <c r="E373" s="159" t="s">
        <v>20</v>
      </c>
      <c r="F373" s="157" t="s">
        <v>376</v>
      </c>
      <c r="G373" s="157" t="s">
        <v>4986</v>
      </c>
      <c r="H373" s="155">
        <f>IFERROR(VLOOKUP(B375,'📊 Problem Tracker'!$B$4:$F$1200,5,FALSE()),"")</f>
        <v>0</v>
      </c>
      <c r="I373" s="155"/>
      <c r="J373" s="155"/>
      <c r="K373" s="157"/>
      <c r="L373" s="228" t="s">
        <v>2722</v>
      </c>
      <c r="M373" s="7" t="s">
        <v>24</v>
      </c>
      <c r="N373" s="7" t="s">
        <v>47</v>
      </c>
      <c r="O373" s="198" t="str">
        <f>HYPERLINK("https://leetcode.com/problems/sign-of-the-product-of-an-array/","https://leetcode.com/problems/sign-of-the-product-of-an-array/")</f>
        <v>https://leetcode.com/problems/sign-of-the-product-of-an-array/</v>
      </c>
    </row>
    <row r="374" spans="1:15" ht="31.5" customHeight="1" x14ac:dyDescent="0.2">
      <c r="A374" s="151">
        <v>369</v>
      </c>
      <c r="B374" s="151">
        <v>577</v>
      </c>
      <c r="C374" s="152" t="s">
        <v>1638</v>
      </c>
      <c r="D374" s="153" t="s">
        <v>4917</v>
      </c>
      <c r="E374" s="160" t="s">
        <v>20</v>
      </c>
      <c r="F374" s="153" t="s">
        <v>796</v>
      </c>
      <c r="G374" s="153" t="s">
        <v>796</v>
      </c>
      <c r="H374" s="151">
        <f>IFERROR(VLOOKUP(B376,'📊 Problem Tracker'!$B$4:$F$1200,5,FALSE()),"")</f>
        <v>0</v>
      </c>
      <c r="I374" s="151"/>
      <c r="J374" s="151"/>
      <c r="K374" s="153"/>
      <c r="L374" s="228" t="s">
        <v>1640</v>
      </c>
      <c r="M374" s="7" t="s">
        <v>24</v>
      </c>
      <c r="N374" s="7" t="s">
        <v>24</v>
      </c>
      <c r="O374" s="197" t="str">
        <f>HYPERLINK("https://leetcode.com/problems/employee-bonus/","https://leetcode.com/problems/employee-bonus/")</f>
        <v>https://leetcode.com/problems/employee-bonus/</v>
      </c>
    </row>
    <row r="375" spans="1:15" ht="31.5" customHeight="1" x14ac:dyDescent="0.2">
      <c r="A375" s="155">
        <v>370</v>
      </c>
      <c r="B375" s="155">
        <v>3652</v>
      </c>
      <c r="C375" s="156" t="s">
        <v>3246</v>
      </c>
      <c r="D375" s="157" t="s">
        <v>4987</v>
      </c>
      <c r="E375" s="158" t="s">
        <v>28</v>
      </c>
      <c r="F375" s="157" t="s">
        <v>309</v>
      </c>
      <c r="G375" s="157" t="s">
        <v>1042</v>
      </c>
      <c r="H375" s="155">
        <f>IFERROR(VLOOKUP(B377,'📊 Problem Tracker'!$B$4:$F$1200,5,FALSE()),"")</f>
        <v>0</v>
      </c>
      <c r="I375" s="155"/>
      <c r="J375" s="155"/>
      <c r="K375" s="157"/>
      <c r="L375" s="228" t="s">
        <v>3248</v>
      </c>
      <c r="M375" s="7" t="s">
        <v>24</v>
      </c>
      <c r="N375" s="7" t="s">
        <v>24</v>
      </c>
      <c r="O375" s="198" t="str">
        <f>HYPERLINK("https://leetcode.com/problems/best-time-to-buy-and-sell-stock-using-strategy/","https://leetcode.com/problems/best-time-to-buy-and-sell-stock-using-strategy/")</f>
        <v>https://leetcode.com/problems/best-time-to-buy-and-sell-stock-using-strategy/</v>
      </c>
    </row>
    <row r="376" spans="1:15" ht="31.5" customHeight="1" x14ac:dyDescent="0.2">
      <c r="A376" s="151">
        <v>371</v>
      </c>
      <c r="B376" s="151">
        <v>1475</v>
      </c>
      <c r="C376" s="152" t="s">
        <v>2499</v>
      </c>
      <c r="D376" s="153" t="s">
        <v>4988</v>
      </c>
      <c r="E376" s="160" t="s">
        <v>20</v>
      </c>
      <c r="F376" s="153" t="s">
        <v>1472</v>
      </c>
      <c r="G376" s="153" t="s">
        <v>540</v>
      </c>
      <c r="H376" s="151">
        <f>IFERROR(VLOOKUP(B378,'📊 Problem Tracker'!$B$4:$F$1200,5,FALSE()),"")</f>
        <v>0</v>
      </c>
      <c r="I376" s="151"/>
      <c r="J376" s="151"/>
      <c r="K376" s="153"/>
      <c r="L376" s="228" t="s">
        <v>2500</v>
      </c>
      <c r="M376" s="7" t="s">
        <v>24</v>
      </c>
      <c r="N376" s="7" t="s">
        <v>24</v>
      </c>
      <c r="O376" s="197" t="str">
        <f>HYPERLINK("https://leetcode.com/problems/final-prices-with-a-special-discount-in-a-shop/","https://leetcode.com/problems/final-prices-with-a-special-discount-in-a-shop/")</f>
        <v>https://leetcode.com/problems/final-prices-with-a-special-discount-in-a-shop/</v>
      </c>
    </row>
    <row r="377" spans="1:15" ht="31.5" customHeight="1" x14ac:dyDescent="0.2">
      <c r="A377" s="155">
        <v>372</v>
      </c>
      <c r="B377" s="155">
        <v>955</v>
      </c>
      <c r="C377" s="156" t="s">
        <v>2092</v>
      </c>
      <c r="D377" s="157" t="s">
        <v>4684</v>
      </c>
      <c r="E377" s="158" t="s">
        <v>28</v>
      </c>
      <c r="F377" s="157" t="s">
        <v>318</v>
      </c>
      <c r="G377" s="157" t="s">
        <v>3091</v>
      </c>
      <c r="H377" s="155">
        <f>IFERROR(VLOOKUP(B379,'📊 Problem Tracker'!$B$4:$F$1200,5,FALSE()),"")</f>
        <v>0</v>
      </c>
      <c r="I377" s="155"/>
      <c r="J377" s="155"/>
      <c r="K377" s="157"/>
      <c r="L377" s="228" t="s">
        <v>2094</v>
      </c>
      <c r="M377" s="7" t="s">
        <v>363</v>
      </c>
      <c r="N377" s="7" t="s">
        <v>2095</v>
      </c>
      <c r="O377" s="198" t="str">
        <f>HYPERLINK("https://leetcode.com/problems/delete-columns-to-make-sorted-ii/","https://leetcode.com/problems/delete-columns-to-make-sorted-ii/")</f>
        <v>https://leetcode.com/problems/delete-columns-to-make-sorted-ii/</v>
      </c>
    </row>
    <row r="378" spans="1:15" ht="31.5" customHeight="1" x14ac:dyDescent="0.2">
      <c r="A378" s="151">
        <v>373</v>
      </c>
      <c r="B378" s="151">
        <v>3785</v>
      </c>
      <c r="C378" s="152" t="s">
        <v>3299</v>
      </c>
      <c r="D378" s="153" t="s">
        <v>4560</v>
      </c>
      <c r="E378" s="162" t="s">
        <v>42</v>
      </c>
      <c r="F378" s="153" t="s">
        <v>41</v>
      </c>
      <c r="G378" s="153" t="s">
        <v>512</v>
      </c>
      <c r="H378" s="151">
        <f>IFERROR(VLOOKUP(B380,'📊 Problem Tracker'!$B$4:$F$1200,5,FALSE()),"")</f>
        <v>0</v>
      </c>
      <c r="I378" s="151"/>
      <c r="J378" s="151"/>
      <c r="K378" s="153"/>
      <c r="L378" s="228" t="s">
        <v>3301</v>
      </c>
      <c r="M378" s="7" t="s">
        <v>326</v>
      </c>
      <c r="N378" s="7" t="s">
        <v>24</v>
      </c>
      <c r="O378" s="197" t="str">
        <f>HYPERLINK("https://leetcode.com/problems/minimum-swaps-to-avoid-forbidden-values/","https://leetcode.com/problems/minimum-swaps-to-avoid-forbidden-values/")</f>
        <v>https://leetcode.com/problems/minimum-swaps-to-avoid-forbidden-values/</v>
      </c>
    </row>
    <row r="379" spans="1:15" ht="31.5" customHeight="1" x14ac:dyDescent="0.2">
      <c r="A379" s="155">
        <v>374</v>
      </c>
      <c r="B379" s="155">
        <v>1021</v>
      </c>
      <c r="C379" s="156" t="s">
        <v>2174</v>
      </c>
      <c r="D379" s="157" t="s">
        <v>4989</v>
      </c>
      <c r="E379" s="159" t="s">
        <v>20</v>
      </c>
      <c r="F379" s="157" t="s">
        <v>133</v>
      </c>
      <c r="G379" s="157" t="s">
        <v>540</v>
      </c>
      <c r="H379" s="155">
        <f>IFERROR(VLOOKUP(B381,'📊 Problem Tracker'!$B$4:$F$1200,5,FALSE()),"")</f>
        <v>0</v>
      </c>
      <c r="I379" s="155"/>
      <c r="J379" s="155"/>
      <c r="K379" s="157"/>
      <c r="L379" s="228" t="s">
        <v>2176</v>
      </c>
      <c r="M379" s="7" t="s">
        <v>24</v>
      </c>
      <c r="N379" s="7" t="s">
        <v>24</v>
      </c>
      <c r="O379" s="198" t="str">
        <f>HYPERLINK("https://leetcode.com/problems/remove-outermost-parentheses/","https://leetcode.com/problems/remove-outermost-parentheses/")</f>
        <v>https://leetcode.com/problems/remove-outermost-parentheses/</v>
      </c>
    </row>
    <row r="380" spans="1:15" ht="31.5" customHeight="1" x14ac:dyDescent="0.2">
      <c r="A380" s="151">
        <v>375</v>
      </c>
      <c r="B380" s="151">
        <v>3483</v>
      </c>
      <c r="C380" s="152" t="s">
        <v>3198</v>
      </c>
      <c r="D380" s="153" t="s">
        <v>4633</v>
      </c>
      <c r="E380" s="160" t="s">
        <v>20</v>
      </c>
      <c r="F380" s="153" t="s">
        <v>376</v>
      </c>
      <c r="G380" s="153" t="s">
        <v>62</v>
      </c>
      <c r="H380" s="151">
        <f>IFERROR(VLOOKUP(B382,'📊 Problem Tracker'!$B$4:$F$1200,5,FALSE()),"")</f>
        <v>0</v>
      </c>
      <c r="I380" s="151"/>
      <c r="J380" s="151"/>
      <c r="K380" s="153"/>
      <c r="L380" s="228" t="s">
        <v>3200</v>
      </c>
      <c r="M380" s="7" t="s">
        <v>1175</v>
      </c>
      <c r="N380" s="7" t="s">
        <v>24</v>
      </c>
      <c r="O380" s="197" t="str">
        <f>HYPERLINK("https://leetcode.com/problems/unique-3-digit-even-numbers/","https://leetcode.com/problems/unique-3-digit-even-numbers/")</f>
        <v>https://leetcode.com/problems/unique-3-digit-even-numbers/</v>
      </c>
    </row>
    <row r="381" spans="1:15" ht="31.5" customHeight="1" x14ac:dyDescent="0.2">
      <c r="A381" s="155">
        <v>376</v>
      </c>
      <c r="B381" s="155">
        <v>2054</v>
      </c>
      <c r="C381" s="156" t="s">
        <v>2838</v>
      </c>
      <c r="D381" s="157" t="s">
        <v>4617</v>
      </c>
      <c r="E381" s="158" t="s">
        <v>28</v>
      </c>
      <c r="F381" s="157" t="s">
        <v>2839</v>
      </c>
      <c r="G381" s="157" t="s">
        <v>4990</v>
      </c>
      <c r="H381" s="155">
        <f>IFERROR(VLOOKUP(B383,'📊 Problem Tracker'!$B$4:$F$1200,5,FALSE()),"")</f>
        <v>0</v>
      </c>
      <c r="I381" s="155"/>
      <c r="J381" s="155"/>
      <c r="K381" s="157"/>
      <c r="L381" s="228" t="s">
        <v>959</v>
      </c>
      <c r="M381" s="7" t="s">
        <v>960</v>
      </c>
      <c r="N381" s="7" t="s">
        <v>153</v>
      </c>
      <c r="O381" s="198" t="str">
        <f>HYPERLINK("https://leetcode.com/problems/two-best-non-overlapping-events/","https://leetcode.com/problems/two-best-non-overlapping-events/")</f>
        <v>https://leetcode.com/problems/two-best-non-overlapping-events/</v>
      </c>
    </row>
    <row r="382" spans="1:15" ht="31.5" customHeight="1" x14ac:dyDescent="0.2">
      <c r="A382" s="151">
        <v>377</v>
      </c>
      <c r="B382" s="151">
        <v>933</v>
      </c>
      <c r="C382" s="152" t="s">
        <v>2070</v>
      </c>
      <c r="D382" s="153" t="s">
        <v>4811</v>
      </c>
      <c r="E382" s="160" t="s">
        <v>20</v>
      </c>
      <c r="F382" s="153" t="s">
        <v>1298</v>
      </c>
      <c r="G382" s="153" t="s">
        <v>4991</v>
      </c>
      <c r="H382" s="151">
        <f>IFERROR(VLOOKUP(B384,'📊 Problem Tracker'!$B$4:$F$1200,5,FALSE()),"")</f>
        <v>0</v>
      </c>
      <c r="I382" s="151"/>
      <c r="J382" s="151"/>
      <c r="K382" s="153"/>
      <c r="L382" s="228" t="s">
        <v>2072</v>
      </c>
      <c r="M382" s="7" t="s">
        <v>24</v>
      </c>
      <c r="N382" s="7" t="s">
        <v>24</v>
      </c>
      <c r="O382" s="197" t="str">
        <f>HYPERLINK("https://leetcode.com/problems/number-of-recent-calls/","https://leetcode.com/problems/number-of-recent-calls/")</f>
        <v>https://leetcode.com/problems/number-of-recent-calls/</v>
      </c>
    </row>
    <row r="383" spans="1:15" ht="31.5" customHeight="1" x14ac:dyDescent="0.2">
      <c r="A383" s="155">
        <v>378</v>
      </c>
      <c r="B383" s="155">
        <v>2333</v>
      </c>
      <c r="C383" s="156" t="s">
        <v>2898</v>
      </c>
      <c r="D383" s="157" t="s">
        <v>4992</v>
      </c>
      <c r="E383" s="158" t="s">
        <v>28</v>
      </c>
      <c r="F383" s="157" t="s">
        <v>41</v>
      </c>
      <c r="G383" s="157" t="s">
        <v>512</v>
      </c>
      <c r="H383" s="155">
        <f>IFERROR(VLOOKUP(B385,'📊 Problem Tracker'!$B$4:$F$1200,5,FALSE()),"")</f>
        <v>0</v>
      </c>
      <c r="I383" s="155"/>
      <c r="J383" s="155"/>
      <c r="K383" s="157"/>
      <c r="L383" s="228" t="s">
        <v>2900</v>
      </c>
      <c r="M383" s="7" t="s">
        <v>326</v>
      </c>
      <c r="N383" s="7" t="s">
        <v>47</v>
      </c>
      <c r="O383" s="198" t="str">
        <f>HYPERLINK("https://leetcode.com/problems/minimum-sum-of-squared-difference/","https://leetcode.com/problems/minimum-sum-of-squared-difference/")</f>
        <v>https://leetcode.com/problems/minimum-sum-of-squared-difference/</v>
      </c>
    </row>
    <row r="384" spans="1:15" ht="31.5" customHeight="1" x14ac:dyDescent="0.2">
      <c r="A384" s="151">
        <v>379</v>
      </c>
      <c r="B384" s="151">
        <v>279</v>
      </c>
      <c r="C384" s="152" t="s">
        <v>1085</v>
      </c>
      <c r="D384" s="153" t="s">
        <v>4614</v>
      </c>
      <c r="E384" s="154" t="s">
        <v>28</v>
      </c>
      <c r="F384" s="153" t="s">
        <v>1086</v>
      </c>
      <c r="G384" s="153" t="s">
        <v>4993</v>
      </c>
      <c r="H384" s="151">
        <f>IFERROR(VLOOKUP(B386,'📊 Problem Tracker'!$B$4:$F$1200,5,FALSE()),"")</f>
        <v>0</v>
      </c>
      <c r="I384" s="151"/>
      <c r="J384" s="151"/>
      <c r="K384" s="153"/>
      <c r="L384" s="228" t="s">
        <v>508</v>
      </c>
      <c r="M384" s="7" t="s">
        <v>1087</v>
      </c>
      <c r="N384" s="7" t="s">
        <v>24</v>
      </c>
      <c r="O384" s="197" t="str">
        <f>HYPERLINK("https://leetcode.com/problems/perfect-squares/","https://leetcode.com/problems/perfect-squares/")</f>
        <v>https://leetcode.com/problems/perfect-squares/</v>
      </c>
    </row>
    <row r="385" spans="1:15" ht="31.5" customHeight="1" x14ac:dyDescent="0.2">
      <c r="A385" s="155">
        <v>380</v>
      </c>
      <c r="B385" s="155">
        <v>2483</v>
      </c>
      <c r="C385" s="156" t="s">
        <v>2961</v>
      </c>
      <c r="D385" s="157" t="s">
        <v>4994</v>
      </c>
      <c r="E385" s="158" t="s">
        <v>28</v>
      </c>
      <c r="F385" s="157" t="s">
        <v>41</v>
      </c>
      <c r="G385" s="157" t="s">
        <v>512</v>
      </c>
      <c r="H385" s="155">
        <f>IFERROR(VLOOKUP(B387,'📊 Problem Tracker'!$B$4:$F$1200,5,FALSE()),"")</f>
        <v>0</v>
      </c>
      <c r="I385" s="155"/>
      <c r="J385" s="155"/>
      <c r="K385" s="157"/>
      <c r="L385" s="228" t="s">
        <v>2963</v>
      </c>
      <c r="M385" s="7" t="s">
        <v>24</v>
      </c>
      <c r="N385" s="7" t="s">
        <v>47</v>
      </c>
      <c r="O385" s="198" t="str">
        <f>HYPERLINK("https://leetcode.com/problems/minimum-penalty-for-a-shop/","https://leetcode.com/problems/minimum-penalty-for-a-shop/")</f>
        <v>https://leetcode.com/problems/minimum-penalty-for-a-shop/</v>
      </c>
    </row>
    <row r="386" spans="1:15" ht="31.5" customHeight="1" x14ac:dyDescent="0.2">
      <c r="A386" s="151">
        <v>381</v>
      </c>
      <c r="B386" s="151">
        <v>974</v>
      </c>
      <c r="C386" s="152" t="s">
        <v>2118</v>
      </c>
      <c r="D386" s="153" t="s">
        <v>4563</v>
      </c>
      <c r="E386" s="154" t="s">
        <v>28</v>
      </c>
      <c r="F386" s="153" t="s">
        <v>1559</v>
      </c>
      <c r="G386" s="153" t="s">
        <v>4959</v>
      </c>
      <c r="H386" s="151">
        <f>IFERROR(VLOOKUP(B388,'📊 Problem Tracker'!$B$4:$F$1200,5,FALSE()),"")</f>
        <v>0</v>
      </c>
      <c r="I386" s="151"/>
      <c r="J386" s="151"/>
      <c r="K386" s="153"/>
      <c r="L386" s="228" t="s">
        <v>2120</v>
      </c>
      <c r="M386" s="7" t="s">
        <v>24</v>
      </c>
      <c r="N386" s="7" t="s">
        <v>153</v>
      </c>
      <c r="O386" s="197" t="str">
        <f>HYPERLINK("https://leetcode.com/problems/subarray-sums-divisible-by-k/","https://leetcode.com/problems/subarray-sums-divisible-by-k/")</f>
        <v>https://leetcode.com/problems/subarray-sums-divisible-by-k/</v>
      </c>
    </row>
    <row r="387" spans="1:15" ht="31.5" customHeight="1" x14ac:dyDescent="0.2">
      <c r="A387" s="155">
        <v>382</v>
      </c>
      <c r="B387" s="155">
        <v>960</v>
      </c>
      <c r="C387" s="156" t="s">
        <v>2097</v>
      </c>
      <c r="D387" s="157" t="s">
        <v>4482</v>
      </c>
      <c r="E387" s="161" t="s">
        <v>42</v>
      </c>
      <c r="F387" s="157" t="s">
        <v>309</v>
      </c>
      <c r="G387" s="157" t="s">
        <v>1042</v>
      </c>
      <c r="H387" s="155">
        <f>IFERROR(VLOOKUP(B389,'📊 Problem Tracker'!$B$4:$F$1200,5,FALSE()),"")</f>
        <v>0</v>
      </c>
      <c r="I387" s="155"/>
      <c r="J387" s="155"/>
      <c r="K387" s="157"/>
      <c r="L387" s="228" t="s">
        <v>2099</v>
      </c>
      <c r="M387" s="7" t="s">
        <v>2100</v>
      </c>
      <c r="N387" s="7" t="s">
        <v>24</v>
      </c>
      <c r="O387" s="198" t="str">
        <f>HYPERLINK("https://leetcode.com/problems/delete-columns-to-make-sorted-iii/","https://leetcode.com/problems/delete-columns-to-make-sorted-iii/")</f>
        <v>https://leetcode.com/problems/delete-columns-to-make-sorted-iii/</v>
      </c>
    </row>
    <row r="388" spans="1:15" ht="31.5" customHeight="1" x14ac:dyDescent="0.2">
      <c r="A388" s="151">
        <v>383</v>
      </c>
      <c r="B388" s="151">
        <v>3075</v>
      </c>
      <c r="C388" s="152" t="s">
        <v>3114</v>
      </c>
      <c r="D388" s="153" t="s">
        <v>4512</v>
      </c>
      <c r="E388" s="154" t="s">
        <v>28</v>
      </c>
      <c r="F388" s="153" t="s">
        <v>1531</v>
      </c>
      <c r="G388" s="153" t="s">
        <v>4951</v>
      </c>
      <c r="H388" s="151">
        <f>IFERROR(VLOOKUP(B390,'📊 Problem Tracker'!$B$4:$F$1200,5,FALSE()),"")</f>
        <v>0</v>
      </c>
      <c r="I388" s="151"/>
      <c r="J388" s="151"/>
      <c r="K388" s="153"/>
      <c r="L388" s="228" t="s">
        <v>3115</v>
      </c>
      <c r="M388" s="7" t="s">
        <v>326</v>
      </c>
      <c r="N388" s="7" t="s">
        <v>47</v>
      </c>
      <c r="O388" s="197" t="str">
        <f>HYPERLINK("https://leetcode.com/problems/maximize-happiness-of-selected-children/","https://leetcode.com/problems/maximize-happiness-of-selected-children/")</f>
        <v>https://leetcode.com/problems/maximize-happiness-of-selected-children/</v>
      </c>
    </row>
    <row r="389" spans="1:15" ht="31.5" customHeight="1" x14ac:dyDescent="0.2">
      <c r="A389" s="155">
        <v>384</v>
      </c>
      <c r="B389" s="155">
        <v>315</v>
      </c>
      <c r="C389" s="156" t="s">
        <v>1188</v>
      </c>
      <c r="D389" s="157" t="s">
        <v>4891</v>
      </c>
      <c r="E389" s="161" t="s">
        <v>42</v>
      </c>
      <c r="F389" s="157" t="s">
        <v>1189</v>
      </c>
      <c r="G389" s="157"/>
      <c r="H389" s="155">
        <f>IFERROR(VLOOKUP(B391,'📊 Problem Tracker'!$B$4:$F$1200,5,FALSE()),"")</f>
        <v>0</v>
      </c>
      <c r="I389" s="155"/>
      <c r="J389" s="155"/>
      <c r="K389" s="157"/>
      <c r="L389" s="228" t="s">
        <v>1191</v>
      </c>
      <c r="M389" s="7" t="s">
        <v>24</v>
      </c>
      <c r="N389" s="7" t="s">
        <v>24</v>
      </c>
      <c r="O389" s="198" t="str">
        <f>HYPERLINK("https://leetcode.com/problems/count-of-smaller-numbers-after-self/","https://leetcode.com/problems/count-of-smaller-numbers-after-self/")</f>
        <v>https://leetcode.com/problems/count-of-smaller-numbers-after-self/</v>
      </c>
    </row>
    <row r="390" spans="1:15" ht="31.5" customHeight="1" x14ac:dyDescent="0.2">
      <c r="A390" s="151">
        <v>385</v>
      </c>
      <c r="B390" s="151">
        <v>1603</v>
      </c>
      <c r="C390" s="152" t="s">
        <v>2569</v>
      </c>
      <c r="D390" s="153" t="s">
        <v>4995</v>
      </c>
      <c r="E390" s="160" t="s">
        <v>20</v>
      </c>
      <c r="F390" s="153" t="s">
        <v>2570</v>
      </c>
      <c r="G390" s="153" t="s">
        <v>2570</v>
      </c>
      <c r="H390" s="151">
        <f>IFERROR(VLOOKUP(B392,'📊 Problem Tracker'!$B$4:$F$1200,5,FALSE()),"")</f>
        <v>0</v>
      </c>
      <c r="I390" s="151"/>
      <c r="J390" s="151"/>
      <c r="K390" s="153"/>
      <c r="L390" s="228" t="s">
        <v>2572</v>
      </c>
      <c r="M390" s="7" t="s">
        <v>47</v>
      </c>
      <c r="N390" s="7" t="s">
        <v>47</v>
      </c>
      <c r="O390" s="197" t="str">
        <f>HYPERLINK("https://leetcode.com/problems/design-parking-system/","https://leetcode.com/problems/design-parking-system/")</f>
        <v>https://leetcode.com/problems/design-parking-system/</v>
      </c>
    </row>
    <row r="391" spans="1:15" ht="31.5" customHeight="1" x14ac:dyDescent="0.2">
      <c r="A391" s="155">
        <v>386</v>
      </c>
      <c r="B391" s="155">
        <v>756</v>
      </c>
      <c r="C391" s="156" t="s">
        <v>1860</v>
      </c>
      <c r="D391" s="157" t="s">
        <v>4503</v>
      </c>
      <c r="E391" s="158" t="s">
        <v>28</v>
      </c>
      <c r="F391" s="157" t="s">
        <v>234</v>
      </c>
      <c r="G391" s="157" t="s">
        <v>300</v>
      </c>
      <c r="H391" s="155">
        <f>IFERROR(VLOOKUP(B393,'📊 Problem Tracker'!$B$4:$F$1200,5,FALSE()),"")</f>
        <v>0</v>
      </c>
      <c r="I391" s="155"/>
      <c r="J391" s="155"/>
      <c r="K391" s="157"/>
      <c r="L391" s="228" t="s">
        <v>1861</v>
      </c>
      <c r="M391" s="7" t="s">
        <v>1862</v>
      </c>
      <c r="N391" s="7" t="s">
        <v>24</v>
      </c>
      <c r="O391" s="198" t="str">
        <f>HYPERLINK("https://leetcode.com/problems/pyramid-transition-matrix/","https://leetcode.com/problems/pyramid-transition-matrix/")</f>
        <v>https://leetcode.com/problems/pyramid-transition-matrix/</v>
      </c>
    </row>
    <row r="392" spans="1:15" ht="31.5" customHeight="1" x14ac:dyDescent="0.2">
      <c r="A392" s="151">
        <v>387</v>
      </c>
      <c r="B392" s="151">
        <v>840</v>
      </c>
      <c r="C392" s="152" t="s">
        <v>1963</v>
      </c>
      <c r="D392" s="153" t="s">
        <v>4830</v>
      </c>
      <c r="E392" s="154" t="s">
        <v>28</v>
      </c>
      <c r="F392" s="153" t="s">
        <v>283</v>
      </c>
      <c r="G392" s="153" t="s">
        <v>4187</v>
      </c>
      <c r="H392" s="151">
        <f>IFERROR(VLOOKUP(B394,'📊 Problem Tracker'!$B$4:$F$1200,5,FALSE()),"")</f>
        <v>0</v>
      </c>
      <c r="I392" s="151"/>
      <c r="J392" s="151"/>
      <c r="K392" s="153"/>
      <c r="L392" s="228" t="s">
        <v>1965</v>
      </c>
      <c r="M392" s="7" t="s">
        <v>363</v>
      </c>
      <c r="N392" s="7" t="s">
        <v>47</v>
      </c>
      <c r="O392" s="197" t="str">
        <f>HYPERLINK("https://leetcode.com/problems/magic-squares-in-grid/","https://leetcode.com/problems/magic-squares-in-grid/")</f>
        <v>https://leetcode.com/problems/magic-squares-in-grid/</v>
      </c>
    </row>
    <row r="393" spans="1:15" ht="31.5" customHeight="1" x14ac:dyDescent="0.2">
      <c r="A393" s="155">
        <v>388</v>
      </c>
      <c r="B393" s="155">
        <v>1907</v>
      </c>
      <c r="C393" s="156" t="s">
        <v>2779</v>
      </c>
      <c r="D393" s="157" t="s">
        <v>4558</v>
      </c>
      <c r="E393" s="158" t="s">
        <v>28</v>
      </c>
      <c r="F393" s="157" t="s">
        <v>796</v>
      </c>
      <c r="G393" s="157" t="s">
        <v>796</v>
      </c>
      <c r="H393" s="155">
        <f>IFERROR(VLOOKUP(B395,'📊 Problem Tracker'!$B$4:$F$1200,5,FALSE()),"")</f>
        <v>0</v>
      </c>
      <c r="I393" s="155"/>
      <c r="J393" s="155"/>
      <c r="K393" s="157"/>
      <c r="L393" s="228" t="s">
        <v>2781</v>
      </c>
      <c r="M393" s="7" t="s">
        <v>24</v>
      </c>
      <c r="N393" s="7" t="s">
        <v>47</v>
      </c>
      <c r="O393" s="198" t="str">
        <f>HYPERLINK("https://leetcode.com/problems/count-salary-categories/","https://leetcode.com/problems/count-salary-categories/")</f>
        <v>https://leetcode.com/problems/count-salary-categories/</v>
      </c>
    </row>
    <row r="394" spans="1:15" ht="31.5" customHeight="1" x14ac:dyDescent="0.2">
      <c r="A394" s="151">
        <v>389</v>
      </c>
      <c r="B394" s="151">
        <v>153</v>
      </c>
      <c r="C394" s="152" t="s">
        <v>720</v>
      </c>
      <c r="D394" s="153" t="s">
        <v>4566</v>
      </c>
      <c r="E394" s="154" t="s">
        <v>28</v>
      </c>
      <c r="F394" s="153" t="s">
        <v>41</v>
      </c>
      <c r="G394" s="153" t="s">
        <v>512</v>
      </c>
      <c r="H394" s="151">
        <f>IFERROR(VLOOKUP(B396,'📊 Problem Tracker'!$B$4:$F$1200,5,FALSE()),"")</f>
        <v>0</v>
      </c>
      <c r="I394" s="151"/>
      <c r="J394" s="151"/>
      <c r="K394" s="153"/>
      <c r="L394" s="228" t="s">
        <v>722</v>
      </c>
      <c r="M394" s="7" t="s">
        <v>65</v>
      </c>
      <c r="N394" s="7" t="s">
        <v>47</v>
      </c>
      <c r="O394" s="197" t="str">
        <f>HYPERLINK("https://leetcode.com/problems/find-minimum-in-rotated-sorted-array/","https://leetcode.com/problems/find-minimum-in-rotated-sorted-array/")</f>
        <v>https://leetcode.com/problems/find-minimum-in-rotated-sorted-array/</v>
      </c>
    </row>
    <row r="395" spans="1:15" ht="31.5" customHeight="1" x14ac:dyDescent="0.2">
      <c r="A395" s="155">
        <v>390</v>
      </c>
      <c r="B395" s="155">
        <v>961</v>
      </c>
      <c r="C395" s="156" t="s">
        <v>2102</v>
      </c>
      <c r="D395" s="157" t="s">
        <v>4983</v>
      </c>
      <c r="E395" s="159" t="s">
        <v>20</v>
      </c>
      <c r="F395" s="157" t="s">
        <v>166</v>
      </c>
      <c r="G395" s="157" t="s">
        <v>166</v>
      </c>
      <c r="H395" s="155">
        <f>IFERROR(VLOOKUP(B397,'📊 Problem Tracker'!$B$4:$F$1200,5,FALSE()),"")</f>
        <v>0</v>
      </c>
      <c r="I395" s="155"/>
      <c r="J395" s="155"/>
      <c r="K395" s="157"/>
      <c r="L395" s="228" t="s">
        <v>2104</v>
      </c>
      <c r="M395" s="7" t="s">
        <v>24</v>
      </c>
      <c r="N395" s="7" t="s">
        <v>24</v>
      </c>
      <c r="O395" s="198" t="str">
        <f>HYPERLINK("https://leetcode.com/problems/n-repeated-element-in-size-2n-array/","https://leetcode.com/problems/n-repeated-element-in-size-2n-array/")</f>
        <v>https://leetcode.com/problems/n-repeated-element-in-size-2n-array/</v>
      </c>
    </row>
    <row r="396" spans="1:15" ht="31.5" customHeight="1" x14ac:dyDescent="0.2">
      <c r="A396" s="151">
        <v>391</v>
      </c>
      <c r="B396" s="151">
        <v>790</v>
      </c>
      <c r="C396" s="152" t="s">
        <v>1906</v>
      </c>
      <c r="D396" s="153" t="s">
        <v>4583</v>
      </c>
      <c r="E396" s="154" t="s">
        <v>28</v>
      </c>
      <c r="F396" s="153" t="s">
        <v>354</v>
      </c>
      <c r="G396" s="153"/>
      <c r="H396" s="151">
        <f>IFERROR(VLOOKUP(B398,'📊 Problem Tracker'!$B$4:$F$1200,5,FALSE()),"")</f>
        <v>0</v>
      </c>
      <c r="I396" s="151"/>
      <c r="J396" s="151"/>
      <c r="K396" s="153"/>
      <c r="L396" s="228" t="s">
        <v>1908</v>
      </c>
      <c r="M396" s="7" t="s">
        <v>24</v>
      </c>
      <c r="N396" s="7" t="s">
        <v>47</v>
      </c>
      <c r="O396" s="197" t="str">
        <f>HYPERLINK("https://leetcode.com/problems/domino-and-tromino-tiling/","https://leetcode.com/problems/domino-and-tromino-tiling/")</f>
        <v>https://leetcode.com/problems/domino-and-tromino-tiling/</v>
      </c>
    </row>
    <row r="397" spans="1:15" ht="31.5" customHeight="1" x14ac:dyDescent="0.2">
      <c r="A397" s="155">
        <v>392</v>
      </c>
      <c r="B397" s="155">
        <v>1411</v>
      </c>
      <c r="C397" s="156" t="s">
        <v>4996</v>
      </c>
      <c r="D397" s="157" t="s">
        <v>4582</v>
      </c>
      <c r="E397" s="161" t="s">
        <v>42</v>
      </c>
      <c r="F397" s="157" t="s">
        <v>309</v>
      </c>
      <c r="G397" s="157" t="s">
        <v>1042</v>
      </c>
      <c r="H397" s="155">
        <f>IFERROR(VLOOKUP(B399,'📊 Problem Tracker'!$B$4:$F$1200,5,FALSE()),"")</f>
        <v>0</v>
      </c>
      <c r="I397" s="155"/>
      <c r="J397" s="155"/>
      <c r="K397" s="157"/>
      <c r="L397" s="228" t="s">
        <v>2462</v>
      </c>
      <c r="M397" s="7" t="s">
        <v>24</v>
      </c>
      <c r="N397" s="7" t="s">
        <v>24</v>
      </c>
      <c r="O397" s="198" t="str">
        <f>HYPERLINK("https://leetcode.com/problems/number-of-ways-to-paint-n-x-3-grid/","https://leetcode.com/problems/number-of-ways-to-paint-n-x-3-grid/")</f>
        <v>https://leetcode.com/problems/number-of-ways-to-paint-n-x-3-grid/</v>
      </c>
    </row>
    <row r="398" spans="1:15" ht="31.5" customHeight="1" x14ac:dyDescent="0.2">
      <c r="A398" s="151">
        <v>393</v>
      </c>
      <c r="B398" s="151">
        <v>430</v>
      </c>
      <c r="C398" s="152" t="s">
        <v>1424</v>
      </c>
      <c r="D398" s="153" t="s">
        <v>4472</v>
      </c>
      <c r="E398" s="154" t="s">
        <v>28</v>
      </c>
      <c r="F398" s="153" t="s">
        <v>127</v>
      </c>
      <c r="G398" s="153" t="s">
        <v>127</v>
      </c>
      <c r="H398" s="151">
        <f>IFERROR(VLOOKUP(B400,'📊 Problem Tracker'!$B$4:$F$1200,5,FALSE()),"")</f>
        <v>0</v>
      </c>
      <c r="I398" s="151"/>
      <c r="J398" s="151"/>
      <c r="K398" s="153"/>
      <c r="L398" s="228" t="s">
        <v>1426</v>
      </c>
      <c r="M398" s="7" t="s">
        <v>24</v>
      </c>
      <c r="N398" s="7" t="s">
        <v>24</v>
      </c>
      <c r="O398" s="197" t="str">
        <f>HYPERLINK("https://leetcode.com/problems/flatten-a-multilevel-doubly-linked-list/","https://leetcode.com/problems/flatten-a-multilevel-doubly-linked-list/")</f>
        <v>https://leetcode.com/problems/flatten-a-multilevel-doubly-linked-list/</v>
      </c>
    </row>
    <row r="399" spans="1:15" ht="31.5" customHeight="1" x14ac:dyDescent="0.2">
      <c r="A399" s="155">
        <v>394</v>
      </c>
      <c r="B399" s="155">
        <v>1975</v>
      </c>
      <c r="C399" s="156" t="s">
        <v>2813</v>
      </c>
      <c r="D399" s="157" t="s">
        <v>4997</v>
      </c>
      <c r="E399" s="158" t="s">
        <v>28</v>
      </c>
      <c r="F399" s="157" t="s">
        <v>283</v>
      </c>
      <c r="G399" s="157" t="s">
        <v>4187</v>
      </c>
      <c r="H399" s="155">
        <f>IFERROR(VLOOKUP(B401,'📊 Problem Tracker'!$B$4:$F$1200,5,FALSE()),"")</f>
        <v>0</v>
      </c>
      <c r="I399" s="155"/>
      <c r="J399" s="155"/>
      <c r="K399" s="157"/>
      <c r="L399" s="228" t="s">
        <v>2815</v>
      </c>
      <c r="M399" s="7" t="s">
        <v>24</v>
      </c>
      <c r="N399" s="7" t="s">
        <v>24</v>
      </c>
      <c r="O399" s="198" t="str">
        <f>HYPERLINK("https://leetcode.com/problems/maximum-matrix-sum/","https://leetcode.com/problems/maximum-matrix-sum/")</f>
        <v>https://leetcode.com/problems/maximum-matrix-sum/</v>
      </c>
    </row>
    <row r="400" spans="1:15" ht="31.5" customHeight="1" x14ac:dyDescent="0.2">
      <c r="A400" s="151">
        <v>395</v>
      </c>
      <c r="B400" s="151">
        <v>1161</v>
      </c>
      <c r="C400" s="152" t="s">
        <v>4998</v>
      </c>
      <c r="D400" s="153" t="s">
        <v>4798</v>
      </c>
      <c r="E400" s="154" t="s">
        <v>28</v>
      </c>
      <c r="F400" s="153" t="s">
        <v>534</v>
      </c>
      <c r="G400" s="153" t="s">
        <v>4270</v>
      </c>
      <c r="H400" s="151">
        <f>IFERROR(VLOOKUP(B402,'📊 Problem Tracker'!$B$4:$F$1200,5,FALSE()),"")</f>
        <v>0</v>
      </c>
      <c r="I400" s="151"/>
      <c r="J400" s="151"/>
      <c r="K400" s="153"/>
      <c r="L400" s="228" t="s">
        <v>2256</v>
      </c>
      <c r="M400" s="7" t="s">
        <v>24</v>
      </c>
      <c r="N400" s="7" t="s">
        <v>24</v>
      </c>
      <c r="O400" s="197" t="str">
        <f>HYPERLINK("https://leetcode.com/problems/maximum-level-sum-of-a-binary-tree/","https://leetcode.com/problems/maximum-level-sum-of-a-binary-tree/")</f>
        <v>https://leetcode.com/problems/maximum-level-sum-of-a-binary-tree/</v>
      </c>
    </row>
    <row r="401" spans="1:15" ht="31.5" customHeight="1" x14ac:dyDescent="0.2">
      <c r="A401" s="155">
        <v>396</v>
      </c>
      <c r="B401" s="155">
        <v>1339</v>
      </c>
      <c r="C401" s="156" t="s">
        <v>4999</v>
      </c>
      <c r="D401" s="157" t="s">
        <v>5000</v>
      </c>
      <c r="E401" s="158" t="s">
        <v>28</v>
      </c>
      <c r="F401" s="157" t="s">
        <v>606</v>
      </c>
      <c r="G401" s="157" t="s">
        <v>4627</v>
      </c>
      <c r="H401" s="155">
        <f>IFERROR(VLOOKUP(B403,'📊 Problem Tracker'!$B$4:$F$1200,5,FALSE()),"")</f>
        <v>0</v>
      </c>
      <c r="I401" s="155"/>
      <c r="J401" s="155"/>
      <c r="K401" s="157"/>
      <c r="L401" s="228" t="s">
        <v>2399</v>
      </c>
      <c r="M401" s="7" t="s">
        <v>24</v>
      </c>
      <c r="N401" s="7" t="s">
        <v>24</v>
      </c>
      <c r="O401" s="198" t="str">
        <f>HYPERLINK("https://leetcode.com/problems/maximum-product-of-splitted-binary-tree/","https://leetcode.com/problems/maximum-product-of-splitted-binary-tree/")</f>
        <v>https://leetcode.com/problems/maximum-product-of-splitted-binary-tree/</v>
      </c>
    </row>
    <row r="402" spans="1:15" ht="31.5" customHeight="1" x14ac:dyDescent="0.2">
      <c r="A402" s="151">
        <v>397</v>
      </c>
      <c r="B402" s="151">
        <v>1458</v>
      </c>
      <c r="C402" s="152" t="s">
        <v>5001</v>
      </c>
      <c r="D402" s="153" t="s">
        <v>4603</v>
      </c>
      <c r="E402" s="162" t="s">
        <v>42</v>
      </c>
      <c r="F402" s="153" t="s">
        <v>309</v>
      </c>
      <c r="G402" s="153" t="s">
        <v>1042</v>
      </c>
      <c r="H402" s="151">
        <f>IFERROR(VLOOKUP(B404,'📊 Problem Tracker'!$B$4:$F$1200,5,FALSE()),"")</f>
        <v>0</v>
      </c>
      <c r="I402" s="151"/>
      <c r="J402" s="151"/>
      <c r="K402" s="153"/>
      <c r="L402" s="228" t="s">
        <v>2485</v>
      </c>
      <c r="M402" s="7" t="s">
        <v>24</v>
      </c>
      <c r="N402" s="7" t="s">
        <v>24</v>
      </c>
      <c r="O402" s="197" t="str">
        <f>HYPERLINK("https://leetcode.com/problems/max-dot-product-of-two-subsequences/","https://leetcode.com/problems/max-dot-product-of-two-subsequences/")</f>
        <v>https://leetcode.com/problems/max-dot-product-of-two-subsequences/</v>
      </c>
    </row>
    <row r="403" spans="1:15" ht="31.5" customHeight="1" x14ac:dyDescent="0.2">
      <c r="A403" s="155">
        <v>398</v>
      </c>
      <c r="B403" s="155">
        <v>228</v>
      </c>
      <c r="C403" s="156" t="s">
        <v>983</v>
      </c>
      <c r="D403" s="157" t="s">
        <v>4598</v>
      </c>
      <c r="E403" s="159" t="s">
        <v>20</v>
      </c>
      <c r="F403" s="157" t="s">
        <v>84</v>
      </c>
      <c r="G403" s="157" t="s">
        <v>689</v>
      </c>
      <c r="H403" s="155">
        <f>IFERROR(VLOOKUP(B405,'📊 Problem Tracker'!$B$4:$F$1200,5,FALSE()),"")</f>
        <v>0</v>
      </c>
      <c r="I403" s="155"/>
      <c r="J403" s="155"/>
      <c r="K403" s="157"/>
      <c r="L403" s="228" t="s">
        <v>985</v>
      </c>
      <c r="M403" s="7" t="s">
        <v>24</v>
      </c>
      <c r="N403" s="7" t="s">
        <v>47</v>
      </c>
      <c r="O403" s="198" t="str">
        <f>HYPERLINK("https://leetcode.com/problems/summary-ranges/","https://leetcode.com/problems/summary-ranges/")</f>
        <v>https://leetcode.com/problems/summary-ranges/</v>
      </c>
    </row>
    <row r="404" spans="1:15" ht="31.5" customHeight="1" x14ac:dyDescent="0.2">
      <c r="A404" s="151">
        <v>399</v>
      </c>
      <c r="B404" s="151">
        <v>413</v>
      </c>
      <c r="C404" s="152" t="s">
        <v>1401</v>
      </c>
      <c r="D404" s="153" t="s">
        <v>4985</v>
      </c>
      <c r="E404" s="154" t="s">
        <v>28</v>
      </c>
      <c r="F404" s="153" t="s">
        <v>309</v>
      </c>
      <c r="G404" s="153" t="s">
        <v>1042</v>
      </c>
      <c r="H404" s="151">
        <f>IFERROR(VLOOKUP(B406,'📊 Problem Tracker'!$B$4:$F$1200,5,FALSE()),"")</f>
        <v>0</v>
      </c>
      <c r="I404" s="151"/>
      <c r="J404" s="151"/>
      <c r="K404" s="153"/>
      <c r="L404" s="228" t="s">
        <v>1402</v>
      </c>
      <c r="M404" s="7" t="s">
        <v>24</v>
      </c>
      <c r="N404" s="7" t="s">
        <v>47</v>
      </c>
      <c r="O404" s="197" t="str">
        <f>HYPERLINK("https://leetcode.com/problems/arithmetic-slices/","https://leetcode.com/problems/arithmetic-slices/")</f>
        <v>https://leetcode.com/problems/arithmetic-slices/</v>
      </c>
    </row>
    <row r="405" spans="1:15" ht="31.5" customHeight="1" x14ac:dyDescent="0.2">
      <c r="A405" s="155">
        <v>400</v>
      </c>
      <c r="B405" s="155">
        <v>839</v>
      </c>
      <c r="C405" s="156" t="s">
        <v>1960</v>
      </c>
      <c r="D405" s="157" t="s">
        <v>4563</v>
      </c>
      <c r="E405" s="161" t="s">
        <v>42</v>
      </c>
      <c r="F405" s="157" t="s">
        <v>1050</v>
      </c>
      <c r="G405" s="157" t="s">
        <v>1736</v>
      </c>
      <c r="H405" s="155">
        <f>IFERROR(VLOOKUP(B407,'📊 Problem Tracker'!$B$4:$F$1200,5,FALSE()),"")</f>
        <v>0</v>
      </c>
      <c r="I405" s="155"/>
      <c r="J405" s="155"/>
      <c r="K405" s="157"/>
      <c r="L405" s="228" t="s">
        <v>619</v>
      </c>
      <c r="M405" s="7" t="s">
        <v>648</v>
      </c>
      <c r="N405" s="7" t="s">
        <v>648</v>
      </c>
      <c r="O405" s="198" t="str">
        <f>HYPERLINK("https://leetcode.com/problems/similar-string-groups/","https://leetcode.com/problems/similar-string-groups/")</f>
        <v>https://leetcode.com/problems/similar-string-groups/</v>
      </c>
    </row>
    <row r="406" spans="1:15" ht="31.5" customHeight="1" x14ac:dyDescent="0.2">
      <c r="A406" s="151">
        <v>401</v>
      </c>
      <c r="B406" s="151">
        <v>1472</v>
      </c>
      <c r="C406" s="152" t="s">
        <v>2497</v>
      </c>
      <c r="D406" s="153" t="s">
        <v>4835</v>
      </c>
      <c r="E406" s="154" t="s">
        <v>28</v>
      </c>
      <c r="F406" s="153" t="s">
        <v>1781</v>
      </c>
      <c r="G406" s="153" t="s">
        <v>5002</v>
      </c>
      <c r="H406" s="151">
        <f>IFERROR(VLOOKUP(B408,'📊 Problem Tracker'!$B$4:$F$1200,5,FALSE()),"")</f>
        <v>0</v>
      </c>
      <c r="I406" s="151"/>
      <c r="J406" s="151"/>
      <c r="K406" s="153"/>
      <c r="L406" s="228" t="s">
        <v>461</v>
      </c>
      <c r="M406" s="7" t="s">
        <v>732</v>
      </c>
      <c r="N406" s="7" t="s">
        <v>24</v>
      </c>
      <c r="O406" s="197" t="str">
        <f>HYPERLINK("https://leetcode.com/problems/design-browser-history/","https://leetcode.com/problems/design-browser-history/")</f>
        <v>https://leetcode.com/problems/design-browser-history/</v>
      </c>
    </row>
    <row r="407" spans="1:15" ht="31.5" customHeight="1" x14ac:dyDescent="0.2">
      <c r="A407" s="155">
        <v>402</v>
      </c>
      <c r="B407" s="155">
        <v>1470</v>
      </c>
      <c r="C407" s="156" t="s">
        <v>2493</v>
      </c>
      <c r="D407" s="157" t="s">
        <v>5003</v>
      </c>
      <c r="E407" s="159" t="s">
        <v>20</v>
      </c>
      <c r="F407" s="157" t="s">
        <v>166</v>
      </c>
      <c r="G407" s="157" t="s">
        <v>166</v>
      </c>
      <c r="H407" s="155">
        <f>IFERROR(VLOOKUP(B409,'📊 Problem Tracker'!$B$4:$F$1200,5,FALSE()),"")</f>
        <v>0</v>
      </c>
      <c r="I407" s="155"/>
      <c r="J407" s="155"/>
      <c r="K407" s="157"/>
      <c r="L407" s="228" t="s">
        <v>2495</v>
      </c>
      <c r="M407" s="7" t="s">
        <v>24</v>
      </c>
      <c r="N407" s="7" t="s">
        <v>47</v>
      </c>
      <c r="O407" s="198" t="str">
        <f>HYPERLINK("https://leetcode.com/problems/shuffle-the-array/","https://leetcode.com/problems/shuffle-the-array/")</f>
        <v>https://leetcode.com/problems/shuffle-the-array/</v>
      </c>
    </row>
    <row r="408" spans="1:15" ht="31.5" customHeight="1" x14ac:dyDescent="0.2">
      <c r="A408" s="151">
        <v>403</v>
      </c>
      <c r="B408" s="151">
        <v>3453</v>
      </c>
      <c r="C408" s="152" t="s">
        <v>3185</v>
      </c>
      <c r="D408" s="153" t="s">
        <v>4498</v>
      </c>
      <c r="E408" s="154" t="s">
        <v>28</v>
      </c>
      <c r="F408" s="153" t="s">
        <v>376</v>
      </c>
      <c r="G408" s="153" t="s">
        <v>62</v>
      </c>
      <c r="H408" s="151">
        <f>IFERROR(VLOOKUP(B410,'📊 Problem Tracker'!$B$4:$F$1200,5,FALSE()),"")</f>
        <v>0</v>
      </c>
      <c r="I408" s="151"/>
      <c r="J408" s="151"/>
      <c r="K408" s="153"/>
      <c r="L408" s="228" t="s">
        <v>3187</v>
      </c>
      <c r="M408" s="7" t="s">
        <v>3144</v>
      </c>
      <c r="N408" s="7" t="s">
        <v>47</v>
      </c>
      <c r="O408" s="197" t="str">
        <f>HYPERLINK("https://leetcode.com/problems/separate-squares-i/","https://leetcode.com/problems/separate-squares-i/")</f>
        <v>https://leetcode.com/problems/separate-squares-i/</v>
      </c>
    </row>
    <row r="409" spans="1:15" ht="31.5" customHeight="1" x14ac:dyDescent="0.2">
      <c r="A409" s="155">
        <v>404</v>
      </c>
      <c r="B409" s="155">
        <v>1351</v>
      </c>
      <c r="C409" s="156" t="s">
        <v>5004</v>
      </c>
      <c r="D409" s="157" t="s">
        <v>5005</v>
      </c>
      <c r="E409" s="159" t="s">
        <v>20</v>
      </c>
      <c r="F409" s="157" t="s">
        <v>41</v>
      </c>
      <c r="G409" s="157" t="s">
        <v>512</v>
      </c>
      <c r="H409" s="155">
        <f>IFERROR(VLOOKUP(B411,'📊 Problem Tracker'!$B$4:$F$1200,5,FALSE()),"")</f>
        <v>0</v>
      </c>
      <c r="I409" s="155"/>
      <c r="J409" s="155"/>
      <c r="K409" s="157"/>
      <c r="L409" s="228" t="s">
        <v>2409</v>
      </c>
      <c r="M409" s="7" t="s">
        <v>24</v>
      </c>
      <c r="N409" s="7" t="s">
        <v>24</v>
      </c>
      <c r="O409" s="198" t="str">
        <f>HYPERLINK("https://leetcode.com/problems/count-negative-numbers-in-a-sorted-matrix/","https://leetcode.com/problems/count-negative-numbers-in-a-sorted-matrix/")</f>
        <v>https://leetcode.com/problems/count-negative-numbers-in-a-sorted-matrix/</v>
      </c>
    </row>
    <row r="410" spans="1:15" ht="31.5" customHeight="1" x14ac:dyDescent="0.2">
      <c r="A410" s="151">
        <v>405</v>
      </c>
      <c r="B410" s="151">
        <v>391</v>
      </c>
      <c r="C410" s="152" t="s">
        <v>1356</v>
      </c>
      <c r="D410" s="153" t="s">
        <v>4516</v>
      </c>
      <c r="E410" s="162" t="s">
        <v>42</v>
      </c>
      <c r="F410" s="153" t="s">
        <v>376</v>
      </c>
      <c r="G410" s="153" t="s">
        <v>5006</v>
      </c>
      <c r="H410" s="151">
        <f>IFERROR(VLOOKUP(B412,'📊 Problem Tracker'!$B$4:$F$1200,5,FALSE()),"")</f>
        <v>0</v>
      </c>
      <c r="I410" s="151"/>
      <c r="J410" s="151"/>
      <c r="K410" s="153"/>
      <c r="L410" s="228" t="s">
        <v>1358</v>
      </c>
      <c r="M410" s="7" t="s">
        <v>24</v>
      </c>
      <c r="N410" s="7" t="s">
        <v>24</v>
      </c>
      <c r="O410" s="197" t="str">
        <f>HYPERLINK("https://leetcode.com/problems/perfect-rectangle/","https://leetcode.com/problems/perfect-rectangle/")</f>
        <v>https://leetcode.com/problems/perfect-rectangle/</v>
      </c>
    </row>
    <row r="411" spans="1:15" ht="31.5" customHeight="1" x14ac:dyDescent="0.2">
      <c r="A411" s="155">
        <v>406</v>
      </c>
      <c r="B411" s="155">
        <v>698</v>
      </c>
      <c r="C411" s="156" t="s">
        <v>1757</v>
      </c>
      <c r="D411" s="157" t="s">
        <v>4483</v>
      </c>
      <c r="E411" s="158" t="s">
        <v>28</v>
      </c>
      <c r="F411" s="157" t="s">
        <v>234</v>
      </c>
      <c r="G411" s="157" t="s">
        <v>300</v>
      </c>
      <c r="H411" s="155">
        <f>IFERROR(VLOOKUP(B413,'📊 Problem Tracker'!$B$4:$F$1200,5,FALSE()),"")</f>
        <v>0</v>
      </c>
      <c r="I411" s="155"/>
      <c r="J411" s="155"/>
      <c r="K411" s="157"/>
      <c r="L411" s="228" t="s">
        <v>1759</v>
      </c>
      <c r="M411" s="7" t="s">
        <v>1760</v>
      </c>
      <c r="N411" s="7" t="s">
        <v>231</v>
      </c>
      <c r="O411" s="198" t="str">
        <f>HYPERLINK("https://leetcode.com/problems/partition-to-k-equal-sum-subsets/","https://leetcode.com/problems/partition-to-k-equal-sum-subsets/")</f>
        <v>https://leetcode.com/problems/partition-to-k-equal-sum-subsets/</v>
      </c>
    </row>
    <row r="412" spans="1:15" ht="31.5" customHeight="1" x14ac:dyDescent="0.2">
      <c r="A412" s="151">
        <v>407</v>
      </c>
      <c r="B412" s="151">
        <v>93</v>
      </c>
      <c r="C412" s="152" t="s">
        <v>496</v>
      </c>
      <c r="D412" s="153" t="s">
        <v>4813</v>
      </c>
      <c r="E412" s="154" t="s">
        <v>28</v>
      </c>
      <c r="F412" s="153" t="s">
        <v>114</v>
      </c>
      <c r="G412" s="153" t="s">
        <v>300</v>
      </c>
      <c r="H412" s="151">
        <f>IFERROR(VLOOKUP(B414,'📊 Problem Tracker'!$B$4:$F$1200,5,FALSE()),"")</f>
        <v>0</v>
      </c>
      <c r="I412" s="151"/>
      <c r="J412" s="151"/>
      <c r="K412" s="153"/>
      <c r="L412" s="228" t="s">
        <v>302</v>
      </c>
      <c r="M412" s="7" t="s">
        <v>47</v>
      </c>
      <c r="N412" s="7" t="s">
        <v>47</v>
      </c>
      <c r="O412" s="197" t="str">
        <f>HYPERLINK("https://leetcode.com/problems/restore-ip-addresses/","https://leetcode.com/problems/restore-ip-addresses/")</f>
        <v>https://leetcode.com/problems/restore-ip-addresses/</v>
      </c>
    </row>
    <row r="413" spans="1:15" ht="31.5" customHeight="1" x14ac:dyDescent="0.2">
      <c r="A413" s="155">
        <v>408</v>
      </c>
      <c r="B413" s="155">
        <v>3454</v>
      </c>
      <c r="C413" s="156" t="s">
        <v>3189</v>
      </c>
      <c r="D413" s="157" t="s">
        <v>4521</v>
      </c>
      <c r="E413" s="161" t="s">
        <v>42</v>
      </c>
      <c r="F413" s="157" t="s">
        <v>376</v>
      </c>
      <c r="G413" s="157" t="s">
        <v>62</v>
      </c>
      <c r="H413" s="155">
        <f>IFERROR(VLOOKUP(B415,'📊 Problem Tracker'!$B$4:$F$1200,5,FALSE()),"")</f>
        <v>0</v>
      </c>
      <c r="I413" s="155"/>
      <c r="J413" s="155"/>
      <c r="K413" s="157"/>
      <c r="L413" s="228" t="s">
        <v>3191</v>
      </c>
      <c r="M413" s="7" t="s">
        <v>326</v>
      </c>
      <c r="N413" s="7" t="s">
        <v>24</v>
      </c>
      <c r="O413" s="198" t="str">
        <f>HYPERLINK("https://leetcode.com/problems/separate-squares-ii/","https://leetcode.com/problems/separate-squares-ii/")</f>
        <v>https://leetcode.com/problems/separate-squares-ii/</v>
      </c>
    </row>
    <row r="414" spans="1:15" ht="31.5" customHeight="1" x14ac:dyDescent="0.2">
      <c r="A414" s="151">
        <v>409</v>
      </c>
      <c r="B414" s="151">
        <v>2943</v>
      </c>
      <c r="C414" s="152" t="s">
        <v>3068</v>
      </c>
      <c r="D414" s="153" t="s">
        <v>4948</v>
      </c>
      <c r="E414" s="154" t="s">
        <v>28</v>
      </c>
      <c r="F414" s="153" t="s">
        <v>283</v>
      </c>
      <c r="G414" s="153" t="s">
        <v>4187</v>
      </c>
      <c r="H414" s="151">
        <f>IFERROR(VLOOKUP(B416,'📊 Problem Tracker'!$B$4:$F$1200,5,FALSE()),"")</f>
        <v>0</v>
      </c>
      <c r="I414" s="151"/>
      <c r="J414" s="151"/>
      <c r="K414" s="153"/>
      <c r="L414" s="228" t="s">
        <v>3070</v>
      </c>
      <c r="M414" s="7" t="s">
        <v>326</v>
      </c>
      <c r="N414" s="7" t="s">
        <v>47</v>
      </c>
      <c r="O414" s="197" t="str">
        <f>HYPERLINK("https://leetcode.com/problems/maximize-area-of-square-hole-in-grid/","https://leetcode.com/problems/maximize-area-of-square-hole-in-grid/")</f>
        <v>https://leetcode.com/problems/maximize-area-of-square-hole-in-grid/</v>
      </c>
    </row>
    <row r="415" spans="1:15" ht="31.5" customHeight="1" x14ac:dyDescent="0.2">
      <c r="A415" s="155">
        <v>410</v>
      </c>
      <c r="B415" s="155">
        <v>1679</v>
      </c>
      <c r="C415" s="156" t="s">
        <v>2636</v>
      </c>
      <c r="D415" s="157" t="s">
        <v>4793</v>
      </c>
      <c r="E415" s="158" t="s">
        <v>28</v>
      </c>
      <c r="F415" s="157" t="s">
        <v>2637</v>
      </c>
      <c r="G415" s="157"/>
      <c r="H415" s="155">
        <f>IFERROR(VLOOKUP(B417,'📊 Problem Tracker'!$B$4:$F$1200,5,FALSE()),"")</f>
        <v>0</v>
      </c>
      <c r="I415" s="155"/>
      <c r="J415" s="155"/>
      <c r="K415" s="157"/>
      <c r="L415" s="228" t="s">
        <v>2639</v>
      </c>
      <c r="M415" s="7" t="s">
        <v>24</v>
      </c>
      <c r="N415" s="7" t="s">
        <v>24</v>
      </c>
      <c r="O415" s="198" t="str">
        <f>HYPERLINK("https://leetcode.com/problems/max-number-of-k-sum-pairs/","https://leetcode.com/problems/max-number-of-k-sum-pairs/")</f>
        <v>https://leetcode.com/problems/max-number-of-k-sum-pairs/</v>
      </c>
    </row>
    <row r="416" spans="1:15" ht="31.5" customHeight="1" x14ac:dyDescent="0.2">
      <c r="A416" s="151">
        <v>411</v>
      </c>
      <c r="B416" s="151">
        <v>1292</v>
      </c>
      <c r="C416" s="152" t="s">
        <v>2366</v>
      </c>
      <c r="D416" s="153" t="s">
        <v>4893</v>
      </c>
      <c r="E416" s="154" t="s">
        <v>28</v>
      </c>
      <c r="F416" s="153" t="s">
        <v>1150</v>
      </c>
      <c r="G416" s="153" t="s">
        <v>1151</v>
      </c>
      <c r="H416" s="151">
        <f>IFERROR(VLOOKUP(B418,'📊 Problem Tracker'!$B$4:$F$1200,5,FALSE()),"")</f>
        <v>0</v>
      </c>
      <c r="I416" s="151"/>
      <c r="J416" s="151"/>
      <c r="K416" s="153"/>
      <c r="L416" s="228" t="s">
        <v>2368</v>
      </c>
      <c r="M416" s="7" t="s">
        <v>363</v>
      </c>
      <c r="N416" s="7" t="s">
        <v>363</v>
      </c>
      <c r="O416" s="197" t="str">
        <f>HYPERLINK("https://leetcode.com/problems/maximum-side-length-of-a-square-with-sum-less-than-or-equal-to-threshold/","https://leetcode.com/problems/maximum-side-length-of-a-square-with-sum-less-than-or-equal-to-threshold/")</f>
        <v>https://leetcode.com/problems/maximum-side-length-of-a-square-with-sum-less-than-or-equal-to-threshold/</v>
      </c>
    </row>
    <row r="417" spans="1:15" ht="31.5" customHeight="1" x14ac:dyDescent="0.2">
      <c r="A417" s="155">
        <v>412</v>
      </c>
      <c r="B417" s="155">
        <v>1854</v>
      </c>
      <c r="C417" s="156" t="s">
        <v>2735</v>
      </c>
      <c r="D417" s="157" t="s">
        <v>4617</v>
      </c>
      <c r="E417" s="159" t="s">
        <v>20</v>
      </c>
      <c r="F417" s="157" t="s">
        <v>1009</v>
      </c>
      <c r="G417" s="157" t="s">
        <v>4316</v>
      </c>
      <c r="H417" s="155">
        <f>IFERROR(VLOOKUP(B419,'📊 Problem Tracker'!$B$4:$F$1200,5,FALSE()),"")</f>
        <v>0</v>
      </c>
      <c r="I417" s="155"/>
      <c r="J417" s="155"/>
      <c r="K417" s="157"/>
      <c r="L417" s="228" t="s">
        <v>2737</v>
      </c>
      <c r="M417" s="7" t="s">
        <v>24</v>
      </c>
      <c r="N417" s="7" t="s">
        <v>47</v>
      </c>
      <c r="O417" s="198" t="str">
        <f>HYPERLINK("https://leetcode.com/problems/maximum-population-year/","https://leetcode.com/problems/maximum-population-year/")</f>
        <v>https://leetcode.com/problems/maximum-population-year/</v>
      </c>
    </row>
    <row r="418" spans="1:15" ht="31.5" customHeight="1" x14ac:dyDescent="0.2">
      <c r="A418" s="151">
        <v>413</v>
      </c>
      <c r="B418" s="151">
        <v>1027</v>
      </c>
      <c r="C418" s="152" t="s">
        <v>2183</v>
      </c>
      <c r="D418" s="153" t="s">
        <v>4682</v>
      </c>
      <c r="E418" s="154" t="s">
        <v>28</v>
      </c>
      <c r="F418" s="153" t="s">
        <v>309</v>
      </c>
      <c r="G418" s="153" t="s">
        <v>1042</v>
      </c>
      <c r="H418" s="151">
        <f>IFERROR(VLOOKUP(B420,'📊 Problem Tracker'!$B$4:$F$1200,5,FALSE()),"")</f>
        <v>0</v>
      </c>
      <c r="I418" s="151"/>
      <c r="J418" s="151"/>
      <c r="K418" s="153"/>
      <c r="L418" s="228" t="s">
        <v>2185</v>
      </c>
      <c r="M418" s="7" t="s">
        <v>341</v>
      </c>
      <c r="N418" s="7" t="s">
        <v>341</v>
      </c>
      <c r="O418" s="197" t="str">
        <f>HYPERLINK("https://leetcode.com/problems/longest-arithmetic-subsequence/","https://leetcode.com/problems/longest-arithmetic-subsequence/")</f>
        <v>https://leetcode.com/problems/longest-arithmetic-subsequence/</v>
      </c>
    </row>
    <row r="419" spans="1:15" ht="31.5" customHeight="1" x14ac:dyDescent="0.2">
      <c r="A419" s="155">
        <v>414</v>
      </c>
      <c r="B419" s="155">
        <v>449</v>
      </c>
      <c r="C419" s="156" t="s">
        <v>1458</v>
      </c>
      <c r="D419" s="157" t="s">
        <v>4521</v>
      </c>
      <c r="E419" s="158" t="s">
        <v>28</v>
      </c>
      <c r="F419" s="157" t="s">
        <v>1459</v>
      </c>
      <c r="G419" s="157" t="s">
        <v>4621</v>
      </c>
      <c r="H419" s="155">
        <f>IFERROR(VLOOKUP(B421,'📊 Problem Tracker'!$B$4:$F$1200,5,FALSE()),"")</f>
        <v>0</v>
      </c>
      <c r="I419" s="155"/>
      <c r="J419" s="155"/>
      <c r="K419" s="157"/>
      <c r="L419" s="228" t="s">
        <v>1461</v>
      </c>
      <c r="M419" s="7" t="s">
        <v>24</v>
      </c>
      <c r="N419" s="7" t="s">
        <v>24</v>
      </c>
      <c r="O419" s="198" t="str">
        <f>HYPERLINK("https://leetcode.com/problems/serialize-and-deserialize-bst/","https://leetcode.com/problems/serialize-and-deserialize-bst/")</f>
        <v>https://leetcode.com/problems/serialize-and-deserialize-bst/</v>
      </c>
    </row>
    <row r="420" spans="1:15" ht="31.5" customHeight="1" x14ac:dyDescent="0.2">
      <c r="A420" s="151">
        <v>415</v>
      </c>
      <c r="B420" s="151">
        <v>3314</v>
      </c>
      <c r="C420" s="152" t="s">
        <v>3146</v>
      </c>
      <c r="D420" s="153" t="s">
        <v>4982</v>
      </c>
      <c r="E420" s="160" t="s">
        <v>20</v>
      </c>
      <c r="F420" s="153" t="s">
        <v>376</v>
      </c>
      <c r="G420" s="153" t="s">
        <v>62</v>
      </c>
      <c r="H420" s="151">
        <f>IFERROR(VLOOKUP(B422,'📊 Problem Tracker'!$B$4:$F$1200,5,FALSE()),"")</f>
        <v>0</v>
      </c>
      <c r="I420" s="151"/>
      <c r="J420" s="151"/>
      <c r="K420" s="153"/>
      <c r="L420" s="228" t="s">
        <v>3148</v>
      </c>
      <c r="M420" s="7" t="s">
        <v>24</v>
      </c>
      <c r="N420" s="7" t="s">
        <v>47</v>
      </c>
      <c r="O420" s="197" t="str">
        <f>HYPERLINK("https://leetcode.com/problems/construct-the-minimum-bitwise-array-i/","https://leetcode.com/problems/construct-the-minimum-bitwise-array-i/")</f>
        <v>https://leetcode.com/problems/construct-the-minimum-bitwise-array-i/</v>
      </c>
    </row>
    <row r="421" spans="1:15" ht="31.5" customHeight="1" x14ac:dyDescent="0.2">
      <c r="A421" s="155">
        <v>416</v>
      </c>
      <c r="B421" s="155">
        <v>3315</v>
      </c>
      <c r="C421" s="156" t="s">
        <v>3150</v>
      </c>
      <c r="D421" s="157" t="s">
        <v>4444</v>
      </c>
      <c r="E421" s="158" t="s">
        <v>28</v>
      </c>
      <c r="F421" s="157" t="s">
        <v>376</v>
      </c>
      <c r="G421" s="157" t="s">
        <v>62</v>
      </c>
      <c r="H421" s="155">
        <f>IFERROR(VLOOKUP(B423,'📊 Problem Tracker'!$B$4:$F$1200,5,FALSE()),"")</f>
        <v>0</v>
      </c>
      <c r="I421" s="155"/>
      <c r="J421" s="155"/>
      <c r="K421" s="157"/>
      <c r="L421" s="228" t="s">
        <v>3151</v>
      </c>
      <c r="M421" s="7" t="s">
        <v>24</v>
      </c>
      <c r="N421" s="7" t="s">
        <v>47</v>
      </c>
      <c r="O421" s="198" t="str">
        <f>HYPERLINK("https://leetcode.com/problems/construct-the-minimum-bitwise-array-ii/","https://leetcode.com/problems/construct-the-minimum-bitwise-array-ii/")</f>
        <v>https://leetcode.com/problems/construct-the-minimum-bitwise-array-ii/</v>
      </c>
    </row>
    <row r="422" spans="1:15" ht="31.5" customHeight="1" x14ac:dyDescent="0.2">
      <c r="A422" s="151">
        <v>417</v>
      </c>
      <c r="B422" s="151">
        <v>258</v>
      </c>
      <c r="C422" s="152" t="s">
        <v>1047</v>
      </c>
      <c r="D422" s="153" t="s">
        <v>4590</v>
      </c>
      <c r="E422" s="160" t="s">
        <v>20</v>
      </c>
      <c r="F422" s="153" t="s">
        <v>62</v>
      </c>
      <c r="G422" s="153" t="s">
        <v>62</v>
      </c>
      <c r="H422" s="151">
        <f>IFERROR(VLOOKUP(B424,'📊 Problem Tracker'!$B$4:$F$1200,5,FALSE()),"")</f>
        <v>0</v>
      </c>
      <c r="I422" s="151"/>
      <c r="J422" s="151"/>
      <c r="K422" s="153"/>
      <c r="L422" s="228" t="s">
        <v>230</v>
      </c>
      <c r="M422" s="7" t="s">
        <v>47</v>
      </c>
      <c r="N422" s="7" t="s">
        <v>47</v>
      </c>
      <c r="O422" s="197" t="str">
        <f>HYPERLINK("https://leetcode.com/problems/add-digits/","https://leetcode.com/problems/add-digits/")</f>
        <v>https://leetcode.com/problems/add-digits/</v>
      </c>
    </row>
    <row r="423" spans="1:15" ht="31.5" customHeight="1" x14ac:dyDescent="0.2">
      <c r="A423" s="155">
        <v>418</v>
      </c>
      <c r="B423" s="155">
        <v>3507</v>
      </c>
      <c r="C423" s="156" t="s">
        <v>3206</v>
      </c>
      <c r="D423" s="157" t="s">
        <v>4556</v>
      </c>
      <c r="E423" s="159" t="s">
        <v>20</v>
      </c>
      <c r="F423" s="157" t="s">
        <v>318</v>
      </c>
      <c r="G423" s="157" t="s">
        <v>3091</v>
      </c>
      <c r="H423" s="155">
        <f>IFERROR(VLOOKUP(B425,'📊 Problem Tracker'!$B$4:$F$1200,5,FALSE()),"")</f>
        <v>0</v>
      </c>
      <c r="I423" s="155"/>
      <c r="J423" s="155"/>
      <c r="K423" s="157"/>
      <c r="L423" s="228" t="s">
        <v>3208</v>
      </c>
      <c r="M423" s="7" t="s">
        <v>341</v>
      </c>
      <c r="N423" s="7" t="s">
        <v>47</v>
      </c>
      <c r="O423" s="198" t="str">
        <f>HYPERLINK("https://leetcode.com/problems/minimum-pair-removal-to-sort-array-i/","https://leetcode.com/problems/minimum-pair-removal-to-sort-array-i/")</f>
        <v>https://leetcode.com/problems/minimum-pair-removal-to-sort-array-i/</v>
      </c>
    </row>
    <row r="424" spans="1:15" ht="31.5" customHeight="1" x14ac:dyDescent="0.2">
      <c r="A424" s="151">
        <v>419</v>
      </c>
      <c r="B424" s="151">
        <v>2401</v>
      </c>
      <c r="C424" s="152" t="s">
        <v>2935</v>
      </c>
      <c r="D424" s="153" t="s">
        <v>4985</v>
      </c>
      <c r="E424" s="154" t="s">
        <v>28</v>
      </c>
      <c r="F424" s="153" t="s">
        <v>916</v>
      </c>
      <c r="G424" s="153" t="s">
        <v>917</v>
      </c>
      <c r="H424" s="151">
        <f>IFERROR(VLOOKUP(B426,'📊 Problem Tracker'!$B$4:$F$1200,5,FALSE()),"")</f>
        <v>0</v>
      </c>
      <c r="I424" s="151"/>
      <c r="J424" s="151"/>
      <c r="K424" s="153"/>
      <c r="L424" s="228" t="s">
        <v>2937</v>
      </c>
      <c r="M424" s="7" t="s">
        <v>24</v>
      </c>
      <c r="N424" s="7" t="s">
        <v>47</v>
      </c>
      <c r="O424" s="197" t="str">
        <f>HYPERLINK("https://leetcode.com/problems/longest-nice-subarray/","https://leetcode.com/problems/longest-nice-subarray/")</f>
        <v>https://leetcode.com/problems/longest-nice-subarray/</v>
      </c>
    </row>
    <row r="425" spans="1:15" ht="31.5" customHeight="1" x14ac:dyDescent="0.2">
      <c r="A425" s="155">
        <v>420</v>
      </c>
      <c r="B425" s="155">
        <v>3510</v>
      </c>
      <c r="C425" s="156" t="s">
        <v>3210</v>
      </c>
      <c r="D425" s="157" t="s">
        <v>4434</v>
      </c>
      <c r="E425" s="161" t="s">
        <v>42</v>
      </c>
      <c r="F425" s="157" t="s">
        <v>318</v>
      </c>
      <c r="G425" s="157" t="s">
        <v>3091</v>
      </c>
      <c r="H425" s="155">
        <f>IFERROR(VLOOKUP(B427,'📊 Problem Tracker'!$B$4:$F$1200,5,FALSE()),"")</f>
        <v>0</v>
      </c>
      <c r="I425" s="155"/>
      <c r="J425" s="155"/>
      <c r="K425" s="157"/>
      <c r="L425" s="228" t="s">
        <v>3212</v>
      </c>
      <c r="M425" s="7" t="s">
        <v>326</v>
      </c>
      <c r="N425" s="7" t="s">
        <v>24</v>
      </c>
      <c r="O425" s="198" t="str">
        <f>HYPERLINK("https://leetcode.com/problems/minimum-pair-removal-to-sort-array-ii/","https://leetcode.com/problems/minimum-pair-removal-to-sort-array-ii/")</f>
        <v>https://leetcode.com/problems/minimum-pair-removal-to-sort-array-ii/</v>
      </c>
    </row>
    <row r="426" spans="1:15" ht="31.5" customHeight="1" x14ac:dyDescent="0.2">
      <c r="A426" s="151">
        <v>421</v>
      </c>
      <c r="B426" s="151">
        <v>256</v>
      </c>
      <c r="C426" s="152" t="s">
        <v>1041</v>
      </c>
      <c r="D426" s="153" t="s">
        <v>4558</v>
      </c>
      <c r="E426" s="154" t="s">
        <v>28</v>
      </c>
      <c r="F426" s="153" t="s">
        <v>309</v>
      </c>
      <c r="G426" s="153" t="s">
        <v>1042</v>
      </c>
      <c r="H426" s="151">
        <f>IFERROR(VLOOKUP(B428,'📊 Problem Tracker'!$B$4:$F$1200,5,FALSE()),"")</f>
        <v>0</v>
      </c>
      <c r="I426" s="151"/>
      <c r="J426" s="151"/>
      <c r="K426" s="153"/>
      <c r="L426" s="228" t="s">
        <v>1043</v>
      </c>
      <c r="M426" s="7" t="s">
        <v>24</v>
      </c>
      <c r="N426" s="7" t="s">
        <v>47</v>
      </c>
      <c r="O426" s="197" t="str">
        <f>HYPERLINK("https://leetcode.com/problems/paint-house/","https://leetcode.com/problems/paint-house/")</f>
        <v>https://leetcode.com/problems/paint-house/</v>
      </c>
    </row>
    <row r="427" spans="1:15" ht="31.5" customHeight="1" x14ac:dyDescent="0.2">
      <c r="A427" s="155">
        <v>422</v>
      </c>
      <c r="B427" s="155">
        <v>3201</v>
      </c>
      <c r="C427" s="156" t="s">
        <v>3129</v>
      </c>
      <c r="D427" s="157" t="s">
        <v>4530</v>
      </c>
      <c r="E427" s="158" t="s">
        <v>28</v>
      </c>
      <c r="F427" s="157" t="s">
        <v>309</v>
      </c>
      <c r="G427" s="157" t="s">
        <v>1042</v>
      </c>
      <c r="H427" s="155">
        <f>IFERROR(VLOOKUP(B429,'📊 Problem Tracker'!$B$4:$F$1200,5,FALSE()),"")</f>
        <v>0</v>
      </c>
      <c r="I427" s="155"/>
      <c r="J427" s="155"/>
      <c r="K427" s="157"/>
      <c r="L427" s="228" t="s">
        <v>3131</v>
      </c>
      <c r="M427" s="7" t="s">
        <v>24</v>
      </c>
      <c r="N427" s="7" t="s">
        <v>47</v>
      </c>
      <c r="O427" s="198" t="str">
        <f>HYPERLINK("https://leetcode.com/problems/find-the-maximum-length-of-valid-subsequence-i/","https://leetcode.com/problems/find-the-maximum-length-of-valid-subsequence-i/")</f>
        <v>https://leetcode.com/problems/find-the-maximum-length-of-valid-subsequence-i/</v>
      </c>
    </row>
    <row r="428" spans="1:15" ht="31.5" customHeight="1" x14ac:dyDescent="0.2">
      <c r="A428" s="151">
        <v>423</v>
      </c>
      <c r="B428" s="151">
        <v>96</v>
      </c>
      <c r="C428" s="152" t="s">
        <v>510</v>
      </c>
      <c r="D428" s="153" t="s">
        <v>4525</v>
      </c>
      <c r="E428" s="154" t="s">
        <v>28</v>
      </c>
      <c r="F428" s="153" t="s">
        <v>511</v>
      </c>
      <c r="G428" s="153" t="s">
        <v>5007</v>
      </c>
      <c r="H428" s="151">
        <f>IFERROR(VLOOKUP(B430,'📊 Problem Tracker'!$B$4:$F$1200,5,FALSE()),"")</f>
        <v>0</v>
      </c>
      <c r="I428" s="151"/>
      <c r="J428" s="151"/>
      <c r="K428" s="153"/>
      <c r="L428" s="228" t="s">
        <v>513</v>
      </c>
      <c r="M428" s="7" t="s">
        <v>53</v>
      </c>
      <c r="N428" s="7" t="s">
        <v>24</v>
      </c>
      <c r="O428" s="197" t="str">
        <f>HYPERLINK("https://leetcode.com/problems/unique-binary-search-trees/","https://leetcode.com/problems/unique-binary-search-trees/")</f>
        <v>https://leetcode.com/problems/unique-binary-search-trees/</v>
      </c>
    </row>
    <row r="429" spans="1:15" ht="31.5" customHeight="1" x14ac:dyDescent="0.2">
      <c r="A429" s="155">
        <v>424</v>
      </c>
      <c r="B429" s="155">
        <v>896</v>
      </c>
      <c r="C429" s="156" t="s">
        <v>2041</v>
      </c>
      <c r="D429" s="157" t="s">
        <v>5008</v>
      </c>
      <c r="E429" s="159" t="s">
        <v>20</v>
      </c>
      <c r="F429" s="157" t="s">
        <v>166</v>
      </c>
      <c r="G429" s="157" t="s">
        <v>166</v>
      </c>
      <c r="H429" s="155">
        <f>IFERROR(VLOOKUP(B431,'📊 Problem Tracker'!$B$4:$F$1200,5,FALSE()),"")</f>
        <v>0</v>
      </c>
      <c r="I429" s="155"/>
      <c r="J429" s="155"/>
      <c r="K429" s="157"/>
      <c r="L429" s="228" t="s">
        <v>2043</v>
      </c>
      <c r="M429" s="7" t="s">
        <v>24</v>
      </c>
      <c r="N429" s="7" t="s">
        <v>47</v>
      </c>
      <c r="O429" s="198" t="str">
        <f>HYPERLINK("https://leetcode.com/problems/monotonic-array/","https://leetcode.com/problems/monotonic-array/")</f>
        <v>https://leetcode.com/problems/monotonic-array/</v>
      </c>
    </row>
    <row r="430" spans="1:15" ht="31.5" customHeight="1" x14ac:dyDescent="0.2">
      <c r="A430" s="151">
        <v>425</v>
      </c>
      <c r="B430" s="151">
        <v>390</v>
      </c>
      <c r="C430" s="152" t="s">
        <v>1352</v>
      </c>
      <c r="D430" s="153" t="s">
        <v>4660</v>
      </c>
      <c r="E430" s="154" t="s">
        <v>28</v>
      </c>
      <c r="F430" s="153" t="s">
        <v>62</v>
      </c>
      <c r="G430" s="153" t="s">
        <v>62</v>
      </c>
      <c r="H430" s="151">
        <f>IFERROR(VLOOKUP(B432,'📊 Problem Tracker'!$B$4:$F$1200,5,FALSE()),"")</f>
        <v>0</v>
      </c>
      <c r="I430" s="151"/>
      <c r="J430" s="151"/>
      <c r="K430" s="153"/>
      <c r="L430" s="228" t="s">
        <v>1354</v>
      </c>
      <c r="M430" s="7" t="s">
        <v>65</v>
      </c>
      <c r="N430" s="7" t="s">
        <v>47</v>
      </c>
      <c r="O430" s="197" t="str">
        <f>HYPERLINK("https://leetcode.com/problems/elimination-game/","https://leetcode.com/problems/elimination-game/")</f>
        <v>https://leetcode.com/problems/elimination-game/</v>
      </c>
    </row>
    <row r="431" spans="1:15" ht="31.5" customHeight="1" x14ac:dyDescent="0.2">
      <c r="A431" s="155">
        <v>426</v>
      </c>
      <c r="B431" s="155">
        <v>3650</v>
      </c>
      <c r="C431" s="156" t="s">
        <v>3237</v>
      </c>
      <c r="D431" s="157" t="s">
        <v>4460</v>
      </c>
      <c r="E431" s="158" t="s">
        <v>28</v>
      </c>
      <c r="F431" s="157" t="s">
        <v>1198</v>
      </c>
      <c r="G431" s="157" t="s">
        <v>4258</v>
      </c>
      <c r="H431" s="155">
        <f>IFERROR(VLOOKUP(B433,'📊 Problem Tracker'!$B$4:$F$1200,5,FALSE()),"")</f>
        <v>0</v>
      </c>
      <c r="I431" s="155"/>
      <c r="J431" s="155"/>
      <c r="K431" s="157"/>
      <c r="L431" s="228" t="s">
        <v>3239</v>
      </c>
      <c r="M431" s="7" t="s">
        <v>1845</v>
      </c>
      <c r="N431" s="7" t="s">
        <v>648</v>
      </c>
      <c r="O431" s="198" t="str">
        <f>HYPERLINK("https://leetcode.com/problems/minimum-cost-path-with-edge-reversals/","https://leetcode.com/problems/minimum-cost-path-with-edge-reversals/")</f>
        <v>https://leetcode.com/problems/minimum-cost-path-with-edge-reversals/</v>
      </c>
    </row>
    <row r="432" spans="1:15" ht="31.5" customHeight="1" x14ac:dyDescent="0.2">
      <c r="A432" s="151">
        <v>427</v>
      </c>
      <c r="B432" s="151">
        <v>1146</v>
      </c>
      <c r="C432" s="152" t="s">
        <v>2242</v>
      </c>
      <c r="D432" s="153" t="s">
        <v>4649</v>
      </c>
      <c r="E432" s="154" t="s">
        <v>28</v>
      </c>
      <c r="F432" s="153" t="s">
        <v>41</v>
      </c>
      <c r="G432" s="153" t="s">
        <v>5009</v>
      </c>
      <c r="H432" s="151">
        <f>IFERROR(VLOOKUP(B434,'📊 Problem Tracker'!$B$4:$F$1200,5,FALSE()),"")</f>
        <v>0</v>
      </c>
      <c r="I432" s="151"/>
      <c r="J432" s="151"/>
      <c r="K432" s="153"/>
      <c r="L432" s="228" t="s">
        <v>513</v>
      </c>
      <c r="M432" s="7" t="s">
        <v>65</v>
      </c>
      <c r="N432" s="7" t="s">
        <v>47</v>
      </c>
      <c r="O432" s="197" t="str">
        <f>HYPERLINK("https://leetcode.com/problems/snapshot-array/","https://leetcode.com/problems/snapshot-array/")</f>
        <v>https://leetcode.com/problems/snapshot-array/</v>
      </c>
    </row>
    <row r="433" spans="1:15" ht="31.5" customHeight="1" x14ac:dyDescent="0.2">
      <c r="A433" s="155">
        <v>428</v>
      </c>
      <c r="B433" s="155">
        <v>1008</v>
      </c>
      <c r="C433" s="156" t="s">
        <v>2161</v>
      </c>
      <c r="D433" s="157" t="s">
        <v>5010</v>
      </c>
      <c r="E433" s="158" t="s">
        <v>28</v>
      </c>
      <c r="F433" s="157" t="s">
        <v>562</v>
      </c>
      <c r="G433" s="157" t="s">
        <v>5011</v>
      </c>
      <c r="H433" s="155">
        <f>IFERROR(VLOOKUP(B435,'📊 Problem Tracker'!$B$4:$F$1200,5,FALSE()),"")</f>
        <v>0</v>
      </c>
      <c r="I433" s="155"/>
      <c r="J433" s="155"/>
      <c r="K433" s="157"/>
      <c r="L433" s="228" t="s">
        <v>2163</v>
      </c>
      <c r="M433" s="7" t="s">
        <v>24</v>
      </c>
      <c r="N433" s="7" t="s">
        <v>24</v>
      </c>
      <c r="O433" s="198" t="str">
        <f>HYPERLINK("https://leetcode.com/problems/construct-binary-search-tree-from-preorder-traversal/","https://leetcode.com/problems/construct-binary-search-tree-from-preorder-traversal/")</f>
        <v>https://leetcode.com/problems/construct-binary-search-tree-from-preorder-traversal/</v>
      </c>
    </row>
    <row r="434" spans="1:15" ht="31.5" customHeight="1" x14ac:dyDescent="0.2">
      <c r="A434" s="151">
        <v>429</v>
      </c>
      <c r="B434" s="151">
        <v>3651</v>
      </c>
      <c r="C434" s="152" t="s">
        <v>3241</v>
      </c>
      <c r="D434" s="153" t="s">
        <v>4543</v>
      </c>
      <c r="E434" s="162" t="s">
        <v>42</v>
      </c>
      <c r="F434" s="153" t="s">
        <v>1198</v>
      </c>
      <c r="G434" s="153" t="s">
        <v>4258</v>
      </c>
      <c r="H434" s="151">
        <f>IFERROR(VLOOKUP(B436,'📊 Problem Tracker'!$B$4:$F$1200,5,FALSE()),"")</f>
        <v>0</v>
      </c>
      <c r="I434" s="151"/>
      <c r="J434" s="151"/>
      <c r="K434" s="153"/>
      <c r="L434" s="228" t="s">
        <v>3243</v>
      </c>
      <c r="M434" s="7" t="s">
        <v>3244</v>
      </c>
      <c r="N434" s="7" t="s">
        <v>2832</v>
      </c>
      <c r="O434" s="197" t="str">
        <f>HYPERLINK("https://leetcode.com/problems/minimum-cost-path-with-teleportations/","https://leetcode.com/problems/minimum-cost-path-with-teleportations/")</f>
        <v>https://leetcode.com/problems/minimum-cost-path-with-teleportations/</v>
      </c>
    </row>
    <row r="435" spans="1:15" ht="31.5" customHeight="1" x14ac:dyDescent="0.2">
      <c r="A435" s="155">
        <v>430</v>
      </c>
      <c r="B435" s="155">
        <v>2396</v>
      </c>
      <c r="C435" s="156" t="s">
        <v>2929</v>
      </c>
      <c r="D435" s="157" t="s">
        <v>4724</v>
      </c>
      <c r="E435" s="158" t="s">
        <v>28</v>
      </c>
      <c r="F435" s="157" t="s">
        <v>62</v>
      </c>
      <c r="G435" s="157" t="s">
        <v>62</v>
      </c>
      <c r="H435" s="155">
        <f>IFERROR(VLOOKUP(B437,'📊 Problem Tracker'!$B$4:$F$1200,5,FALSE()),"")</f>
        <v>0</v>
      </c>
      <c r="I435" s="155"/>
      <c r="J435" s="155"/>
      <c r="K435" s="157"/>
      <c r="L435" s="228" t="s">
        <v>2930</v>
      </c>
      <c r="M435" s="7" t="s">
        <v>47</v>
      </c>
      <c r="N435" s="7" t="s">
        <v>47</v>
      </c>
      <c r="O435" s="198" t="str">
        <f>HYPERLINK("https://leetcode.com/problems/strictly-palindromic-number/","https://leetcode.com/problems/strictly-palindromic-number/")</f>
        <v>https://leetcode.com/problems/strictly-palindromic-number/</v>
      </c>
    </row>
    <row r="436" spans="1:15" ht="31.5" customHeight="1" x14ac:dyDescent="0.2">
      <c r="A436" s="151">
        <v>431</v>
      </c>
      <c r="B436" s="151">
        <v>2976</v>
      </c>
      <c r="C436" s="152" t="s">
        <v>3084</v>
      </c>
      <c r="D436" s="153" t="s">
        <v>5012</v>
      </c>
      <c r="E436" s="154" t="s">
        <v>28</v>
      </c>
      <c r="F436" s="153" t="s">
        <v>2395</v>
      </c>
      <c r="G436" s="153" t="s">
        <v>3339</v>
      </c>
      <c r="H436" s="151">
        <f>IFERROR(VLOOKUP(B438,'📊 Problem Tracker'!$B$4:$F$1200,5,FALSE()),"")</f>
        <v>0</v>
      </c>
      <c r="I436" s="151"/>
      <c r="J436" s="151"/>
      <c r="K436" s="153"/>
      <c r="L436" s="228" t="s">
        <v>3086</v>
      </c>
      <c r="M436" s="7" t="s">
        <v>3087</v>
      </c>
      <c r="N436" s="7" t="s">
        <v>3088</v>
      </c>
      <c r="O436" s="197" t="str">
        <f>HYPERLINK("https://leetcode.com/problems/minimum-cost-to-convert-string-i/","https://leetcode.com/problems/minimum-cost-to-convert-string-i/")</f>
        <v>https://leetcode.com/problems/minimum-cost-to-convert-string-i/</v>
      </c>
    </row>
    <row r="437" spans="1:15" ht="31.5" customHeight="1" x14ac:dyDescent="0.2">
      <c r="A437" s="155">
        <v>432</v>
      </c>
      <c r="B437" s="155">
        <v>2413</v>
      </c>
      <c r="C437" s="156" t="s">
        <v>2942</v>
      </c>
      <c r="D437" s="157" t="s">
        <v>5013</v>
      </c>
      <c r="E437" s="159" t="s">
        <v>20</v>
      </c>
      <c r="F437" s="157" t="s">
        <v>62</v>
      </c>
      <c r="G437" s="157" t="s">
        <v>62</v>
      </c>
      <c r="H437" s="155">
        <f>IFERROR(VLOOKUP(B439,'📊 Problem Tracker'!$B$4:$F$1200,5,FALSE()),"")</f>
        <v>0</v>
      </c>
      <c r="I437" s="155"/>
      <c r="J437" s="155"/>
      <c r="K437" s="157"/>
      <c r="L437" s="228" t="s">
        <v>2944</v>
      </c>
      <c r="M437" s="7" t="s">
        <v>47</v>
      </c>
      <c r="N437" s="7" t="s">
        <v>47</v>
      </c>
      <c r="O437" s="198" t="str">
        <f>HYPERLINK("https://leetcode.com/problems/smallest-even-multiple/","https://leetcode.com/problems/smallest-even-multiple/")</f>
        <v>https://leetcode.com/problems/smallest-even-multiple/</v>
      </c>
    </row>
    <row r="438" spans="1:15" ht="31.5" customHeight="1" x14ac:dyDescent="0.2">
      <c r="A438" s="151">
        <v>433</v>
      </c>
      <c r="B438" s="151">
        <v>456</v>
      </c>
      <c r="C438" s="152" t="s">
        <v>1471</v>
      </c>
      <c r="D438" s="153" t="s">
        <v>5014</v>
      </c>
      <c r="E438" s="154" t="s">
        <v>28</v>
      </c>
      <c r="F438" s="153" t="s">
        <v>1472</v>
      </c>
      <c r="G438" s="153" t="s">
        <v>540</v>
      </c>
      <c r="H438" s="151">
        <f>IFERROR(VLOOKUP(B440,'📊 Problem Tracker'!$B$4:$F$1200,5,FALSE()),"")</f>
        <v>0</v>
      </c>
      <c r="I438" s="151"/>
      <c r="J438" s="151"/>
      <c r="K438" s="153"/>
      <c r="L438" s="228" t="s">
        <v>1474</v>
      </c>
      <c r="M438" s="7" t="s">
        <v>24</v>
      </c>
      <c r="N438" s="7" t="s">
        <v>24</v>
      </c>
      <c r="O438" s="197" t="str">
        <f>HYPERLINK("https://leetcode.com/problems/132-pattern/","https://leetcode.com/problems/132-pattern/")</f>
        <v>https://leetcode.com/problems/132-pattern/</v>
      </c>
    </row>
    <row r="439" spans="1:15" ht="31.5" customHeight="1" x14ac:dyDescent="0.2">
      <c r="A439" s="155">
        <v>434</v>
      </c>
      <c r="B439" s="155">
        <v>2965</v>
      </c>
      <c r="C439" s="156" t="s">
        <v>3076</v>
      </c>
      <c r="D439" s="157" t="s">
        <v>5015</v>
      </c>
      <c r="E439" s="159" t="s">
        <v>20</v>
      </c>
      <c r="F439" s="157" t="s">
        <v>19</v>
      </c>
      <c r="G439" s="157" t="s">
        <v>4187</v>
      </c>
      <c r="H439" s="155">
        <f>IFERROR(VLOOKUP(B441,'📊 Problem Tracker'!$B$4:$F$1200,5,FALSE()),"")</f>
        <v>0</v>
      </c>
      <c r="I439" s="155"/>
      <c r="J439" s="155"/>
      <c r="K439" s="157"/>
      <c r="L439" s="228" t="s">
        <v>3078</v>
      </c>
      <c r="M439" s="7" t="s">
        <v>341</v>
      </c>
      <c r="N439" s="7" t="s">
        <v>341</v>
      </c>
      <c r="O439" s="198" t="str">
        <f>HYPERLINK("https://leetcode.com/problems/find-missing-and-repeated-values/","https://leetcode.com/problems/find-missing-and-repeated-values/")</f>
        <v>https://leetcode.com/problems/find-missing-and-repeated-values/</v>
      </c>
    </row>
    <row r="440" spans="1:15" ht="31.5" customHeight="1" x14ac:dyDescent="0.2">
      <c r="A440" s="151">
        <v>435</v>
      </c>
      <c r="B440" s="151">
        <v>2385</v>
      </c>
      <c r="C440" s="152" t="s">
        <v>2926</v>
      </c>
      <c r="D440" s="153" t="s">
        <v>4893</v>
      </c>
      <c r="E440" s="154" t="s">
        <v>28</v>
      </c>
      <c r="F440" s="153" t="s">
        <v>534</v>
      </c>
      <c r="G440" s="153" t="s">
        <v>4270</v>
      </c>
      <c r="H440" s="151">
        <f>IFERROR(VLOOKUP(B442,'📊 Problem Tracker'!$B$4:$F$1200,5,FALSE()),"")</f>
        <v>0</v>
      </c>
      <c r="I440" s="151"/>
      <c r="J440" s="151"/>
      <c r="K440" s="153"/>
      <c r="L440" s="228" t="s">
        <v>2927</v>
      </c>
      <c r="M440" s="7" t="s">
        <v>24</v>
      </c>
      <c r="N440" s="7" t="s">
        <v>24</v>
      </c>
      <c r="O440" s="197" t="str">
        <f>HYPERLINK("https://leetcode.com/problems/amount-of-time-for-binary-tree-to-be-infected/","https://leetcode.com/problems/amount-of-time-for-binary-tree-to-be-infected/")</f>
        <v>https://leetcode.com/problems/amount-of-time-for-binary-tree-to-be-infected/</v>
      </c>
    </row>
    <row r="441" spans="1:15" ht="31.5" customHeight="1" x14ac:dyDescent="0.2">
      <c r="A441" s="155">
        <v>436</v>
      </c>
      <c r="B441" s="155">
        <v>3010</v>
      </c>
      <c r="C441" s="156" t="s">
        <v>3090</v>
      </c>
      <c r="D441" s="157" t="s">
        <v>4759</v>
      </c>
      <c r="E441" s="159" t="s">
        <v>20</v>
      </c>
      <c r="F441" s="157" t="s">
        <v>318</v>
      </c>
      <c r="G441" s="157" t="s">
        <v>3091</v>
      </c>
      <c r="H441" s="155">
        <f>IFERROR(VLOOKUP(B443,'📊 Problem Tracker'!$B$4:$F$1200,5,FALSE()),"")</f>
        <v>0</v>
      </c>
      <c r="I441" s="155"/>
      <c r="J441" s="155"/>
      <c r="K441" s="157"/>
      <c r="L441" s="228" t="s">
        <v>3092</v>
      </c>
      <c r="M441" s="7" t="s">
        <v>24</v>
      </c>
      <c r="N441" s="7" t="s">
        <v>47</v>
      </c>
      <c r="O441" s="198" t="str">
        <f>HYPERLINK("https://leetcode.com/problems/divide-an-array-into-subarrays-with-minimum-cost-i/","https://leetcode.com/problems/divide-an-array-into-subarrays-with-minimum-cost-i/")</f>
        <v>https://leetcode.com/problems/divide-an-array-into-subarrays-with-minimum-cost-i/</v>
      </c>
    </row>
    <row r="442" spans="1:15" ht="31.5" customHeight="1" x14ac:dyDescent="0.2">
      <c r="A442" s="151">
        <v>437</v>
      </c>
      <c r="B442" s="151">
        <v>3013</v>
      </c>
      <c r="C442" s="152" t="s">
        <v>3094</v>
      </c>
      <c r="D442" s="153" t="s">
        <v>4566</v>
      </c>
      <c r="E442" s="162" t="s">
        <v>42</v>
      </c>
      <c r="F442" s="153" t="s">
        <v>41</v>
      </c>
      <c r="G442" s="153" t="s">
        <v>512</v>
      </c>
      <c r="H442" s="151">
        <f>IFERROR(VLOOKUP(B444,'📊 Problem Tracker'!$B$4:$F$1200,5,FALSE()),"")</f>
        <v>0</v>
      </c>
      <c r="I442" s="151"/>
      <c r="J442" s="151"/>
      <c r="K442" s="153"/>
      <c r="L442" s="228" t="s">
        <v>3096</v>
      </c>
      <c r="M442" s="7" t="s">
        <v>326</v>
      </c>
      <c r="N442" s="7" t="s">
        <v>24</v>
      </c>
      <c r="O442" s="197" t="str">
        <f>HYPERLINK("https://leetcode.com/problems/divide-an-array-into-subarrays-with-minimum-cost-ii/","https://leetcode.com/problems/divide-an-array-into-subarrays-with-minimum-cost-ii/")</f>
        <v>https://leetcode.com/problems/divide-an-array-into-subarrays-with-minimum-cost-ii/</v>
      </c>
    </row>
    <row r="443" spans="1:15" ht="31.5" customHeight="1" x14ac:dyDescent="0.2">
      <c r="A443" s="155">
        <v>438</v>
      </c>
      <c r="B443" s="155">
        <v>3637</v>
      </c>
      <c r="C443" s="156" t="s">
        <v>3233</v>
      </c>
      <c r="D443" s="157" t="s">
        <v>4656</v>
      </c>
      <c r="E443" s="159" t="s">
        <v>20</v>
      </c>
      <c r="F443" s="157" t="s">
        <v>376</v>
      </c>
      <c r="G443" s="157" t="s">
        <v>62</v>
      </c>
      <c r="H443" s="155">
        <f>IFERROR(VLOOKUP(B445,'📊 Problem Tracker'!$B$4:$F$1200,5,FALSE()),"")</f>
        <v>0</v>
      </c>
      <c r="I443" s="155"/>
      <c r="J443" s="155"/>
      <c r="K443" s="157"/>
      <c r="L443" s="228" t="s">
        <v>3235</v>
      </c>
      <c r="M443" s="7" t="s">
        <v>24</v>
      </c>
      <c r="N443" s="7" t="s">
        <v>47</v>
      </c>
      <c r="O443" s="198" t="str">
        <f>HYPERLINK("https://leetcode.com/problems/trionic-array-i/","https://leetcode.com/problems/trionic-array-i/")</f>
        <v>https://leetcode.com/problems/trionic-array-i/</v>
      </c>
    </row>
    <row r="444" spans="1:15" ht="31.5" customHeight="1" x14ac:dyDescent="0.2">
      <c r="A444" s="151">
        <v>439</v>
      </c>
      <c r="B444" s="151">
        <v>2071</v>
      </c>
      <c r="C444" s="152" t="s">
        <v>2847</v>
      </c>
      <c r="D444" s="153" t="s">
        <v>4682</v>
      </c>
      <c r="E444" s="162" t="s">
        <v>42</v>
      </c>
      <c r="F444" s="153" t="s">
        <v>318</v>
      </c>
      <c r="G444" s="153" t="s">
        <v>3091</v>
      </c>
      <c r="H444" s="151">
        <f>IFERROR(VLOOKUP(B446,'📊 Problem Tracker'!$B$4:$F$1200,5,FALSE()),"")</f>
        <v>0</v>
      </c>
      <c r="I444" s="151"/>
      <c r="J444" s="151"/>
      <c r="K444" s="153"/>
      <c r="L444" s="228" t="s">
        <v>2849</v>
      </c>
      <c r="M444" s="7" t="s">
        <v>2850</v>
      </c>
      <c r="N444" s="7" t="s">
        <v>24</v>
      </c>
      <c r="O444" s="197" t="str">
        <f>HYPERLINK("https://leetcode.com/problems/maximum-number-of-tasks-you-can-assign/","https://leetcode.com/problems/maximum-number-of-tasks-you-can-assign/")</f>
        <v>https://leetcode.com/problems/maximum-number-of-tasks-you-can-assign/</v>
      </c>
    </row>
    <row r="445" spans="1:15" ht="31.5" customHeight="1" x14ac:dyDescent="0.2">
      <c r="A445" s="155">
        <v>440</v>
      </c>
      <c r="B445" s="155">
        <v>363</v>
      </c>
      <c r="C445" s="156" t="s">
        <v>1303</v>
      </c>
      <c r="D445" s="157" t="s">
        <v>4685</v>
      </c>
      <c r="E445" s="161" t="s">
        <v>42</v>
      </c>
      <c r="F445" s="157" t="s">
        <v>416</v>
      </c>
      <c r="G445" s="157" t="s">
        <v>5016</v>
      </c>
      <c r="H445" s="155">
        <f>IFERROR(VLOOKUP(B447,'📊 Problem Tracker'!$B$4:$F$1200,5,FALSE()),"")</f>
        <v>0</v>
      </c>
      <c r="I445" s="155"/>
      <c r="J445" s="155"/>
      <c r="K445" s="157"/>
      <c r="L445" s="228" t="s">
        <v>1305</v>
      </c>
      <c r="M445" s="7" t="s">
        <v>1306</v>
      </c>
      <c r="N445" s="7" t="s">
        <v>1307</v>
      </c>
      <c r="O445" s="198" t="str">
        <f>HYPERLINK("https://leetcode.com/problems/max-sum-of-rectangle-no-larger-than-k/","https://leetcode.com/problems/max-sum-of-rectangle-no-larger-than-k/")</f>
        <v>https://leetcode.com/problems/max-sum-of-rectangle-no-larger-than-k/</v>
      </c>
    </row>
    <row r="446" spans="1:15" ht="31.5" customHeight="1" x14ac:dyDescent="0.2">
      <c r="A446" s="151">
        <v>441</v>
      </c>
      <c r="B446" s="151">
        <v>419</v>
      </c>
      <c r="C446" s="152" t="s">
        <v>1414</v>
      </c>
      <c r="D446" s="153" t="s">
        <v>4868</v>
      </c>
      <c r="E446" s="154" t="s">
        <v>28</v>
      </c>
      <c r="F446" s="153" t="s">
        <v>283</v>
      </c>
      <c r="G446" s="153" t="s">
        <v>4187</v>
      </c>
      <c r="H446" s="151">
        <f>IFERROR(VLOOKUP(B448,'📊 Problem Tracker'!$B$4:$F$1200,5,FALSE()),"")</f>
        <v>0</v>
      </c>
      <c r="I446" s="151"/>
      <c r="J446" s="151"/>
      <c r="K446" s="153"/>
      <c r="L446" s="228" t="s">
        <v>654</v>
      </c>
      <c r="M446" s="7" t="s">
        <v>81</v>
      </c>
      <c r="N446" s="7" t="s">
        <v>81</v>
      </c>
      <c r="O446" s="197" t="str">
        <f>HYPERLINK("https://leetcode.com/problems/battleships-in-a-board/","https://leetcode.com/problems/battleships-in-a-board/")</f>
        <v>https://leetcode.com/problems/battleships-in-a-board/</v>
      </c>
    </row>
    <row r="447" spans="1:15" ht="31.5" customHeight="1" x14ac:dyDescent="0.2">
      <c r="A447" s="155">
        <v>442</v>
      </c>
      <c r="B447" s="155">
        <v>1863</v>
      </c>
      <c r="C447" s="156" t="s">
        <v>2747</v>
      </c>
      <c r="D447" s="157" t="s">
        <v>5017</v>
      </c>
      <c r="E447" s="159" t="s">
        <v>20</v>
      </c>
      <c r="F447" s="157" t="s">
        <v>660</v>
      </c>
      <c r="G447" s="157" t="s">
        <v>666</v>
      </c>
      <c r="H447" s="155">
        <f>IFERROR(VLOOKUP(B449,'📊 Problem Tracker'!$B$4:$F$1200,5,FALSE()),"")</f>
        <v>0</v>
      </c>
      <c r="I447" s="155"/>
      <c r="J447" s="155"/>
      <c r="K447" s="157"/>
      <c r="L447" s="228" t="s">
        <v>2749</v>
      </c>
      <c r="M447" s="7" t="s">
        <v>24</v>
      </c>
      <c r="N447" s="7" t="s">
        <v>47</v>
      </c>
      <c r="O447" s="198" t="str">
        <f>HYPERLINK("https://leetcode.com/problems/sum-of-all-subset-xor-totals/","https://leetcode.com/problems/sum-of-all-subset-xor-totals/")</f>
        <v>https://leetcode.com/problems/sum-of-all-subset-xor-totals/</v>
      </c>
    </row>
    <row r="448" spans="1:15" ht="31.5" customHeight="1" x14ac:dyDescent="0.2">
      <c r="A448" s="151">
        <v>443</v>
      </c>
      <c r="B448" s="151">
        <v>3379</v>
      </c>
      <c r="C448" s="152" t="s">
        <v>3157</v>
      </c>
      <c r="D448" s="153" t="s">
        <v>5018</v>
      </c>
      <c r="E448" s="160" t="s">
        <v>20</v>
      </c>
      <c r="F448" s="153" t="s">
        <v>376</v>
      </c>
      <c r="G448" s="153" t="s">
        <v>4986</v>
      </c>
      <c r="H448" s="151">
        <f>IFERROR(VLOOKUP(B450,'📊 Problem Tracker'!$B$4:$F$1200,5,FALSE()),"")</f>
        <v>0</v>
      </c>
      <c r="I448" s="151"/>
      <c r="J448" s="151"/>
      <c r="K448" s="153"/>
      <c r="L448" s="228" t="s">
        <v>3159</v>
      </c>
      <c r="M448" s="7" t="s">
        <v>24</v>
      </c>
      <c r="N448" s="7" t="s">
        <v>24</v>
      </c>
      <c r="O448" s="197" t="str">
        <f>HYPERLINK("https://leetcode.com/problems/transformed-array/","https://leetcode.com/problems/transformed-array/")</f>
        <v>https://leetcode.com/problems/transformed-array/</v>
      </c>
    </row>
    <row r="449" spans="1:15" ht="31.5" customHeight="1" x14ac:dyDescent="0.2">
      <c r="A449" s="155">
        <v>444</v>
      </c>
      <c r="B449" s="155">
        <v>1729</v>
      </c>
      <c r="C449" s="156" t="s">
        <v>2675</v>
      </c>
      <c r="D449" s="157" t="s">
        <v>4506</v>
      </c>
      <c r="E449" s="159" t="s">
        <v>20</v>
      </c>
      <c r="F449" s="157" t="s">
        <v>796</v>
      </c>
      <c r="G449" s="157" t="s">
        <v>796</v>
      </c>
      <c r="H449" s="155">
        <f>IFERROR(VLOOKUP(B451,'📊 Problem Tracker'!$B$4:$F$1200,5,FALSE()),"")</f>
        <v>0</v>
      </c>
      <c r="I449" s="155"/>
      <c r="J449" s="155"/>
      <c r="K449" s="157"/>
      <c r="L449" s="228" t="s">
        <v>2677</v>
      </c>
      <c r="M449" s="7" t="s">
        <v>24</v>
      </c>
      <c r="N449" s="7" t="s">
        <v>24</v>
      </c>
      <c r="O449" s="198" t="str">
        <f>HYPERLINK("https://leetcode.com/problems/find-followers-count/","https://leetcode.com/problems/find-followers-count/")</f>
        <v>https://leetcode.com/problems/find-followers-count/</v>
      </c>
    </row>
    <row r="450" spans="1:15" ht="31.5" customHeight="1" x14ac:dyDescent="0.2">
      <c r="A450" s="151">
        <v>445</v>
      </c>
      <c r="B450" s="151">
        <v>599</v>
      </c>
      <c r="C450" s="152" t="s">
        <v>1651</v>
      </c>
      <c r="D450" s="153" t="s">
        <v>4535</v>
      </c>
      <c r="E450" s="160" t="s">
        <v>20</v>
      </c>
      <c r="F450" s="153" t="s">
        <v>19</v>
      </c>
      <c r="G450" s="153" t="s">
        <v>4244</v>
      </c>
      <c r="H450" s="151">
        <f>IFERROR(VLOOKUP(B452,'📊 Problem Tracker'!$B$4:$F$1200,5,FALSE()),"")</f>
        <v>0</v>
      </c>
      <c r="I450" s="151"/>
      <c r="J450" s="151"/>
      <c r="K450" s="153"/>
      <c r="L450" s="228" t="s">
        <v>1653</v>
      </c>
      <c r="M450" s="7" t="s">
        <v>1285</v>
      </c>
      <c r="N450" s="7" t="s">
        <v>24</v>
      </c>
      <c r="O450" s="197" t="str">
        <f>HYPERLINK("https://leetcode.com/problems/minimum-index-sum-of-two-lists/","https://leetcode.com/problems/minimum-index-sum-of-two-lists/")</f>
        <v>https://leetcode.com/problems/minimum-index-sum-of-two-lists/</v>
      </c>
    </row>
    <row r="451" spans="1:15" ht="31.5" customHeight="1" x14ac:dyDescent="0.2">
      <c r="A451" s="155">
        <v>446</v>
      </c>
      <c r="B451" s="155">
        <v>1895</v>
      </c>
      <c r="C451" s="156" t="s">
        <v>2763</v>
      </c>
      <c r="D451" s="157" t="s">
        <v>5019</v>
      </c>
      <c r="E451" s="158" t="s">
        <v>28</v>
      </c>
      <c r="F451" s="157" t="s">
        <v>283</v>
      </c>
      <c r="G451" s="157" t="s">
        <v>4187</v>
      </c>
      <c r="H451" s="155">
        <f>IFERROR(VLOOKUP(B453,'📊 Problem Tracker'!$B$4:$F$1200,5,FALSE()),"")</f>
        <v>0</v>
      </c>
      <c r="I451" s="155"/>
      <c r="J451" s="155"/>
      <c r="K451" s="157"/>
      <c r="L451" s="228" t="s">
        <v>2764</v>
      </c>
      <c r="M451" s="7" t="s">
        <v>1175</v>
      </c>
      <c r="N451" s="7" t="s">
        <v>341</v>
      </c>
      <c r="O451" s="198" t="str">
        <f>HYPERLINK("https://leetcode.com/problems/largest-magic-square/","https://leetcode.com/problems/largest-magic-square/")</f>
        <v>https://leetcode.com/problems/largest-magic-square/</v>
      </c>
    </row>
    <row r="452" spans="1:15" ht="31.5" customHeight="1" x14ac:dyDescent="0.2">
      <c r="A452" s="151">
        <v>447</v>
      </c>
      <c r="B452" s="151">
        <v>1382</v>
      </c>
      <c r="C452" s="152" t="s">
        <v>2447</v>
      </c>
      <c r="D452" s="153" t="s">
        <v>5020</v>
      </c>
      <c r="E452" s="154" t="s">
        <v>28</v>
      </c>
      <c r="F452" s="153" t="s">
        <v>518</v>
      </c>
      <c r="G452" s="153" t="s">
        <v>4950</v>
      </c>
      <c r="H452" s="151">
        <f>IFERROR(VLOOKUP(B454,'📊 Problem Tracker'!$B$4:$F$1200,5,FALSE()),"")</f>
        <v>0</v>
      </c>
      <c r="I452" s="151"/>
      <c r="J452" s="151"/>
      <c r="K452" s="153"/>
      <c r="L452" s="228" t="s">
        <v>513</v>
      </c>
      <c r="M452" s="7" t="s">
        <v>65</v>
      </c>
      <c r="N452" s="7" t="s">
        <v>47</v>
      </c>
      <c r="O452" s="197" t="str">
        <f>HYPERLINK("https://leetcode.com/problems/balance-a-binary-search-tree/","https://leetcode.com/problems/balance-a-binary-search-tree/")</f>
        <v>https://leetcode.com/problems/balance-a-binary-search-tree/</v>
      </c>
    </row>
    <row r="453" spans="1:15" ht="31.5" customHeight="1" x14ac:dyDescent="0.2">
      <c r="A453" s="155">
        <v>448</v>
      </c>
      <c r="B453" s="155">
        <v>395</v>
      </c>
      <c r="C453" s="156" t="s">
        <v>1367</v>
      </c>
      <c r="D453" s="157" t="s">
        <v>5021</v>
      </c>
      <c r="E453" s="158" t="s">
        <v>28</v>
      </c>
      <c r="F453" s="157" t="s">
        <v>35</v>
      </c>
      <c r="G453" s="157" t="s">
        <v>917</v>
      </c>
      <c r="H453" s="155">
        <f>IFERROR(VLOOKUP(B455,'📊 Problem Tracker'!$B$4:$F$1200,5,FALSE()),"")</f>
        <v>0</v>
      </c>
      <c r="I453" s="155"/>
      <c r="J453" s="155"/>
      <c r="K453" s="157"/>
      <c r="L453" s="228" t="s">
        <v>1369</v>
      </c>
      <c r="M453" s="7" t="s">
        <v>1370</v>
      </c>
      <c r="N453" s="7" t="s">
        <v>1371</v>
      </c>
      <c r="O453" s="198" t="str">
        <f>HYPERLINK("https://leetcode.com/problems/longest-substring-with-at-least-k-repeating-characters/","https://leetcode.com/problems/longest-substring-with-at-least-k-repeating-characters/")</f>
        <v>https://leetcode.com/problems/longest-substring-with-at-least-k-repeating-characters/</v>
      </c>
    </row>
    <row r="454" spans="1:15" ht="31.5" customHeight="1" x14ac:dyDescent="0.2">
      <c r="A454" s="151">
        <v>449</v>
      </c>
      <c r="B454" s="151">
        <v>269</v>
      </c>
      <c r="C454" s="152" t="s">
        <v>1063</v>
      </c>
      <c r="D454" s="153" t="s">
        <v>4750</v>
      </c>
      <c r="E454" s="162" t="s">
        <v>42</v>
      </c>
      <c r="F454" s="153" t="s">
        <v>904</v>
      </c>
      <c r="G454" s="153" t="s">
        <v>4282</v>
      </c>
      <c r="H454" s="151">
        <f>IFERROR(VLOOKUP(B456,'📊 Problem Tracker'!$B$4:$F$1200,5,FALSE()),"")</f>
        <v>0</v>
      </c>
      <c r="I454" s="151"/>
      <c r="J454" s="151"/>
      <c r="K454" s="153"/>
      <c r="L454" s="228" t="s">
        <v>619</v>
      </c>
      <c r="M454" s="7" t="s">
        <v>1065</v>
      </c>
      <c r="N454" s="7" t="s">
        <v>47</v>
      </c>
      <c r="O454" s="197" t="str">
        <f>HYPERLINK("https://leetcode.com/problems/alien-dictionary/","https://leetcode.com/problems/alien-dictionary/")</f>
        <v>https://leetcode.com/problems/alien-dictionary/</v>
      </c>
    </row>
    <row r="455" spans="1:15" ht="31.5" customHeight="1" x14ac:dyDescent="0.2">
      <c r="A455" s="155">
        <v>450</v>
      </c>
      <c r="B455" s="155">
        <v>3634</v>
      </c>
      <c r="C455" s="156" t="s">
        <v>5022</v>
      </c>
      <c r="D455" s="157" t="s">
        <v>4845</v>
      </c>
      <c r="E455" s="158" t="s">
        <v>28</v>
      </c>
      <c r="F455" s="157" t="s">
        <v>1472</v>
      </c>
      <c r="G455" s="157" t="s">
        <v>540</v>
      </c>
      <c r="H455" s="155">
        <f>IFERROR(VLOOKUP(B457,'📊 Problem Tracker'!$B$4:$F$1200,5,FALSE()),"")</f>
        <v>0</v>
      </c>
      <c r="I455" s="155"/>
      <c r="J455" s="155"/>
      <c r="K455" s="157"/>
      <c r="L455" s="228" t="s">
        <v>3231</v>
      </c>
      <c r="M455" s="7" t="s">
        <v>24</v>
      </c>
      <c r="N455" s="7" t="s">
        <v>24</v>
      </c>
      <c r="O455" s="198" t="str">
        <f>HYPERLINK("https://leetcode.com/problems/minimum-removals-to-balance-array/","https://leetcode.com/problems/minimum-removals-to-balance-array/")</f>
        <v>https://leetcode.com/problems/minimum-removals-to-balance-array/</v>
      </c>
    </row>
    <row r="456" spans="1:15" ht="31.5" customHeight="1" x14ac:dyDescent="0.2">
      <c r="A456" s="151">
        <v>451</v>
      </c>
      <c r="B456" s="151">
        <v>3719</v>
      </c>
      <c r="C456" s="152" t="s">
        <v>3273</v>
      </c>
      <c r="D456" s="153" t="s">
        <v>4825</v>
      </c>
      <c r="E456" s="154" t="s">
        <v>28</v>
      </c>
      <c r="F456" s="153" t="s">
        <v>84</v>
      </c>
      <c r="G456" s="153" t="s">
        <v>689</v>
      </c>
      <c r="H456" s="151">
        <f>IFERROR(VLOOKUP(B458,'📊 Problem Tracker'!$B$4:$F$1200,5,FALSE()),"")</f>
        <v>0</v>
      </c>
      <c r="I456" s="151"/>
      <c r="J456" s="151"/>
      <c r="K456" s="153"/>
      <c r="L456" s="228" t="s">
        <v>3275</v>
      </c>
      <c r="M456" s="7" t="s">
        <v>24</v>
      </c>
      <c r="N456" s="7" t="s">
        <v>24</v>
      </c>
      <c r="O456" s="197" t="str">
        <f>HYPERLINK("https://leetcode.com/problems/longest-balanced-subarray-i/","https://leetcode.com/problems/longest-balanced-subarray-i/")</f>
        <v>https://leetcode.com/problems/longest-balanced-subarray-i/</v>
      </c>
    </row>
    <row r="457" spans="1:15" ht="31.5" customHeight="1" x14ac:dyDescent="0.2">
      <c r="A457" s="155">
        <v>452</v>
      </c>
      <c r="B457" s="155">
        <v>726</v>
      </c>
      <c r="C457" s="156" t="s">
        <v>1818</v>
      </c>
      <c r="D457" s="157" t="s">
        <v>4665</v>
      </c>
      <c r="E457" s="161" t="s">
        <v>42</v>
      </c>
      <c r="F457" s="157" t="s">
        <v>1819</v>
      </c>
      <c r="G457" s="157" t="s">
        <v>5023</v>
      </c>
      <c r="H457" s="155">
        <f>IFERROR(VLOOKUP(B459,'📊 Problem Tracker'!$B$4:$F$1200,5,FALSE()),"")</f>
        <v>0</v>
      </c>
      <c r="I457" s="155"/>
      <c r="J457" s="155"/>
      <c r="K457" s="157"/>
      <c r="L457" s="228" t="s">
        <v>1821</v>
      </c>
      <c r="M457" s="7" t="s">
        <v>341</v>
      </c>
      <c r="N457" s="7" t="s">
        <v>24</v>
      </c>
      <c r="O457" s="198" t="str">
        <f>HYPERLINK("https://leetcode.com/problems/number-of-atoms/","https://leetcode.com/problems/number-of-atoms/")</f>
        <v>https://leetcode.com/problems/number-of-atoms/</v>
      </c>
    </row>
    <row r="458" spans="1:15" ht="31.5" customHeight="1" x14ac:dyDescent="0.2">
      <c r="A458" s="151">
        <v>453</v>
      </c>
      <c r="B458" s="151">
        <v>86</v>
      </c>
      <c r="C458" s="152" t="s">
        <v>475</v>
      </c>
      <c r="D458" s="153" t="s">
        <v>4523</v>
      </c>
      <c r="E458" s="154" t="s">
        <v>28</v>
      </c>
      <c r="F458" s="153" t="s">
        <v>127</v>
      </c>
      <c r="G458" s="153" t="s">
        <v>127</v>
      </c>
      <c r="H458" s="151">
        <f>IFERROR(VLOOKUP(B460,'📊 Problem Tracker'!$B$4:$F$1200,5,FALSE()),"")</f>
        <v>0</v>
      </c>
      <c r="I458" s="151"/>
      <c r="J458" s="151"/>
      <c r="K458" s="153"/>
      <c r="L458" s="228" t="s">
        <v>477</v>
      </c>
      <c r="M458" s="7" t="s">
        <v>24</v>
      </c>
      <c r="N458" s="7" t="s">
        <v>47</v>
      </c>
      <c r="O458" s="197" t="str">
        <f>HYPERLINK("https://leetcode.com/problems/partition-list/","https://leetcode.com/problems/partition-list/")</f>
        <v>https://leetcode.com/problems/partition-list/</v>
      </c>
    </row>
    <row r="459" spans="1:15" ht="31.5" customHeight="1" x14ac:dyDescent="0.2">
      <c r="A459" s="155">
        <v>454</v>
      </c>
      <c r="B459" s="155">
        <v>1043</v>
      </c>
      <c r="C459" s="156" t="s">
        <v>2202</v>
      </c>
      <c r="D459" s="157" t="s">
        <v>4917</v>
      </c>
      <c r="E459" s="158" t="s">
        <v>28</v>
      </c>
      <c r="F459" s="157" t="s">
        <v>309</v>
      </c>
      <c r="G459" s="157" t="s">
        <v>1042</v>
      </c>
      <c r="H459" s="155">
        <f>IFERROR(VLOOKUP(B461,'📊 Problem Tracker'!$B$4:$F$1200,5,FALSE()),"")</f>
        <v>0</v>
      </c>
      <c r="I459" s="155"/>
      <c r="J459" s="155"/>
      <c r="K459" s="157"/>
      <c r="L459" s="228" t="s">
        <v>2204</v>
      </c>
      <c r="M459" s="7" t="s">
        <v>2205</v>
      </c>
      <c r="N459" s="7" t="s">
        <v>24</v>
      </c>
      <c r="O459" s="198" t="str">
        <f>HYPERLINK("https://leetcode.com/problems/partition-array-for-maximum-sum/","https://leetcode.com/problems/partition-array-for-maximum-sum/")</f>
        <v>https://leetcode.com/problems/partition-array-for-maximum-sum/</v>
      </c>
    </row>
    <row r="460" spans="1:15" ht="31.5" customHeight="1" x14ac:dyDescent="0.2">
      <c r="A460" s="151">
        <v>455</v>
      </c>
      <c r="B460" s="151">
        <v>1700</v>
      </c>
      <c r="C460" s="152" t="s">
        <v>2662</v>
      </c>
      <c r="D460" s="153" t="s">
        <v>5005</v>
      </c>
      <c r="E460" s="160" t="s">
        <v>20</v>
      </c>
      <c r="F460" s="153" t="s">
        <v>1472</v>
      </c>
      <c r="G460" s="153" t="s">
        <v>540</v>
      </c>
      <c r="H460" s="151">
        <f>IFERROR(VLOOKUP(B462,'📊 Problem Tracker'!$B$4:$F$1200,5,FALSE()),"")</f>
        <v>0</v>
      </c>
      <c r="I460" s="151"/>
      <c r="J460" s="151"/>
      <c r="K460" s="153"/>
      <c r="L460" s="228" t="s">
        <v>2664</v>
      </c>
      <c r="M460" s="7" t="s">
        <v>24</v>
      </c>
      <c r="N460" s="7" t="s">
        <v>47</v>
      </c>
      <c r="O460" s="197" t="str">
        <f>HYPERLINK("https://leetcode.com/problems/number-of-students-unable-to-eat-lunch/","https://leetcode.com/problems/number-of-students-unable-to-eat-lunch/")</f>
        <v>https://leetcode.com/problems/number-of-students-unable-to-eat-lunch/</v>
      </c>
    </row>
    <row r="461" spans="1:15" ht="31.5" customHeight="1" x14ac:dyDescent="0.2">
      <c r="A461" s="155">
        <v>456</v>
      </c>
      <c r="B461" s="155">
        <v>3721</v>
      </c>
      <c r="C461" s="156" t="s">
        <v>3280</v>
      </c>
      <c r="D461" s="157" t="s">
        <v>5024</v>
      </c>
      <c r="E461" s="161" t="s">
        <v>42</v>
      </c>
      <c r="F461" s="157" t="s">
        <v>84</v>
      </c>
      <c r="G461" s="157" t="s">
        <v>689</v>
      </c>
      <c r="H461" s="155">
        <f>IFERROR(VLOOKUP(B463,'📊 Problem Tracker'!$B$4:$F$1200,5,FALSE()),"")</f>
        <v>0</v>
      </c>
      <c r="I461" s="155"/>
      <c r="J461" s="155"/>
      <c r="K461" s="157"/>
      <c r="L461" s="228" t="s">
        <v>3282</v>
      </c>
      <c r="M461" s="7" t="s">
        <v>24</v>
      </c>
      <c r="N461" s="7" t="s">
        <v>24</v>
      </c>
      <c r="O461" s="198" t="str">
        <f>HYPERLINK("https://leetcode.com/problems/longest-balanced-subarray-ii/","https://leetcode.com/problems/longest-balanced-subarray-ii/")</f>
        <v>https://leetcode.com/problems/longest-balanced-subarray-ii/</v>
      </c>
    </row>
    <row r="462" spans="1:15" ht="31.5" customHeight="1" x14ac:dyDescent="0.2">
      <c r="A462" s="151">
        <v>457</v>
      </c>
      <c r="B462" s="151">
        <v>530</v>
      </c>
      <c r="C462" s="152" t="s">
        <v>1568</v>
      </c>
      <c r="D462" s="153" t="s">
        <v>4474</v>
      </c>
      <c r="E462" s="160" t="s">
        <v>20</v>
      </c>
      <c r="F462" s="153" t="s">
        <v>518</v>
      </c>
      <c r="G462" s="153" t="s">
        <v>4950</v>
      </c>
      <c r="H462" s="151">
        <f>IFERROR(VLOOKUP(B464,'📊 Problem Tracker'!$B$4:$F$1200,5,FALSE()),"")</f>
        <v>0</v>
      </c>
      <c r="I462" s="151"/>
      <c r="J462" s="151"/>
      <c r="K462" s="153"/>
      <c r="L462" s="228" t="s">
        <v>1570</v>
      </c>
      <c r="M462" s="7" t="s">
        <v>24</v>
      </c>
      <c r="N462" s="7" t="s">
        <v>503</v>
      </c>
      <c r="O462" s="197" t="str">
        <f>HYPERLINK("https://leetcode.com/problems/minimum-absolute-difference-in-bst/","https://leetcode.com/problems/minimum-absolute-difference-in-bst/")</f>
        <v>https://leetcode.com/problems/minimum-absolute-difference-in-bst/</v>
      </c>
    </row>
    <row r="463" spans="1:15" ht="31.5" customHeight="1" x14ac:dyDescent="0.2">
      <c r="A463" s="155">
        <v>458</v>
      </c>
      <c r="B463" s="155">
        <v>977</v>
      </c>
      <c r="C463" s="156" t="s">
        <v>2122</v>
      </c>
      <c r="D463" s="157" t="s">
        <v>4705</v>
      </c>
      <c r="E463" s="159" t="s">
        <v>20</v>
      </c>
      <c r="F463" s="157" t="s">
        <v>84</v>
      </c>
      <c r="G463" s="157" t="s">
        <v>689</v>
      </c>
      <c r="H463" s="155">
        <f>IFERROR(VLOOKUP(B465,'📊 Problem Tracker'!$B$4:$F$1200,5,FALSE()),"")</f>
        <v>0</v>
      </c>
      <c r="I463" s="155"/>
      <c r="J463" s="155"/>
      <c r="K463" s="157"/>
      <c r="L463" s="228" t="s">
        <v>690</v>
      </c>
      <c r="M463" s="7" t="s">
        <v>326</v>
      </c>
      <c r="N463" s="7" t="s">
        <v>24</v>
      </c>
      <c r="O463" s="198" t="str">
        <f>HYPERLINK("https://leetcode.com/problems/squares-of-a-sorted-array/","https://leetcode.com/problems/squares-of-a-sorted-array/")</f>
        <v>https://leetcode.com/problems/squares-of-a-sorted-array/</v>
      </c>
    </row>
    <row r="464" spans="1:15" ht="31.5" customHeight="1" x14ac:dyDescent="0.2">
      <c r="A464" s="151">
        <v>459</v>
      </c>
      <c r="B464" s="151">
        <v>912</v>
      </c>
      <c r="C464" s="152" t="s">
        <v>2058</v>
      </c>
      <c r="D464" s="153" t="s">
        <v>4626</v>
      </c>
      <c r="E464" s="154" t="s">
        <v>28</v>
      </c>
      <c r="F464" s="153" t="s">
        <v>1075</v>
      </c>
      <c r="G464" s="153" t="s">
        <v>4249</v>
      </c>
      <c r="H464" s="151">
        <f>IFERROR(VLOOKUP(B466,'📊 Problem Tracker'!$B$4:$F$1200,5,FALSE()),"")</f>
        <v>0</v>
      </c>
      <c r="I464" s="151"/>
      <c r="J464" s="151"/>
      <c r="K464" s="153"/>
      <c r="L464" s="228" t="s">
        <v>1077</v>
      </c>
      <c r="M464" s="7" t="s">
        <v>326</v>
      </c>
      <c r="N464" s="7" t="s">
        <v>24</v>
      </c>
      <c r="O464" s="197" t="str">
        <f>HYPERLINK("https://leetcode.com/problems/sort-an-array/","https://leetcode.com/problems/sort-an-array/")</f>
        <v>https://leetcode.com/problems/sort-an-array/</v>
      </c>
    </row>
    <row r="465" spans="1:15" ht="31.5" customHeight="1" x14ac:dyDescent="0.2">
      <c r="A465" s="155">
        <v>460</v>
      </c>
      <c r="B465" s="155">
        <v>3713</v>
      </c>
      <c r="C465" s="156" t="s">
        <v>3267</v>
      </c>
      <c r="D465" s="157" t="s">
        <v>4633</v>
      </c>
      <c r="E465" s="158" t="s">
        <v>28</v>
      </c>
      <c r="F465" s="157" t="s">
        <v>611</v>
      </c>
      <c r="G465" s="157" t="s">
        <v>689</v>
      </c>
      <c r="H465" s="155">
        <f>IFERROR(VLOOKUP(B467,'📊 Problem Tracker'!$B$4:$F$1200,5,FALSE()),"")</f>
        <v>0</v>
      </c>
      <c r="I465" s="155"/>
      <c r="J465" s="155"/>
      <c r="K465" s="157"/>
      <c r="L465" s="228" t="s">
        <v>3268</v>
      </c>
      <c r="M465" s="7" t="s">
        <v>24</v>
      </c>
      <c r="N465" s="7" t="s">
        <v>24</v>
      </c>
      <c r="O465" s="198" t="str">
        <f>HYPERLINK("https://leetcode.com/problems/longest-balanced-substring-i/","https://leetcode.com/problems/longest-balanced-substring-i/")</f>
        <v>https://leetcode.com/problems/longest-balanced-substring-i/</v>
      </c>
    </row>
    <row r="466" spans="1:15" ht="31.5" customHeight="1" x14ac:dyDescent="0.2">
      <c r="A466" s="151">
        <v>461</v>
      </c>
      <c r="B466" s="151">
        <v>3714</v>
      </c>
      <c r="C466" s="152" t="s">
        <v>3270</v>
      </c>
      <c r="D466" s="153" t="s">
        <v>4638</v>
      </c>
      <c r="E466" s="154" t="s">
        <v>28</v>
      </c>
      <c r="F466" s="153" t="s">
        <v>611</v>
      </c>
      <c r="G466" s="153" t="s">
        <v>689</v>
      </c>
      <c r="H466" s="151">
        <f>IFERROR(VLOOKUP(B468,'📊 Problem Tracker'!$B$4:$F$1200,5,FALSE()),"")</f>
        <v>0</v>
      </c>
      <c r="I466" s="151"/>
      <c r="J466" s="151"/>
      <c r="K466" s="153"/>
      <c r="L466" s="228" t="s">
        <v>3271</v>
      </c>
      <c r="M466" s="7" t="s">
        <v>24</v>
      </c>
      <c r="N466" s="7" t="s">
        <v>24</v>
      </c>
      <c r="O466" s="197" t="str">
        <f>HYPERLINK("https://leetcode.com/problems/longest-balanced-substring-ii/","https://leetcode.com/problems/longest-balanced-substring-ii/")</f>
        <v>https://leetcode.com/problems/longest-balanced-substring-ii/</v>
      </c>
    </row>
    <row r="467" spans="1:15" ht="31.5" customHeight="1" x14ac:dyDescent="0.2">
      <c r="A467" s="155">
        <v>462</v>
      </c>
      <c r="B467" s="155">
        <v>799</v>
      </c>
      <c r="C467" s="156" t="s">
        <v>1924</v>
      </c>
      <c r="D467" s="157" t="s">
        <v>4650</v>
      </c>
      <c r="E467" s="158" t="s">
        <v>28</v>
      </c>
      <c r="F467" s="157" t="s">
        <v>309</v>
      </c>
      <c r="G467" s="157" t="s">
        <v>1042</v>
      </c>
      <c r="H467" s="155">
        <f>IFERROR(VLOOKUP(B469,'📊 Problem Tracker'!$B$4:$F$1200,5,FALSE()),"")</f>
        <v>0</v>
      </c>
      <c r="I467" s="155"/>
      <c r="J467" s="155"/>
      <c r="K467" s="157"/>
      <c r="L467" s="228" t="s">
        <v>1926</v>
      </c>
      <c r="M467" s="7" t="s">
        <v>1927</v>
      </c>
      <c r="N467" s="7" t="s">
        <v>1928</v>
      </c>
      <c r="O467" s="198" t="str">
        <f>HYPERLINK("https://leetcode.com/problems/champagne-tower/","https://leetcode.com/problems/champagne-tower/")</f>
        <v>https://leetcode.com/problems/champagne-tower/</v>
      </c>
    </row>
    <row r="468" spans="1:15" ht="31.5" customHeight="1" x14ac:dyDescent="0.2">
      <c r="A468" s="151">
        <v>463</v>
      </c>
      <c r="B468" s="151">
        <v>304</v>
      </c>
      <c r="C468" s="152" t="s">
        <v>1149</v>
      </c>
      <c r="D468" s="153" t="s">
        <v>4529</v>
      </c>
      <c r="E468" s="154" t="s">
        <v>28</v>
      </c>
      <c r="F468" s="153" t="s">
        <v>1150</v>
      </c>
      <c r="G468" s="153" t="s">
        <v>1151</v>
      </c>
      <c r="H468" s="151">
        <f>IFERROR(VLOOKUP(B470,'📊 Problem Tracker'!$B$4:$F$1200,5,FALSE()),"")</f>
        <v>0</v>
      </c>
      <c r="I468" s="151"/>
      <c r="J468" s="151"/>
      <c r="K468" s="153"/>
      <c r="L468" s="228" t="s">
        <v>1152</v>
      </c>
      <c r="M468" s="7" t="s">
        <v>1153</v>
      </c>
      <c r="N468" s="7" t="s">
        <v>363</v>
      </c>
      <c r="O468" s="197" t="str">
        <f>HYPERLINK("https://leetcode.com/problems/range-sum-query-2d-immutable/","https://leetcode.com/problems/range-sum-query-2d-immutable/")</f>
        <v>https://leetcode.com/problems/range-sum-query-2d-immutable/</v>
      </c>
    </row>
    <row r="469" spans="1:15" ht="31.5" customHeight="1" x14ac:dyDescent="0.2">
      <c r="A469" s="155">
        <v>464</v>
      </c>
      <c r="B469" s="155">
        <v>149</v>
      </c>
      <c r="C469" s="156" t="s">
        <v>702</v>
      </c>
      <c r="D469" s="157" t="s">
        <v>4560</v>
      </c>
      <c r="E469" s="161" t="s">
        <v>42</v>
      </c>
      <c r="F469" s="157" t="s">
        <v>703</v>
      </c>
      <c r="G469" s="157" t="s">
        <v>5025</v>
      </c>
      <c r="H469" s="155">
        <f>IFERROR(VLOOKUP(B471,'📊 Problem Tracker'!$B$4:$F$1200,5,FALSE()),"")</f>
        <v>0</v>
      </c>
      <c r="I469" s="155"/>
      <c r="J469" s="155"/>
      <c r="K469" s="157"/>
      <c r="L469" s="228" t="s">
        <v>705</v>
      </c>
      <c r="M469" s="7" t="s">
        <v>53</v>
      </c>
      <c r="N469" s="7" t="s">
        <v>24</v>
      </c>
      <c r="O469" s="198" t="str">
        <f>HYPERLINK("https://leetcode.com/problems/max-points-on-a-line/","https://leetcode.com/problems/max-points-on-a-line/")</f>
        <v>https://leetcode.com/problems/max-points-on-a-line/</v>
      </c>
    </row>
    <row r="470" spans="1:15" ht="31.5" customHeight="1" x14ac:dyDescent="0.2">
      <c r="A470" s="151">
        <v>465</v>
      </c>
      <c r="B470" s="151">
        <v>804</v>
      </c>
      <c r="C470" s="152" t="s">
        <v>1932</v>
      </c>
      <c r="D470" s="153" t="s">
        <v>5026</v>
      </c>
      <c r="E470" s="160" t="s">
        <v>20</v>
      </c>
      <c r="F470" s="153" t="s">
        <v>897</v>
      </c>
      <c r="G470" s="153" t="s">
        <v>4244</v>
      </c>
      <c r="H470" s="151">
        <f>IFERROR(VLOOKUP(B472,'📊 Problem Tracker'!$B$4:$F$1200,5,FALSE()),"")</f>
        <v>0</v>
      </c>
      <c r="I470" s="151"/>
      <c r="J470" s="151"/>
      <c r="K470" s="153"/>
      <c r="L470" s="228" t="s">
        <v>1934</v>
      </c>
      <c r="M470" s="7" t="s">
        <v>1935</v>
      </c>
      <c r="N470" s="7" t="s">
        <v>1935</v>
      </c>
      <c r="O470" s="197" t="str">
        <f>HYPERLINK("https://leetcode.com/problems/unique-morse-code-words/","https://leetcode.com/problems/unique-morse-code-words/")</f>
        <v>https://leetcode.com/problems/unique-morse-code-words/</v>
      </c>
    </row>
    <row r="471" spans="1:15" ht="31.5" customHeight="1" x14ac:dyDescent="0.2">
      <c r="A471" s="155">
        <v>466</v>
      </c>
      <c r="B471" s="155">
        <v>3796</v>
      </c>
      <c r="C471" s="156" t="s">
        <v>3306</v>
      </c>
      <c r="D471" s="157" t="s">
        <v>4848</v>
      </c>
      <c r="E471" s="158" t="s">
        <v>28</v>
      </c>
      <c r="F471" s="157" t="s">
        <v>309</v>
      </c>
      <c r="G471" s="157" t="s">
        <v>1042</v>
      </c>
      <c r="H471" s="155">
        <f>IFERROR(VLOOKUP(B473,'📊 Problem Tracker'!$B$4:$F$1200,5,FALSE()),"")</f>
        <v>0</v>
      </c>
      <c r="I471" s="155"/>
      <c r="J471" s="155"/>
      <c r="K471" s="157"/>
      <c r="L471" s="228" t="s">
        <v>3308</v>
      </c>
      <c r="M471" s="7" t="s">
        <v>24</v>
      </c>
      <c r="N471" s="7" t="s">
        <v>24</v>
      </c>
      <c r="O471" s="198" t="str">
        <f>HYPERLINK("https://leetcode.com/problems/find-maximum-value-in-a-constrained-sequence/","https://leetcode.com/problems/find-maximum-value-in-a-constrained-sequence/")</f>
        <v>https://leetcode.com/problems/find-maximum-value-in-a-constrained-sequence/</v>
      </c>
    </row>
    <row r="472" spans="1:15" ht="31.5" customHeight="1" x14ac:dyDescent="0.2">
      <c r="A472" s="151">
        <v>467</v>
      </c>
      <c r="B472" s="151">
        <v>2860</v>
      </c>
      <c r="C472" s="152" t="s">
        <v>3052</v>
      </c>
      <c r="D472" s="153" t="s">
        <v>4926</v>
      </c>
      <c r="E472" s="154" t="s">
        <v>28</v>
      </c>
      <c r="F472" s="153" t="s">
        <v>376</v>
      </c>
      <c r="G472" s="153" t="s">
        <v>62</v>
      </c>
      <c r="H472" s="151">
        <f>IFERROR(VLOOKUP(B474,'📊 Problem Tracker'!$B$4:$F$1200,5,FALSE()),"")</f>
        <v>0</v>
      </c>
      <c r="I472" s="151"/>
      <c r="J472" s="151"/>
      <c r="K472" s="153"/>
      <c r="L472" s="228" t="s">
        <v>3054</v>
      </c>
      <c r="M472" s="7" t="s">
        <v>326</v>
      </c>
      <c r="N472" s="7" t="s">
        <v>47</v>
      </c>
      <c r="O472" s="197" t="str">
        <f>HYPERLINK("https://leetcode.com/problems/happy-students/","https://leetcode.com/problems/happy-students/")</f>
        <v>https://leetcode.com/problems/happy-students/</v>
      </c>
    </row>
    <row r="473" spans="1:15" ht="31.5" customHeight="1" x14ac:dyDescent="0.2">
      <c r="A473" s="155">
        <v>468</v>
      </c>
      <c r="B473" s="155">
        <v>403</v>
      </c>
      <c r="C473" s="156" t="s">
        <v>1383</v>
      </c>
      <c r="D473" s="157" t="s">
        <v>4510</v>
      </c>
      <c r="E473" s="161" t="s">
        <v>42</v>
      </c>
      <c r="F473" s="157" t="s">
        <v>309</v>
      </c>
      <c r="G473" s="157" t="s">
        <v>1042</v>
      </c>
      <c r="H473" s="155">
        <f>IFERROR(VLOOKUP(B475,'📊 Problem Tracker'!$B$4:$F$1200,5,FALSE()),"")</f>
        <v>0</v>
      </c>
      <c r="I473" s="155"/>
      <c r="J473" s="155"/>
      <c r="K473" s="157"/>
      <c r="L473" s="228" t="s">
        <v>1385</v>
      </c>
      <c r="M473" s="7" t="s">
        <v>341</v>
      </c>
      <c r="N473" s="7" t="s">
        <v>341</v>
      </c>
      <c r="O473" s="198" t="str">
        <f>HYPERLINK("https://leetcode.com/problems/frog-jump/","https://leetcode.com/problems/frog-jump/")</f>
        <v>https://leetcode.com/problems/frog-jump/</v>
      </c>
    </row>
    <row r="474" spans="1:15" ht="31.5" customHeight="1" x14ac:dyDescent="0.2">
      <c r="A474" s="151">
        <v>469</v>
      </c>
      <c r="B474" s="151">
        <v>89</v>
      </c>
      <c r="C474" s="152" t="s">
        <v>483</v>
      </c>
      <c r="D474" s="153" t="s">
        <v>5027</v>
      </c>
      <c r="E474" s="154" t="s">
        <v>28</v>
      </c>
      <c r="F474" s="153" t="s">
        <v>376</v>
      </c>
      <c r="G474" s="153" t="s">
        <v>4986</v>
      </c>
      <c r="H474" s="151">
        <f>IFERROR(VLOOKUP(B476,'📊 Problem Tracker'!$B$4:$F$1200,5,FALSE()),"")</f>
        <v>0</v>
      </c>
      <c r="I474" s="151"/>
      <c r="J474" s="151"/>
      <c r="K474" s="153"/>
      <c r="L474" s="228" t="s">
        <v>485</v>
      </c>
      <c r="M474" s="7" t="s">
        <v>231</v>
      </c>
      <c r="N474" s="7" t="s">
        <v>47</v>
      </c>
      <c r="O474" s="197" t="str">
        <f>HYPERLINK("https://leetcode.com/problems/gray-code/","https://leetcode.com/problems/gray-code/")</f>
        <v>https://leetcode.com/problems/gray-code/</v>
      </c>
    </row>
    <row r="475" spans="1:15" ht="31.5" customHeight="1" x14ac:dyDescent="0.2">
      <c r="A475" s="155">
        <v>470</v>
      </c>
      <c r="B475" s="155">
        <v>693</v>
      </c>
      <c r="C475" s="156" t="s">
        <v>1748</v>
      </c>
      <c r="D475" s="157" t="s">
        <v>4546</v>
      </c>
      <c r="E475" s="159" t="s">
        <v>20</v>
      </c>
      <c r="F475" s="157" t="s">
        <v>181</v>
      </c>
      <c r="G475" s="157" t="s">
        <v>5028</v>
      </c>
      <c r="H475" s="155">
        <f>IFERROR(VLOOKUP(B477,'📊 Problem Tracker'!$B$4:$F$1200,5,FALSE()),"")</f>
        <v>0</v>
      </c>
      <c r="I475" s="155"/>
      <c r="J475" s="155"/>
      <c r="K475" s="157"/>
      <c r="L475" s="228" t="s">
        <v>1749</v>
      </c>
      <c r="M475" s="7" t="s">
        <v>47</v>
      </c>
      <c r="N475" s="7" t="s">
        <v>47</v>
      </c>
      <c r="O475" s="198" t="str">
        <f>HYPERLINK("https://leetcode.com/problems/binary-number-with-alternating-bits/","https://leetcode.com/problems/binary-number-with-alternating-bits/")</f>
        <v>https://leetcode.com/problems/binary-number-with-alternating-bits/</v>
      </c>
    </row>
    <row r="476" spans="1:15" ht="31.5" customHeight="1" x14ac:dyDescent="0.2">
      <c r="A476" s="151">
        <v>471</v>
      </c>
      <c r="B476" s="151">
        <v>327</v>
      </c>
      <c r="C476" s="152" t="s">
        <v>5029</v>
      </c>
      <c r="D476" s="153" t="s">
        <v>5030</v>
      </c>
      <c r="E476" s="162" t="s">
        <v>42</v>
      </c>
      <c r="F476" s="153" t="s">
        <v>41</v>
      </c>
      <c r="G476" s="153" t="s">
        <v>5031</v>
      </c>
      <c r="H476" s="151">
        <f>IFERROR(VLOOKUP(B478,'📊 Problem Tracker'!$B$4:$F$1200,5,FALSE()),"")</f>
        <v>0</v>
      </c>
      <c r="I476" s="151"/>
      <c r="J476" s="151"/>
      <c r="K476" s="153"/>
      <c r="L476" s="228" t="s">
        <v>513</v>
      </c>
      <c r="M476" s="7" t="s">
        <v>65</v>
      </c>
      <c r="N476" s="7" t="s">
        <v>47</v>
      </c>
      <c r="O476" s="197" t="str">
        <f>HYPERLINK("https://leetcode.com/problems/count-of-range-sum/","https://leetcode.com/problems/count-of-range-sum/")</f>
        <v>https://leetcode.com/problems/count-of-range-sum/</v>
      </c>
    </row>
    <row r="477" spans="1:15" ht="31.5" customHeight="1" x14ac:dyDescent="0.2">
      <c r="A477" s="155">
        <v>472</v>
      </c>
      <c r="B477" s="155">
        <v>1971</v>
      </c>
      <c r="C477" s="156" t="s">
        <v>5032</v>
      </c>
      <c r="D477" s="157" t="s">
        <v>4641</v>
      </c>
      <c r="E477" s="159" t="s">
        <v>20</v>
      </c>
      <c r="F477" s="157" t="s">
        <v>1198</v>
      </c>
      <c r="G477" s="157" t="s">
        <v>5033</v>
      </c>
      <c r="H477" s="155">
        <f>IFERROR(VLOOKUP(B479,'📊 Problem Tracker'!$B$4:$F$1200,5,FALSE()),"")</f>
        <v>0</v>
      </c>
      <c r="I477" s="155"/>
      <c r="J477" s="155"/>
      <c r="K477" s="157"/>
      <c r="L477" s="228" t="s">
        <v>2811</v>
      </c>
      <c r="M477" s="7" t="s">
        <v>24</v>
      </c>
      <c r="N477" s="7" t="s">
        <v>24</v>
      </c>
      <c r="O477" s="198" t="str">
        <f>HYPERLINK("https://leetcode.com/problems/find-if-path-exists-in-graph/","https://leetcode.com/problems/find-if-path-exists-in-graph/")</f>
        <v>https://leetcode.com/problems/find-if-path-exists-in-graph/</v>
      </c>
    </row>
    <row r="478" spans="1:15" ht="31.5" customHeight="1" x14ac:dyDescent="0.2">
      <c r="A478" s="151">
        <v>473</v>
      </c>
      <c r="B478" s="151">
        <v>472</v>
      </c>
      <c r="C478" s="152" t="s">
        <v>1487</v>
      </c>
      <c r="D478" s="153" t="s">
        <v>4801</v>
      </c>
      <c r="E478" s="162" t="s">
        <v>42</v>
      </c>
      <c r="F478" s="153" t="s">
        <v>1488</v>
      </c>
      <c r="G478" s="153" t="s">
        <v>5034</v>
      </c>
      <c r="H478" s="151">
        <f>IFERROR(VLOOKUP(B480,'📊 Problem Tracker'!$B$4:$F$1200,5,FALSE()),"")</f>
        <v>0</v>
      </c>
      <c r="I478" s="151"/>
      <c r="J478" s="151"/>
      <c r="K478" s="153"/>
      <c r="L478" s="228" t="s">
        <v>1490</v>
      </c>
      <c r="M478" s="7" t="s">
        <v>1242</v>
      </c>
      <c r="N478" s="7" t="s">
        <v>1243</v>
      </c>
      <c r="O478" s="197" t="str">
        <f>HYPERLINK("https://leetcode.com/problems/concatenated-words/","https://leetcode.com/problems/concatenated-words/")</f>
        <v>https://leetcode.com/problems/concatenated-words/</v>
      </c>
    </row>
    <row r="479" spans="1:15" ht="31.5" customHeight="1" x14ac:dyDescent="0.2">
      <c r="A479" s="155">
        <v>474</v>
      </c>
      <c r="B479" s="155">
        <v>761</v>
      </c>
      <c r="C479" s="156" t="s">
        <v>1867</v>
      </c>
      <c r="D479" s="157" t="s">
        <v>5035</v>
      </c>
      <c r="E479" s="161" t="s">
        <v>42</v>
      </c>
      <c r="F479" s="157" t="s">
        <v>1868</v>
      </c>
      <c r="G479" s="157" t="s">
        <v>5036</v>
      </c>
      <c r="H479" s="155">
        <f>IFERROR(VLOOKUP(B481,'📊 Problem Tracker'!$B$4:$F$1200,5,FALSE()),"")</f>
        <v>0</v>
      </c>
      <c r="I479" s="155"/>
      <c r="J479" s="155"/>
      <c r="K479" s="157"/>
      <c r="L479" s="228" t="s">
        <v>1870</v>
      </c>
      <c r="M479" s="7" t="s">
        <v>341</v>
      </c>
      <c r="N479" s="7" t="s">
        <v>24</v>
      </c>
      <c r="O479" s="198" t="str">
        <f>HYPERLINK("https://leetcode.com/problems/special-binary-string/","https://leetcode.com/problems/special-binary-string/")</f>
        <v>https://leetcode.com/problems/special-binary-string/</v>
      </c>
    </row>
    <row r="480" spans="1:15" ht="31.5" customHeight="1" x14ac:dyDescent="0.2">
      <c r="A480" s="151">
        <v>475</v>
      </c>
      <c r="B480" s="151">
        <v>1342</v>
      </c>
      <c r="C480" s="152" t="s">
        <v>2401</v>
      </c>
      <c r="D480" s="153" t="s">
        <v>5037</v>
      </c>
      <c r="E480" s="160" t="s">
        <v>20</v>
      </c>
      <c r="F480" s="153" t="s">
        <v>181</v>
      </c>
      <c r="G480" s="153" t="s">
        <v>62</v>
      </c>
      <c r="H480" s="151">
        <f>IFERROR(VLOOKUP(B482,'📊 Problem Tracker'!$B$4:$F$1200,5,FALSE()),"")</f>
        <v>0</v>
      </c>
      <c r="I480" s="151"/>
      <c r="J480" s="151"/>
      <c r="K480" s="153"/>
      <c r="L480" s="228" t="s">
        <v>2403</v>
      </c>
      <c r="M480" s="7" t="s">
        <v>65</v>
      </c>
      <c r="N480" s="7" t="s">
        <v>47</v>
      </c>
      <c r="O480" s="197" t="str">
        <f>HYPERLINK("https://leetcode.com/problems/number-of-steps-to-reduce-a-number-to-zero/","https://leetcode.com/problems/number-of-steps-to-reduce-a-number-to-zero/")</f>
        <v>https://leetcode.com/problems/number-of-steps-to-reduce-a-number-to-zero/</v>
      </c>
    </row>
    <row r="481" spans="1:15" ht="31.5" customHeight="1" x14ac:dyDescent="0.2">
      <c r="A481" s="155">
        <v>476</v>
      </c>
      <c r="B481" s="155">
        <v>868</v>
      </c>
      <c r="C481" s="156" t="s">
        <v>2002</v>
      </c>
      <c r="D481" s="157" t="s">
        <v>5038</v>
      </c>
      <c r="E481" s="159" t="s">
        <v>20</v>
      </c>
      <c r="F481" s="157" t="s">
        <v>666</v>
      </c>
      <c r="G481" s="157" t="s">
        <v>666</v>
      </c>
      <c r="H481" s="155">
        <f>IFERROR(VLOOKUP(B483,'📊 Problem Tracker'!$B$4:$F$1200,5,FALSE()),"")</f>
        <v>0</v>
      </c>
      <c r="I481" s="155"/>
      <c r="J481" s="155"/>
      <c r="K481" s="157"/>
      <c r="L481" s="228" t="s">
        <v>2004</v>
      </c>
      <c r="M481" s="7" t="s">
        <v>47</v>
      </c>
      <c r="N481" s="7" t="s">
        <v>47</v>
      </c>
      <c r="O481" s="198" t="str">
        <f>HYPERLINK("https://leetcode.com/problems/binary-gap/","https://leetcode.com/problems/binary-gap/")</f>
        <v>https://leetcode.com/problems/binary-gap/</v>
      </c>
    </row>
    <row r="482" spans="1:15" ht="31.5" customHeight="1" x14ac:dyDescent="0.2">
      <c r="A482" s="151">
        <v>477</v>
      </c>
      <c r="B482" s="151">
        <v>2858</v>
      </c>
      <c r="C482" s="152" t="s">
        <v>3048</v>
      </c>
      <c r="D482" s="153" t="s">
        <v>4454</v>
      </c>
      <c r="E482" s="162" t="s">
        <v>42</v>
      </c>
      <c r="F482" s="153" t="s">
        <v>500</v>
      </c>
      <c r="G482" s="153" t="s">
        <v>4256</v>
      </c>
      <c r="H482" s="151">
        <f>IFERROR(VLOOKUP(B484,'📊 Problem Tracker'!$B$4:$F$1200,5,FALSE()),"")</f>
        <v>0</v>
      </c>
      <c r="I482" s="151"/>
      <c r="J482" s="151"/>
      <c r="K482" s="153"/>
      <c r="L482" s="228" t="s">
        <v>3050</v>
      </c>
      <c r="M482" s="7" t="s">
        <v>24</v>
      </c>
      <c r="N482" s="7" t="s">
        <v>24</v>
      </c>
      <c r="O482" s="197" t="str">
        <f>HYPERLINK("https://leetcode.com/problems/minimum-edge-reversals-so-every-node-is-reachable/","https://leetcode.com/problems/minimum-edge-reversals-so-every-node-is-reachable/")</f>
        <v>https://leetcode.com/problems/minimum-edge-reversals-so-every-node-is-reachable/</v>
      </c>
    </row>
    <row r="483" spans="1:15" ht="31.5" customHeight="1" x14ac:dyDescent="0.2">
      <c r="A483" s="155">
        <v>478</v>
      </c>
      <c r="B483" s="155">
        <v>962</v>
      </c>
      <c r="C483" s="156" t="s">
        <v>2106</v>
      </c>
      <c r="D483" s="157" t="s">
        <v>4626</v>
      </c>
      <c r="E483" s="158" t="s">
        <v>28</v>
      </c>
      <c r="F483" s="157" t="s">
        <v>1837</v>
      </c>
      <c r="G483" s="157" t="s">
        <v>1473</v>
      </c>
      <c r="H483" s="155">
        <f>IFERROR(VLOOKUP(B485,'📊 Problem Tracker'!$B$4:$F$1200,5,FALSE()),"")</f>
        <v>0</v>
      </c>
      <c r="I483" s="155"/>
      <c r="J483" s="155"/>
      <c r="K483" s="157"/>
      <c r="L483" s="228" t="s">
        <v>542</v>
      </c>
      <c r="M483" s="7" t="s">
        <v>24</v>
      </c>
      <c r="N483" s="7" t="s">
        <v>24</v>
      </c>
      <c r="O483" s="198" t="str">
        <f>HYPERLINK("https://leetcode.com/problems/maximum-width-ramp/","https://leetcode.com/problems/maximum-width-ramp/")</f>
        <v>https://leetcode.com/problems/maximum-width-ramp/</v>
      </c>
    </row>
    <row r="484" spans="1:15" ht="31.5" customHeight="1" x14ac:dyDescent="0.2">
      <c r="A484" s="151">
        <v>479</v>
      </c>
      <c r="B484" s="151">
        <v>1461</v>
      </c>
      <c r="C484" s="152" t="s">
        <v>2487</v>
      </c>
      <c r="D484" s="153" t="s">
        <v>5039</v>
      </c>
      <c r="E484" s="154" t="s">
        <v>28</v>
      </c>
      <c r="F484" s="153" t="s">
        <v>19</v>
      </c>
      <c r="G484" s="153" t="s">
        <v>4244</v>
      </c>
      <c r="H484" s="151">
        <f>IFERROR(VLOOKUP(B486,'📊 Problem Tracker'!$B$4:$F$1200,5,FALSE()),"")</f>
        <v>0</v>
      </c>
      <c r="I484" s="151"/>
      <c r="J484" s="151"/>
      <c r="K484" s="153"/>
      <c r="L484" s="228" t="s">
        <v>2489</v>
      </c>
      <c r="M484" s="7" t="s">
        <v>1181</v>
      </c>
      <c r="N484" s="7" t="s">
        <v>24</v>
      </c>
      <c r="O484" s="197" t="str">
        <f>HYPERLINK("https://leetcode.com/problems/check-if-a-string-contains-all-binary-codes-of-size-k/","https://leetcode.com/problems/check-if-a-string-contains-all-binary-codes-of-size-k/")</f>
        <v>https://leetcode.com/problems/check-if-a-string-contains-all-binary-codes-of-size-k/</v>
      </c>
    </row>
    <row r="485" spans="1:15" ht="31.5" customHeight="1" x14ac:dyDescent="0.2">
      <c r="A485" s="155">
        <v>480</v>
      </c>
      <c r="B485" s="155">
        <v>797</v>
      </c>
      <c r="C485" s="156" t="s">
        <v>1919</v>
      </c>
      <c r="D485" s="157" t="s">
        <v>5026</v>
      </c>
      <c r="E485" s="158" t="s">
        <v>28</v>
      </c>
      <c r="F485" s="157" t="s">
        <v>1232</v>
      </c>
      <c r="G485" s="157" t="s">
        <v>4284</v>
      </c>
      <c r="H485" s="155">
        <f>IFERROR(VLOOKUP(B487,'📊 Problem Tracker'!$B$4:$F$1200,5,FALSE()),"")</f>
        <v>0</v>
      </c>
      <c r="I485" s="155"/>
      <c r="J485" s="155"/>
      <c r="K485" s="157"/>
      <c r="L485" s="228" t="s">
        <v>1921</v>
      </c>
      <c r="M485" s="7" t="s">
        <v>1922</v>
      </c>
      <c r="N485" s="7" t="s">
        <v>24</v>
      </c>
      <c r="O485" s="198" t="str">
        <f>HYPERLINK("https://leetcode.com/problems/all-paths-from-source-to-target/","https://leetcode.com/problems/all-paths-from-source-to-target/")</f>
        <v>https://leetcode.com/problems/all-paths-from-source-to-target/</v>
      </c>
    </row>
    <row r="486" spans="1:15" ht="31.5" customHeight="1" x14ac:dyDescent="0.2">
      <c r="A486" s="151">
        <v>481</v>
      </c>
      <c r="B486" s="151">
        <v>990</v>
      </c>
      <c r="C486" s="152" t="s">
        <v>2148</v>
      </c>
      <c r="D486" s="153" t="s">
        <v>4490</v>
      </c>
      <c r="E486" s="154" t="s">
        <v>28</v>
      </c>
      <c r="F486" s="153" t="s">
        <v>1050</v>
      </c>
      <c r="G486" s="153" t="s">
        <v>1736</v>
      </c>
      <c r="H486" s="151">
        <f>IFERROR(VLOOKUP(B488,'📊 Problem Tracker'!$B$4:$F$1200,5,FALSE()),"")</f>
        <v>0</v>
      </c>
      <c r="I486" s="151"/>
      <c r="J486" s="151"/>
      <c r="K486" s="153"/>
      <c r="L486" s="228" t="s">
        <v>2149</v>
      </c>
      <c r="M486" s="7" t="s">
        <v>1738</v>
      </c>
      <c r="N486" s="7" t="s">
        <v>47</v>
      </c>
      <c r="O486" s="197" t="str">
        <f>HYPERLINK("https://leetcode.com/problems/satisfiability-of-equality-equations/","https://leetcode.com/problems/satisfiability-of-equality-equations/")</f>
        <v>https://leetcode.com/problems/satisfiability-of-equality-equations/</v>
      </c>
    </row>
    <row r="487" spans="1:15" ht="31.5" customHeight="1" x14ac:dyDescent="0.2">
      <c r="A487" s="155">
        <v>482</v>
      </c>
      <c r="B487" s="155">
        <v>350</v>
      </c>
      <c r="C487" s="156" t="s">
        <v>1282</v>
      </c>
      <c r="D487" s="157" t="s">
        <v>4535</v>
      </c>
      <c r="E487" s="159" t="s">
        <v>20</v>
      </c>
      <c r="F487" s="157" t="s">
        <v>19</v>
      </c>
      <c r="G487" s="157" t="s">
        <v>4244</v>
      </c>
      <c r="H487" s="155">
        <f>IFERROR(VLOOKUP(B489,'📊 Problem Tracker'!$B$4:$F$1200,5,FALSE()),"")</f>
        <v>0</v>
      </c>
      <c r="I487" s="155"/>
      <c r="J487" s="155"/>
      <c r="K487" s="157"/>
      <c r="L487" s="228" t="s">
        <v>1284</v>
      </c>
      <c r="M487" s="7" t="s">
        <v>1285</v>
      </c>
      <c r="N487" s="7" t="s">
        <v>1286</v>
      </c>
      <c r="O487" s="198" t="str">
        <f>HYPERLINK("https://leetcode.com/problems/intersection-of-two-arrays-ii/","https://leetcode.com/problems/intersection-of-two-arrays-ii/")</f>
        <v>https://leetcode.com/problems/intersection-of-two-arrays-ii/</v>
      </c>
    </row>
    <row r="488" spans="1:15" ht="31.5" customHeight="1" x14ac:dyDescent="0.2">
      <c r="A488" s="151">
        <v>483</v>
      </c>
      <c r="B488" s="151">
        <v>442</v>
      </c>
      <c r="C488" s="152" t="s">
        <v>1449</v>
      </c>
      <c r="D488" s="153" t="s">
        <v>4661</v>
      </c>
      <c r="E488" s="154" t="s">
        <v>28</v>
      </c>
      <c r="F488" s="153" t="s">
        <v>19</v>
      </c>
      <c r="G488" s="153" t="s">
        <v>4971</v>
      </c>
      <c r="H488" s="151">
        <f>IFERROR(VLOOKUP(B490,'📊 Problem Tracker'!$B$4:$F$1200,5,FALSE()),"")</f>
        <v>0</v>
      </c>
      <c r="I488" s="151"/>
      <c r="J488" s="151"/>
      <c r="K488" s="153"/>
      <c r="L488" s="228" t="s">
        <v>705</v>
      </c>
      <c r="M488" s="7" t="s">
        <v>24</v>
      </c>
      <c r="N488" s="7" t="s">
        <v>24</v>
      </c>
      <c r="O488" s="197" t="str">
        <f>HYPERLINK("https://leetcode.com/problems/find-all-duplicates-in-an-array/","https://leetcode.com/problems/find-all-duplicates-in-an-array/")</f>
        <v>https://leetcode.com/problems/find-all-duplicates-in-an-array/</v>
      </c>
    </row>
    <row r="489" spans="1:15" ht="31.5" customHeight="1" x14ac:dyDescent="0.2">
      <c r="A489" s="155">
        <v>484</v>
      </c>
      <c r="B489" s="155">
        <v>1356</v>
      </c>
      <c r="C489" s="156" t="s">
        <v>2417</v>
      </c>
      <c r="D489" s="157" t="s">
        <v>4508</v>
      </c>
      <c r="E489" s="159" t="s">
        <v>20</v>
      </c>
      <c r="F489" s="157" t="s">
        <v>2418</v>
      </c>
      <c r="G489" s="157" t="s">
        <v>5040</v>
      </c>
      <c r="H489" s="155">
        <f>IFERROR(VLOOKUP(B491,'📊 Problem Tracker'!$B$4:$F$1200,5,FALSE()),"")</f>
        <v>0</v>
      </c>
      <c r="I489" s="155"/>
      <c r="J489" s="155"/>
      <c r="K489" s="157"/>
      <c r="L489" s="228" t="s">
        <v>2420</v>
      </c>
      <c r="M489" s="7" t="s">
        <v>326</v>
      </c>
      <c r="N489" s="7" t="s">
        <v>24</v>
      </c>
      <c r="O489" s="198" t="str">
        <f>HYPERLINK("https://leetcode.com/problems/sort-integers-by-the-number-of-1-bits/","https://leetcode.com/problems/sort-integers-by-the-number-of-1-bits/")</f>
        <v>https://leetcode.com/problems/sort-integers-by-the-number-of-1-bits/</v>
      </c>
    </row>
    <row r="490" spans="1:15" ht="31.5" customHeight="1" x14ac:dyDescent="0.2">
      <c r="A490" s="151">
        <v>485</v>
      </c>
      <c r="B490" s="151">
        <v>1572</v>
      </c>
      <c r="C490" s="152" t="s">
        <v>2548</v>
      </c>
      <c r="D490" s="153" t="s">
        <v>5041</v>
      </c>
      <c r="E490" s="160" t="s">
        <v>20</v>
      </c>
      <c r="F490" s="153" t="s">
        <v>283</v>
      </c>
      <c r="G490" s="153" t="s">
        <v>4187</v>
      </c>
      <c r="H490" s="151">
        <f>IFERROR(VLOOKUP(B492,'📊 Problem Tracker'!$B$4:$F$1200,5,FALSE()),"")</f>
        <v>0</v>
      </c>
      <c r="I490" s="151"/>
      <c r="J490" s="151"/>
      <c r="K490" s="153"/>
      <c r="L490" s="228" t="s">
        <v>2550</v>
      </c>
      <c r="M490" s="7" t="s">
        <v>24</v>
      </c>
      <c r="N490" s="7" t="s">
        <v>24</v>
      </c>
      <c r="O490" s="197" t="str">
        <f>HYPERLINK("https://leetcode.com/problems/matrix-diagonal-sum/","https://leetcode.com/problems/matrix-diagonal-sum/")</f>
        <v>https://leetcode.com/problems/matrix-diagonal-sum/</v>
      </c>
    </row>
    <row r="491" spans="1:15" ht="31.5" customHeight="1" x14ac:dyDescent="0.2">
      <c r="A491" s="155">
        <v>486</v>
      </c>
      <c r="B491" s="155">
        <v>2879</v>
      </c>
      <c r="C491" s="156" t="s">
        <v>3056</v>
      </c>
      <c r="D491" s="157" t="s">
        <v>5042</v>
      </c>
      <c r="E491" s="159" t="s">
        <v>20</v>
      </c>
      <c r="F491" s="157" t="s">
        <v>796</v>
      </c>
      <c r="G491" s="157" t="s">
        <v>796</v>
      </c>
      <c r="H491" s="155">
        <f>IFERROR(VLOOKUP(B493,'📊 Problem Tracker'!$B$4:$F$1200,5,FALSE()),"")</f>
        <v>0</v>
      </c>
      <c r="I491" s="155"/>
      <c r="J491" s="155"/>
      <c r="K491" s="157"/>
      <c r="L491" s="228" t="s">
        <v>3058</v>
      </c>
      <c r="M491" s="7" t="s">
        <v>47</v>
      </c>
      <c r="N491" s="7" t="s">
        <v>47</v>
      </c>
      <c r="O491" s="198" t="str">
        <f>HYPERLINK("https://leetcode.com/problems/display-the-first-three-rows/","https://leetcode.com/problems/display-the-first-three-rows/")</f>
        <v>https://leetcode.com/problems/display-the-first-three-rows/</v>
      </c>
    </row>
    <row r="492" spans="1:15" ht="31.5" customHeight="1" x14ac:dyDescent="0.2">
      <c r="A492" s="151">
        <v>487</v>
      </c>
      <c r="B492" s="151">
        <v>1162</v>
      </c>
      <c r="C492" s="152" t="s">
        <v>2258</v>
      </c>
      <c r="D492" s="153" t="s">
        <v>5043</v>
      </c>
      <c r="E492" s="154" t="s">
        <v>28</v>
      </c>
      <c r="F492" s="153" t="s">
        <v>1106</v>
      </c>
      <c r="G492" s="153" t="s">
        <v>4618</v>
      </c>
      <c r="H492" s="151">
        <f>IFERROR(VLOOKUP(B494,'📊 Problem Tracker'!$B$4:$F$1200,5,FALSE()),"")</f>
        <v>0</v>
      </c>
      <c r="I492" s="151"/>
      <c r="J492" s="151"/>
      <c r="K492" s="153"/>
      <c r="L492" s="228" t="s">
        <v>2260</v>
      </c>
      <c r="M492" s="7" t="s">
        <v>341</v>
      </c>
      <c r="N492" s="7" t="s">
        <v>341</v>
      </c>
      <c r="O492" s="197" t="str">
        <f>HYPERLINK("https://leetcode.com/problems/as-far-from-land-as-possible/","https://leetcode.com/problems/as-far-from-land-as-possible/")</f>
        <v>https://leetcode.com/problems/as-far-from-land-as-possible/</v>
      </c>
    </row>
    <row r="493" spans="1:15" ht="31.5" customHeight="1" x14ac:dyDescent="0.2">
      <c r="A493" s="155">
        <v>488</v>
      </c>
      <c r="B493" s="155">
        <v>2273</v>
      </c>
      <c r="C493" s="156" t="s">
        <v>2889</v>
      </c>
      <c r="D493" s="157" t="s">
        <v>4546</v>
      </c>
      <c r="E493" s="159" t="s">
        <v>20</v>
      </c>
      <c r="F493" s="157" t="s">
        <v>19</v>
      </c>
      <c r="G493" s="157" t="s">
        <v>4244</v>
      </c>
      <c r="H493" s="155">
        <f>IFERROR(VLOOKUP(B495,'📊 Problem Tracker'!$B$4:$F$1200,5,FALSE()),"")</f>
        <v>0</v>
      </c>
      <c r="I493" s="155"/>
      <c r="J493" s="155"/>
      <c r="K493" s="157"/>
      <c r="L493" s="228" t="s">
        <v>2891</v>
      </c>
      <c r="M493" s="7" t="s">
        <v>2892</v>
      </c>
      <c r="N493" s="7" t="s">
        <v>392</v>
      </c>
      <c r="O493" s="198" t="str">
        <f>HYPERLINK("https://leetcode.com/problems/find-resultant-array-after-removing-anagrams/","https://leetcode.com/problems/find-resultant-array-after-removing-anagrams/")</f>
        <v>https://leetcode.com/problems/find-resultant-array-after-removing-anagrams/</v>
      </c>
    </row>
    <row r="494" spans="1:15" ht="31.5" customHeight="1" x14ac:dyDescent="0.2">
      <c r="A494" s="151">
        <v>489</v>
      </c>
      <c r="B494" s="151">
        <v>605</v>
      </c>
      <c r="C494" s="152" t="s">
        <v>1655</v>
      </c>
      <c r="D494" s="153" t="s">
        <v>4679</v>
      </c>
      <c r="E494" s="160" t="s">
        <v>20</v>
      </c>
      <c r="F494" s="153" t="s">
        <v>318</v>
      </c>
      <c r="G494" s="153" t="s">
        <v>3091</v>
      </c>
      <c r="H494" s="151">
        <f>IFERROR(VLOOKUP(B496,'📊 Problem Tracker'!$B$4:$F$1200,5,FALSE()),"")</f>
        <v>0</v>
      </c>
      <c r="I494" s="151"/>
      <c r="J494" s="151"/>
      <c r="K494" s="153"/>
      <c r="L494" s="228" t="s">
        <v>654</v>
      </c>
      <c r="M494" s="7" t="s">
        <v>24</v>
      </c>
      <c r="N494" s="7" t="s">
        <v>1100</v>
      </c>
      <c r="O494" s="197" t="str">
        <f>HYPERLINK("https://leetcode.com/problems/can-place-flowers/","https://leetcode.com/problems/can-place-flowers/")</f>
        <v>https://leetcode.com/problems/can-place-flowers/</v>
      </c>
    </row>
    <row r="495" spans="1:15" ht="31.5" customHeight="1" x14ac:dyDescent="0.2">
      <c r="A495" s="155">
        <v>490</v>
      </c>
      <c r="B495" s="155">
        <v>1392</v>
      </c>
      <c r="C495" s="156" t="s">
        <v>2449</v>
      </c>
      <c r="D495" s="157" t="s">
        <v>4492</v>
      </c>
      <c r="E495" s="161" t="s">
        <v>42</v>
      </c>
      <c r="F495" s="157" t="s">
        <v>938</v>
      </c>
      <c r="G495" s="157" t="s">
        <v>5044</v>
      </c>
      <c r="H495" s="155">
        <f>IFERROR(VLOOKUP(B497,'📊 Problem Tracker'!$B$4:$F$1200,5,FALSE()),"")</f>
        <v>0</v>
      </c>
      <c r="I495" s="155"/>
      <c r="J495" s="155"/>
      <c r="K495" s="157"/>
      <c r="L495" s="228" t="s">
        <v>2451</v>
      </c>
      <c r="M495" s="7" t="s">
        <v>24</v>
      </c>
      <c r="N495" s="7" t="s">
        <v>24</v>
      </c>
      <c r="O495" s="198" t="str">
        <f>HYPERLINK("https://leetcode.com/problems/longest-happy-prefix/","https://leetcode.com/problems/longest-happy-prefix/")</f>
        <v>https://leetcode.com/problems/longest-happy-prefix/</v>
      </c>
    </row>
    <row r="496" spans="1:15" ht="31.5" customHeight="1" x14ac:dyDescent="0.2">
      <c r="A496" s="151">
        <v>491</v>
      </c>
      <c r="B496" s="151">
        <v>1680</v>
      </c>
      <c r="C496" s="152" t="s">
        <v>2641</v>
      </c>
      <c r="D496" s="153" t="s">
        <v>4444</v>
      </c>
      <c r="E496" s="154" t="s">
        <v>28</v>
      </c>
      <c r="F496" s="153" t="s">
        <v>181</v>
      </c>
      <c r="G496" s="153" t="s">
        <v>62</v>
      </c>
      <c r="H496" s="151">
        <f>IFERROR(VLOOKUP(B498,'📊 Problem Tracker'!$B$4:$F$1200,5,FALSE()),"")</f>
        <v>0</v>
      </c>
      <c r="I496" s="151"/>
      <c r="J496" s="151"/>
      <c r="K496" s="153"/>
      <c r="L496" s="228" t="s">
        <v>2643</v>
      </c>
      <c r="M496" s="7" t="s">
        <v>24</v>
      </c>
      <c r="N496" s="7" t="s">
        <v>47</v>
      </c>
      <c r="O496" s="197" t="str">
        <f>HYPERLINK("https://leetcode.com/problems/concatenation-of-consecutive-binary-numbers/","https://leetcode.com/problems/concatenation-of-consecutive-binary-numbers/")</f>
        <v>https://leetcode.com/problems/concatenation-of-consecutive-binary-numbers/</v>
      </c>
    </row>
    <row r="497" spans="1:15" ht="31.5" customHeight="1" x14ac:dyDescent="0.2">
      <c r="A497" s="155">
        <v>492</v>
      </c>
      <c r="B497" s="155">
        <v>1559</v>
      </c>
      <c r="C497" s="156" t="s">
        <v>2538</v>
      </c>
      <c r="D497" s="157" t="s">
        <v>4726</v>
      </c>
      <c r="E497" s="158" t="s">
        <v>28</v>
      </c>
      <c r="F497" s="157" t="s">
        <v>443</v>
      </c>
      <c r="G497" s="157" t="s">
        <v>5045</v>
      </c>
      <c r="H497" s="155">
        <f>IFERROR(VLOOKUP(B499,'📊 Problem Tracker'!$B$4:$F$1200,5,FALSE()),"")</f>
        <v>0</v>
      </c>
      <c r="I497" s="155"/>
      <c r="J497" s="155"/>
      <c r="K497" s="157"/>
      <c r="L497" s="228" t="s">
        <v>2540</v>
      </c>
      <c r="M497" s="7" t="s">
        <v>363</v>
      </c>
      <c r="N497" s="7" t="s">
        <v>363</v>
      </c>
      <c r="O497" s="198" t="str">
        <f>HYPERLINK("https://leetcode.com/problems/detect-cycles-in-2d-grid/","https://leetcode.com/problems/detect-cycles-in-2d-grid/")</f>
        <v>https://leetcode.com/problems/detect-cycles-in-2d-grid/</v>
      </c>
    </row>
    <row r="498" spans="1:15" ht="31.5" customHeight="1" x14ac:dyDescent="0.2">
      <c r="A498" s="151">
        <v>493</v>
      </c>
      <c r="B498" s="151">
        <v>1536</v>
      </c>
      <c r="C498" s="152" t="s">
        <v>2519</v>
      </c>
      <c r="D498" s="153" t="s">
        <v>5046</v>
      </c>
      <c r="E498" s="154" t="s">
        <v>28</v>
      </c>
      <c r="F498" s="153" t="s">
        <v>318</v>
      </c>
      <c r="G498" s="153" t="s">
        <v>3091</v>
      </c>
      <c r="H498" s="151">
        <f>IFERROR(VLOOKUP(B500,'📊 Problem Tracker'!$B$4:$F$1200,5,FALSE()),"")</f>
        <v>0</v>
      </c>
      <c r="I498" s="151"/>
      <c r="J498" s="151"/>
      <c r="K498" s="153"/>
      <c r="L498" s="228" t="s">
        <v>2521</v>
      </c>
      <c r="M498" s="7" t="s">
        <v>341</v>
      </c>
      <c r="N498" s="7" t="s">
        <v>24</v>
      </c>
      <c r="O498" s="197" t="str">
        <f>HYPERLINK("https://leetcode.com/problems/minimum-swaps-to-arrange-a-binary-grid/","https://leetcode.com/problems/minimum-swaps-to-arrange-a-binary-grid/")</f>
        <v>https://leetcode.com/problems/minimum-swaps-to-arrange-a-binary-grid/</v>
      </c>
    </row>
    <row r="499" spans="1:15" ht="31.5" customHeight="1" x14ac:dyDescent="0.2">
      <c r="A499" s="155">
        <v>494</v>
      </c>
      <c r="B499" s="155">
        <v>182</v>
      </c>
      <c r="C499" s="156" t="s">
        <v>827</v>
      </c>
      <c r="D499" s="157" t="s">
        <v>4705</v>
      </c>
      <c r="E499" s="159" t="s">
        <v>20</v>
      </c>
      <c r="F499" s="157" t="s">
        <v>796</v>
      </c>
      <c r="G499" s="157" t="s">
        <v>796</v>
      </c>
      <c r="H499" s="155">
        <f>IFERROR(VLOOKUP(B501,'📊 Problem Tracker'!$B$4:$F$1200,5,FALSE()),"")</f>
        <v>0</v>
      </c>
      <c r="I499" s="155"/>
      <c r="J499" s="155"/>
      <c r="K499" s="157"/>
      <c r="L499" s="228" t="s">
        <v>829</v>
      </c>
      <c r="M499" s="7" t="s">
        <v>24</v>
      </c>
      <c r="N499" s="7" t="s">
        <v>24</v>
      </c>
      <c r="O499" s="198" t="str">
        <f>HYPERLINK("https://leetcode.com/problems/duplicate-emails/","https://leetcode.com/problems/duplicate-emails/")</f>
        <v>https://leetcode.com/problems/duplicate-emails/</v>
      </c>
    </row>
    <row r="500" spans="1:15" ht="31.5" customHeight="1" x14ac:dyDescent="0.2">
      <c r="A500" s="151">
        <v>495</v>
      </c>
      <c r="B500" s="151">
        <v>3666</v>
      </c>
      <c r="C500" s="152" t="s">
        <v>3263</v>
      </c>
      <c r="D500" s="153" t="s">
        <v>5047</v>
      </c>
      <c r="E500" s="162" t="s">
        <v>42</v>
      </c>
      <c r="F500" s="153" t="s">
        <v>1873</v>
      </c>
      <c r="G500" s="153" t="s">
        <v>3091</v>
      </c>
      <c r="H500" s="151">
        <f>IFERROR(VLOOKUP(B502,'📊 Problem Tracker'!$B$4:$F$1200,5,FALSE()),"")</f>
        <v>0</v>
      </c>
      <c r="I500" s="151"/>
      <c r="J500" s="151"/>
      <c r="K500" s="153"/>
      <c r="L500" s="228" t="s">
        <v>3265</v>
      </c>
      <c r="M500" s="7" t="s">
        <v>24</v>
      </c>
      <c r="N500" s="7" t="s">
        <v>47</v>
      </c>
      <c r="O500" s="197" t="str">
        <f>HYPERLINK("https://leetcode.com/problems/minimum-operations-to-equalize-binary-string/","https://leetcode.com/problems/minimum-operations-to-equalize-binary-string/")</f>
        <v>https://leetcode.com/problems/minimum-operations-to-equalize-binary-string/</v>
      </c>
    </row>
    <row r="501" spans="1:15" ht="31.5" customHeight="1" x14ac:dyDescent="0.2">
      <c r="A501" s="155">
        <v>496</v>
      </c>
      <c r="B501" s="155">
        <v>1545</v>
      </c>
      <c r="C501" s="156" t="s">
        <v>5048</v>
      </c>
      <c r="D501" s="157" t="s">
        <v>4705</v>
      </c>
      <c r="E501" s="158" t="s">
        <v>28</v>
      </c>
      <c r="F501" s="157" t="s">
        <v>2526</v>
      </c>
      <c r="G501" s="157" t="s">
        <v>5049</v>
      </c>
      <c r="H501" s="155">
        <f>IFERROR(VLOOKUP(B503,'📊 Problem Tracker'!$B$4:$F$1200,5,FALSE()),"")</f>
        <v>0</v>
      </c>
      <c r="I501" s="155"/>
      <c r="J501" s="155"/>
      <c r="K501" s="157"/>
      <c r="L501" s="228" t="s">
        <v>2528</v>
      </c>
      <c r="M501" s="7" t="s">
        <v>24</v>
      </c>
      <c r="N501" s="7" t="s">
        <v>24</v>
      </c>
      <c r="O501" s="198" t="str">
        <f>HYPERLINK("https://leetcode.com/problems/find-kth-bit-in-nth-binary-string/","https://leetcode.com/problems/find-kth-bit-in-nth-binary-string/")</f>
        <v>https://leetcode.com/problems/find-kth-bit-in-nth-binary-string/</v>
      </c>
    </row>
    <row r="502" spans="1:15" ht="31.5" customHeight="1" x14ac:dyDescent="0.2">
      <c r="A502" s="151">
        <v>497</v>
      </c>
      <c r="B502" s="151">
        <v>2593</v>
      </c>
      <c r="C502" s="152" t="s">
        <v>2988</v>
      </c>
      <c r="D502" s="153" t="s">
        <v>4469</v>
      </c>
      <c r="E502" s="154" t="s">
        <v>28</v>
      </c>
      <c r="F502" s="153" t="s">
        <v>1531</v>
      </c>
      <c r="G502" s="153" t="s">
        <v>4951</v>
      </c>
      <c r="H502" s="151">
        <f>IFERROR(VLOOKUP(B504,'📊 Problem Tracker'!$B$4:$F$1200,5,FALSE()),"")</f>
        <v>0</v>
      </c>
      <c r="I502" s="151"/>
      <c r="J502" s="151"/>
      <c r="K502" s="153"/>
      <c r="L502" s="228" t="s">
        <v>2990</v>
      </c>
      <c r="M502" s="7" t="s">
        <v>326</v>
      </c>
      <c r="N502" s="7" t="s">
        <v>24</v>
      </c>
      <c r="O502" s="197" t="str">
        <f>HYPERLINK("https://leetcode.com/problems/find-score-of-an-array-after-marking-all-elements/","https://leetcode.com/problems/find-score-of-an-array-after-marking-all-elements/")</f>
        <v>https://leetcode.com/problems/find-score-of-an-array-after-marking-all-elements/</v>
      </c>
    </row>
    <row r="503" spans="1:15" ht="31.5" customHeight="1" x14ac:dyDescent="0.2">
      <c r="A503" s="155">
        <v>498</v>
      </c>
      <c r="B503" s="155">
        <v>569</v>
      </c>
      <c r="C503" s="156" t="s">
        <v>1626</v>
      </c>
      <c r="D503" s="157" t="s">
        <v>4772</v>
      </c>
      <c r="E503" s="161" t="s">
        <v>42</v>
      </c>
      <c r="F503" s="157" t="s">
        <v>796</v>
      </c>
      <c r="G503" s="157" t="s">
        <v>796</v>
      </c>
      <c r="H503" s="155">
        <f>IFERROR(VLOOKUP(B505,'📊 Problem Tracker'!$B$4:$F$1200,5,FALSE()),"")</f>
        <v>0</v>
      </c>
      <c r="I503" s="155"/>
      <c r="J503" s="155"/>
      <c r="K503" s="157"/>
      <c r="L503" s="228" t="s">
        <v>1628</v>
      </c>
      <c r="M503" s="7" t="s">
        <v>326</v>
      </c>
      <c r="N503" s="7" t="s">
        <v>24</v>
      </c>
      <c r="O503" s="198" t="str">
        <f>HYPERLINK("https://leetcode.com/problems/median-employee-salary/","https://leetcode.com/problems/median-employee-salary/")</f>
        <v>https://leetcode.com/problems/median-employee-salary/</v>
      </c>
    </row>
    <row r="504" spans="1:15" ht="31.5" customHeight="1" x14ac:dyDescent="0.2">
      <c r="A504" s="151">
        <v>499</v>
      </c>
      <c r="B504" s="151">
        <v>1689</v>
      </c>
      <c r="C504" s="152" t="s">
        <v>2650</v>
      </c>
      <c r="D504" s="153" t="s">
        <v>5050</v>
      </c>
      <c r="E504" s="154" t="s">
        <v>28</v>
      </c>
      <c r="F504" s="153" t="s">
        <v>1873</v>
      </c>
      <c r="G504" s="153" t="s">
        <v>3091</v>
      </c>
      <c r="H504" s="151">
        <f>IFERROR(VLOOKUP(B506,'📊 Problem Tracker'!$B$4:$F$1200,5,FALSE()),"")</f>
        <v>0</v>
      </c>
      <c r="I504" s="151"/>
      <c r="J504" s="151"/>
      <c r="K504" s="153"/>
      <c r="L504" s="228" t="s">
        <v>2652</v>
      </c>
      <c r="M504" s="7" t="s">
        <v>24</v>
      </c>
      <c r="N504" s="7" t="s">
        <v>47</v>
      </c>
      <c r="O504" s="197" t="str">
        <f>HYPERLINK("https://leetcode.com/problems/partitioning-into-minimum-number-of-deci-binary-numbers/","https://leetcode.com/problems/partitioning-into-minimum-number-of-deci-binary-numbers/")</f>
        <v>https://leetcode.com/problems/partitioning-into-minimum-number-of-deci-binary-numbers/</v>
      </c>
    </row>
    <row r="505" spans="1:15" ht="31.5" customHeight="1" x14ac:dyDescent="0.2">
      <c r="A505" s="155">
        <v>500</v>
      </c>
      <c r="B505" s="155">
        <v>1784</v>
      </c>
      <c r="C505" s="156" t="s">
        <v>2711</v>
      </c>
      <c r="D505" s="157" t="s">
        <v>4671</v>
      </c>
      <c r="E505" s="159" t="s">
        <v>20</v>
      </c>
      <c r="F505" s="157" t="s">
        <v>98</v>
      </c>
      <c r="G505" s="157" t="s">
        <v>98</v>
      </c>
      <c r="H505" s="155">
        <f>IFERROR(VLOOKUP(B507,'📊 Problem Tracker'!$B$4:$F$1200,5,FALSE()),"")</f>
        <v>0</v>
      </c>
      <c r="I505" s="155"/>
      <c r="J505" s="155"/>
      <c r="K505" s="157"/>
      <c r="L505" s="228" t="s">
        <v>2713</v>
      </c>
      <c r="M505" s="7" t="s">
        <v>24</v>
      </c>
      <c r="N505" s="7" t="s">
        <v>47</v>
      </c>
      <c r="O505" s="198" t="str">
        <f>HYPERLINK("https://leetcode.com/problems/check-if-binary-string-has-at-most-one-segment-of-ones/","https://leetcode.com/problems/check-if-binary-string-has-at-most-one-segment-of-ones/")</f>
        <v>https://leetcode.com/problems/check-if-binary-string-has-at-most-one-segment-of-ones/</v>
      </c>
    </row>
    <row r="506" spans="1:15" ht="31.5" customHeight="1" x14ac:dyDescent="0.2">
      <c r="A506" s="151">
        <v>501</v>
      </c>
      <c r="B506" s="151">
        <v>1888</v>
      </c>
      <c r="C506" s="152" t="s">
        <v>5051</v>
      </c>
      <c r="D506" s="153" t="s">
        <v>5052</v>
      </c>
      <c r="E506" s="154" t="s">
        <v>28</v>
      </c>
      <c r="F506" s="153" t="s">
        <v>1873</v>
      </c>
      <c r="G506" s="153" t="s">
        <v>3091</v>
      </c>
      <c r="H506" s="151">
        <f>IFERROR(VLOOKUP(B508,'📊 Problem Tracker'!$B$4:$F$1200,5,FALSE()),"")</f>
        <v>0</v>
      </c>
      <c r="I506" s="151"/>
      <c r="J506" s="151"/>
      <c r="K506" s="153"/>
      <c r="L506" s="228" t="s">
        <v>2761</v>
      </c>
      <c r="M506" s="7" t="s">
        <v>24</v>
      </c>
      <c r="N506" s="7" t="s">
        <v>24</v>
      </c>
      <c r="O506" s="197" t="str">
        <f>HYPERLINK("https://leetcode.com/problems/minimum-number-of-flips-to-make-the-binary-string-alternating/","https://leetcode.com/problems/minimum-number-of-flips-to-make-the-binary-string-alternating/")</f>
        <v>https://leetcode.com/problems/minimum-number-of-flips-to-make-the-binary-string-alternating/</v>
      </c>
    </row>
    <row r="507" spans="1:15" ht="31.5" customHeight="1" x14ac:dyDescent="0.2">
      <c r="A507" s="155">
        <v>502</v>
      </c>
      <c r="B507" s="155">
        <v>1980</v>
      </c>
      <c r="C507" s="156" t="s">
        <v>2817</v>
      </c>
      <c r="D507" s="157" t="s">
        <v>5053</v>
      </c>
      <c r="E507" s="158" t="s">
        <v>28</v>
      </c>
      <c r="F507" s="157" t="s">
        <v>19</v>
      </c>
      <c r="G507" s="157" t="s">
        <v>4244</v>
      </c>
      <c r="H507" s="155">
        <f>IFERROR(VLOOKUP(B509,'📊 Problem Tracker'!$B$4:$F$1200,5,FALSE()),"")</f>
        <v>0</v>
      </c>
      <c r="I507" s="155"/>
      <c r="J507" s="155"/>
      <c r="K507" s="157"/>
      <c r="L507" s="228" t="s">
        <v>2819</v>
      </c>
      <c r="M507" s="7" t="s">
        <v>341</v>
      </c>
      <c r="N507" s="7" t="s">
        <v>24</v>
      </c>
      <c r="O507" s="198" t="str">
        <f>HYPERLINK("https://leetcode.com/problems/find-unique-binary-string/","https://leetcode.com/problems/find-unique-binary-string/")</f>
        <v>https://leetcode.com/problems/find-unique-binary-string/</v>
      </c>
    </row>
    <row r="508" spans="1:15" ht="31.5" customHeight="1" x14ac:dyDescent="0.2">
      <c r="A508" s="151">
        <v>503</v>
      </c>
      <c r="B508" s="151">
        <v>1228</v>
      </c>
      <c r="C508" s="152" t="s">
        <v>2307</v>
      </c>
      <c r="D508" s="153" t="s">
        <v>4654</v>
      </c>
      <c r="E508" s="160" t="s">
        <v>20</v>
      </c>
      <c r="F508" s="153" t="s">
        <v>376</v>
      </c>
      <c r="G508" s="153" t="s">
        <v>4986</v>
      </c>
      <c r="H508" s="151">
        <f>IFERROR(VLOOKUP(B510,'📊 Problem Tracker'!$B$4:$F$1200,5,FALSE()),"")</f>
        <v>0</v>
      </c>
      <c r="I508" s="151"/>
      <c r="J508" s="151"/>
      <c r="K508" s="153"/>
      <c r="L508" s="228" t="s">
        <v>2309</v>
      </c>
      <c r="M508" s="7" t="s">
        <v>65</v>
      </c>
      <c r="N508" s="7" t="s">
        <v>47</v>
      </c>
      <c r="O508" s="197" t="str">
        <f>HYPERLINK("https://leetcode.com/problems/missing-number-in-arithmetic-progression/","https://leetcode.com/problems/missing-number-in-arithmetic-progression/")</f>
        <v>https://leetcode.com/problems/missing-number-in-arithmetic-progression/</v>
      </c>
    </row>
    <row r="509" spans="1:15" ht="31.5" customHeight="1" x14ac:dyDescent="0.2">
      <c r="A509" s="155">
        <v>504</v>
      </c>
      <c r="B509" s="155">
        <v>628</v>
      </c>
      <c r="C509" s="156" t="s">
        <v>1676</v>
      </c>
      <c r="D509" s="157" t="s">
        <v>4782</v>
      </c>
      <c r="E509" s="159" t="s">
        <v>20</v>
      </c>
      <c r="F509" s="157" t="s">
        <v>1075</v>
      </c>
      <c r="G509" s="157" t="s">
        <v>5054</v>
      </c>
      <c r="H509" s="155">
        <f>IFERROR(VLOOKUP(B511,'📊 Problem Tracker'!$B$4:$F$1200,5,FALSE()),"")</f>
        <v>0</v>
      </c>
      <c r="I509" s="155"/>
      <c r="J509" s="155"/>
      <c r="K509" s="157"/>
      <c r="L509" s="228" t="s">
        <v>1077</v>
      </c>
      <c r="M509" s="7" t="s">
        <v>24</v>
      </c>
      <c r="N509" s="7" t="s">
        <v>47</v>
      </c>
      <c r="O509" s="198" t="str">
        <f>HYPERLINK("https://leetcode.com/problems/maximum-product-of-three-numbers/","https://leetcode.com/problems/maximum-product-of-three-numbers/")</f>
        <v>https://leetcode.com/problems/maximum-product-of-three-numbers/</v>
      </c>
    </row>
    <row r="510" spans="1:15" ht="31.5" customHeight="1" x14ac:dyDescent="0.2">
      <c r="A510" s="151">
        <v>505</v>
      </c>
      <c r="B510" s="151">
        <v>3129</v>
      </c>
      <c r="C510" s="152" t="s">
        <v>3117</v>
      </c>
      <c r="D510" s="153" t="s">
        <v>4538</v>
      </c>
      <c r="E510" s="154" t="s">
        <v>28</v>
      </c>
      <c r="F510" s="153" t="s">
        <v>309</v>
      </c>
      <c r="G510" s="153" t="s">
        <v>1042</v>
      </c>
      <c r="H510" s="151">
        <f>IFERROR(VLOOKUP(B512,'📊 Problem Tracker'!$B$4:$F$1200,5,FALSE()),"")</f>
        <v>0</v>
      </c>
      <c r="I510" s="151"/>
      <c r="J510" s="151"/>
      <c r="K510" s="153"/>
      <c r="L510" s="228" t="s">
        <v>3119</v>
      </c>
      <c r="M510" s="7" t="s">
        <v>3120</v>
      </c>
      <c r="N510" s="7" t="s">
        <v>3121</v>
      </c>
      <c r="O510" s="197" t="str">
        <f>HYPERLINK("https://leetcode.com/problems/find-all-possible-stable-binary-arrays-i/","https://leetcode.com/problems/find-all-possible-stable-binary-arrays-i/")</f>
        <v>https://leetcode.com/problems/find-all-possible-stable-binary-arrays-i/</v>
      </c>
    </row>
    <row r="511" spans="1:15" ht="31.5" customHeight="1" x14ac:dyDescent="0.2">
      <c r="A511" s="155">
        <v>506</v>
      </c>
      <c r="B511" s="155">
        <v>385</v>
      </c>
      <c r="C511" s="156" t="s">
        <v>1344</v>
      </c>
      <c r="D511" s="157" t="s">
        <v>4588</v>
      </c>
      <c r="E511" s="158" t="s">
        <v>28</v>
      </c>
      <c r="F511" s="157" t="s">
        <v>133</v>
      </c>
      <c r="G511" s="157" t="s">
        <v>540</v>
      </c>
      <c r="H511" s="155">
        <f>IFERROR(VLOOKUP(B513,'📊 Problem Tracker'!$B$4:$F$1200,5,FALSE()),"")</f>
        <v>0</v>
      </c>
      <c r="I511" s="155"/>
      <c r="J511" s="155"/>
      <c r="K511" s="157"/>
      <c r="L511" s="228" t="s">
        <v>1346</v>
      </c>
      <c r="M511" s="7" t="s">
        <v>24</v>
      </c>
      <c r="N511" s="7" t="s">
        <v>24</v>
      </c>
      <c r="O511" s="198" t="str">
        <f>HYPERLINK("https://leetcode.com/problems/mini-parser/","https://leetcode.com/problems/mini-parser/")</f>
        <v>https://leetcode.com/problems/mini-parser/</v>
      </c>
    </row>
    <row r="512" spans="1:15" ht="31.5" customHeight="1" x14ac:dyDescent="0.2">
      <c r="A512" s="151">
        <v>507</v>
      </c>
      <c r="B512" s="151">
        <v>68</v>
      </c>
      <c r="C512" s="152" t="s">
        <v>386</v>
      </c>
      <c r="D512" s="153" t="s">
        <v>4499</v>
      </c>
      <c r="E512" s="162" t="s">
        <v>42</v>
      </c>
      <c r="F512" s="153" t="s">
        <v>387</v>
      </c>
      <c r="G512" s="153" t="s">
        <v>5055</v>
      </c>
      <c r="H512" s="151">
        <f>IFERROR(VLOOKUP(B514,'📊 Problem Tracker'!$B$4:$F$1200,5,FALSE()),"")</f>
        <v>0</v>
      </c>
      <c r="I512" s="151"/>
      <c r="J512" s="151"/>
      <c r="K512" s="153"/>
      <c r="L512" s="228" t="s">
        <v>390</v>
      </c>
      <c r="M512" s="7" t="s">
        <v>391</v>
      </c>
      <c r="N512" s="7" t="s">
        <v>392</v>
      </c>
      <c r="O512" s="197" t="str">
        <f>HYPERLINK("https://leetcode.com/problems/text-justification/","https://leetcode.com/problems/text-justification/")</f>
        <v>https://leetcode.com/problems/text-justification/</v>
      </c>
    </row>
    <row r="513" spans="1:15" ht="31.5" customHeight="1" x14ac:dyDescent="0.2">
      <c r="A513" s="155">
        <v>508</v>
      </c>
      <c r="B513" s="155">
        <v>3130</v>
      </c>
      <c r="C513" s="156" t="s">
        <v>3123</v>
      </c>
      <c r="D513" s="157" t="s">
        <v>5056</v>
      </c>
      <c r="E513" s="161" t="s">
        <v>42</v>
      </c>
      <c r="F513" s="157" t="s">
        <v>309</v>
      </c>
      <c r="G513" s="157" t="s">
        <v>1042</v>
      </c>
      <c r="H513" s="155">
        <f>IFERROR(VLOOKUP(B515,'📊 Problem Tracker'!$B$4:$F$1200,5,FALSE()),"")</f>
        <v>0</v>
      </c>
      <c r="I513" s="155"/>
      <c r="J513" s="155"/>
      <c r="K513" s="157"/>
      <c r="L513" s="228" t="s">
        <v>3125</v>
      </c>
      <c r="M513" s="7" t="s">
        <v>3121</v>
      </c>
      <c r="N513" s="7" t="s">
        <v>3121</v>
      </c>
      <c r="O513" s="198" t="str">
        <f>HYPERLINK("https://leetcode.com/problems/find-all-possible-stable-binary-arrays-ii/","https://leetcode.com/problems/find-all-possible-stable-binary-arrays-ii/")</f>
        <v>https://leetcode.com/problems/find-all-possible-stable-binary-arrays-ii/</v>
      </c>
    </row>
    <row r="514" spans="1:15" ht="31.5" customHeight="1" x14ac:dyDescent="0.2">
      <c r="A514" s="151">
        <v>509</v>
      </c>
      <c r="B514" s="151">
        <v>3795</v>
      </c>
      <c r="C514" s="152" t="s">
        <v>3303</v>
      </c>
      <c r="D514" s="153" t="s">
        <v>5057</v>
      </c>
      <c r="E514" s="154" t="s">
        <v>28</v>
      </c>
      <c r="F514" s="153" t="s">
        <v>916</v>
      </c>
      <c r="G514" s="153" t="s">
        <v>917</v>
      </c>
      <c r="H514" s="151">
        <f>IFERROR(VLOOKUP(B516,'📊 Problem Tracker'!$B$4:$F$1200,5,FALSE()),"")</f>
        <v>0</v>
      </c>
      <c r="I514" s="151"/>
      <c r="J514" s="151"/>
      <c r="K514" s="153"/>
      <c r="L514" s="228" t="s">
        <v>3304</v>
      </c>
      <c r="M514" s="7" t="s">
        <v>24</v>
      </c>
      <c r="N514" s="7" t="s">
        <v>24</v>
      </c>
      <c r="O514" s="197" t="str">
        <f>HYPERLINK("https://leetcode.com/problems/minimum-subarray-length-with-distinct-sum-at-least-k/","https://leetcode.com/problems/minimum-subarray-length-with-distinct-sum-at-least-k/")</f>
        <v>https://leetcode.com/problems/minimum-subarray-length-with-distinct-sum-at-least-k/</v>
      </c>
    </row>
    <row r="515" spans="1:15" ht="31.5" customHeight="1" x14ac:dyDescent="0.2">
      <c r="A515" s="155">
        <v>510</v>
      </c>
      <c r="B515" s="155">
        <v>1658</v>
      </c>
      <c r="C515" s="156" t="s">
        <v>2613</v>
      </c>
      <c r="D515" s="157" t="s">
        <v>4449</v>
      </c>
      <c r="E515" s="158" t="s">
        <v>28</v>
      </c>
      <c r="F515" s="157" t="s">
        <v>916</v>
      </c>
      <c r="G515" s="157" t="s">
        <v>917</v>
      </c>
      <c r="H515" s="155">
        <f>IFERROR(VLOOKUP(B517,'📊 Problem Tracker'!$B$4:$F$1200,5,FALSE()),"")</f>
        <v>0</v>
      </c>
      <c r="I515" s="155"/>
      <c r="J515" s="155"/>
      <c r="K515" s="157"/>
      <c r="L515" s="228" t="s">
        <v>2614</v>
      </c>
      <c r="M515" s="7" t="s">
        <v>24</v>
      </c>
      <c r="N515" s="7" t="s">
        <v>47</v>
      </c>
      <c r="O515" s="198" t="str">
        <f>HYPERLINK("https://leetcode.com/problems/minimum-operations-to-reduce-x-to-zero/","https://leetcode.com/problems/minimum-operations-to-reduce-x-to-zero/")</f>
        <v>https://leetcode.com/problems/minimum-operations-to-reduce-x-to-zero/</v>
      </c>
    </row>
    <row r="516" spans="1:15" ht="31.5" customHeight="1" x14ac:dyDescent="0.2">
      <c r="A516" s="151">
        <v>511</v>
      </c>
      <c r="B516" s="151">
        <v>463</v>
      </c>
      <c r="C516" s="152" t="s">
        <v>1480</v>
      </c>
      <c r="D516" s="153" t="s">
        <v>4778</v>
      </c>
      <c r="E516" s="160" t="s">
        <v>20</v>
      </c>
      <c r="F516" s="153" t="s">
        <v>283</v>
      </c>
      <c r="G516" s="153" t="s">
        <v>4187</v>
      </c>
      <c r="H516" s="151">
        <f>IFERROR(VLOOKUP(B518,'📊 Problem Tracker'!$B$4:$F$1200,5,FALSE()),"")</f>
        <v>0</v>
      </c>
      <c r="I516" s="151"/>
      <c r="J516" s="151"/>
      <c r="K516" s="153"/>
      <c r="L516" s="228" t="s">
        <v>654</v>
      </c>
      <c r="M516" s="7" t="s">
        <v>81</v>
      </c>
      <c r="N516" s="7" t="s">
        <v>81</v>
      </c>
      <c r="O516" s="197" t="str">
        <f>HYPERLINK("https://leetcode.com/problems/island-perimeter/","https://leetcode.com/problems/island-perimeter/")</f>
        <v>https://leetcode.com/problems/island-perimeter/</v>
      </c>
    </row>
    <row r="517" spans="1:15" ht="31.5" customHeight="1" x14ac:dyDescent="0.2">
      <c r="A517" s="155">
        <v>512</v>
      </c>
      <c r="B517" s="155">
        <v>2357</v>
      </c>
      <c r="C517" s="156" t="s">
        <v>2914</v>
      </c>
      <c r="D517" s="157" t="s">
        <v>5058</v>
      </c>
      <c r="E517" s="159" t="s">
        <v>20</v>
      </c>
      <c r="F517" s="157" t="s">
        <v>19</v>
      </c>
      <c r="G517" s="157" t="s">
        <v>4244</v>
      </c>
      <c r="H517" s="155">
        <f>IFERROR(VLOOKUP(B519,'📊 Problem Tracker'!$B$4:$F$1200,5,FALSE()),"")</f>
        <v>0</v>
      </c>
      <c r="I517" s="155"/>
      <c r="J517" s="155"/>
      <c r="K517" s="157"/>
      <c r="L517" s="228" t="s">
        <v>2916</v>
      </c>
      <c r="M517" s="7" t="s">
        <v>24</v>
      </c>
      <c r="N517" s="7" t="s">
        <v>24</v>
      </c>
      <c r="O517" s="198" t="str">
        <f>HYPERLINK("https://leetcode.com/problems/make-array-zero-by-subtracting-equal-amounts/","https://leetcode.com/problems/make-array-zero-by-subtracting-equal-amounts/")</f>
        <v>https://leetcode.com/problems/make-array-zero-by-subtracting-equal-amounts/</v>
      </c>
    </row>
    <row r="518" spans="1:15" ht="31.5" customHeight="1" x14ac:dyDescent="0.2">
      <c r="A518" s="151">
        <v>513</v>
      </c>
      <c r="B518" s="151">
        <v>584</v>
      </c>
      <c r="C518" s="152" t="s">
        <v>1642</v>
      </c>
      <c r="D518" s="153" t="s">
        <v>4677</v>
      </c>
      <c r="E518" s="160" t="s">
        <v>20</v>
      </c>
      <c r="F518" s="153" t="s">
        <v>796</v>
      </c>
      <c r="G518" s="153" t="s">
        <v>796</v>
      </c>
      <c r="H518" s="151">
        <f>IFERROR(VLOOKUP(B520,'📊 Problem Tracker'!$B$4:$F$1200,5,FALSE()),"")</f>
        <v>0</v>
      </c>
      <c r="I518" s="151"/>
      <c r="J518" s="151"/>
      <c r="K518" s="153"/>
      <c r="L518" s="228" t="s">
        <v>1644</v>
      </c>
      <c r="M518" s="7" t="s">
        <v>24</v>
      </c>
      <c r="N518" s="7" t="s">
        <v>24</v>
      </c>
      <c r="O518" s="197" t="str">
        <f>HYPERLINK("https://leetcode.com/problems/find-customer-referee/","https://leetcode.com/problems/find-customer-referee/")</f>
        <v>https://leetcode.com/problems/find-customer-referee/</v>
      </c>
    </row>
    <row r="519" spans="1:15" ht="31.5" customHeight="1" x14ac:dyDescent="0.2">
      <c r="A519" s="155">
        <v>514</v>
      </c>
      <c r="B519" s="155">
        <v>3600</v>
      </c>
      <c r="C519" s="156" t="s">
        <v>3220</v>
      </c>
      <c r="D519" s="157" t="s">
        <v>4571</v>
      </c>
      <c r="E519" s="161" t="s">
        <v>42</v>
      </c>
      <c r="F519" s="157" t="s">
        <v>2562</v>
      </c>
      <c r="G519" s="157" t="s">
        <v>5059</v>
      </c>
      <c r="H519" s="155">
        <f>IFERROR(VLOOKUP(B521,'📊 Problem Tracker'!$B$4:$F$1200,5,FALSE()),"")</f>
        <v>0</v>
      </c>
      <c r="I519" s="155"/>
      <c r="J519" s="155"/>
      <c r="K519" s="157"/>
      <c r="L519" s="228" t="s">
        <v>3222</v>
      </c>
      <c r="M519" s="7" t="s">
        <v>3223</v>
      </c>
      <c r="N519" s="7" t="s">
        <v>649</v>
      </c>
      <c r="O519" s="198" t="str">
        <f>HYPERLINK("https://leetcode.com/problems/maximize-spanning-tree-stability-with-upgrades/","https://leetcode.com/problems/maximize-spanning-tree-stability-with-upgrades/")</f>
        <v>https://leetcode.com/problems/maximize-spanning-tree-stability-with-upgrades/</v>
      </c>
    </row>
    <row r="520" spans="1:15" ht="31.5" customHeight="1" x14ac:dyDescent="0.2">
      <c r="A520" s="151">
        <v>515</v>
      </c>
      <c r="B520" s="151">
        <v>983</v>
      </c>
      <c r="C520" s="152" t="s">
        <v>2136</v>
      </c>
      <c r="D520" s="153" t="s">
        <v>4924</v>
      </c>
      <c r="E520" s="154" t="s">
        <v>28</v>
      </c>
      <c r="F520" s="153" t="s">
        <v>309</v>
      </c>
      <c r="G520" s="153" t="s">
        <v>1042</v>
      </c>
      <c r="H520" s="151">
        <f>IFERROR(VLOOKUP(B522,'📊 Problem Tracker'!$B$4:$F$1200,5,FALSE()),"")</f>
        <v>0</v>
      </c>
      <c r="I520" s="151"/>
      <c r="J520" s="151"/>
      <c r="K520" s="153"/>
      <c r="L520" s="228" t="s">
        <v>508</v>
      </c>
      <c r="M520" s="7" t="s">
        <v>24</v>
      </c>
      <c r="N520" s="7" t="s">
        <v>24</v>
      </c>
      <c r="O520" s="197" t="str">
        <f>HYPERLINK("https://leetcode.com/problems/minimum-cost-for-tickets/","https://leetcode.com/problems/minimum-cost-for-tickets/")</f>
        <v>https://leetcode.com/problems/minimum-cost-for-tickets/</v>
      </c>
    </row>
    <row r="521" spans="1:15" ht="31.5" customHeight="1" x14ac:dyDescent="0.2">
      <c r="A521" s="155">
        <v>516</v>
      </c>
      <c r="B521" s="155">
        <v>844</v>
      </c>
      <c r="C521" s="156" t="s">
        <v>1972</v>
      </c>
      <c r="D521" s="157" t="s">
        <v>4497</v>
      </c>
      <c r="E521" s="159" t="s">
        <v>20</v>
      </c>
      <c r="F521" s="157" t="s">
        <v>611</v>
      </c>
      <c r="G521" s="157" t="s">
        <v>5060</v>
      </c>
      <c r="H521" s="155">
        <f>IFERROR(VLOOKUP(B523,'📊 Problem Tracker'!$B$4:$F$1200,5,FALSE()),"")</f>
        <v>0</v>
      </c>
      <c r="I521" s="155"/>
      <c r="J521" s="155"/>
      <c r="K521" s="157"/>
      <c r="L521" s="228" t="s">
        <v>690</v>
      </c>
      <c r="M521" s="7" t="s">
        <v>24</v>
      </c>
      <c r="N521" s="7" t="s">
        <v>1096</v>
      </c>
      <c r="O521" s="198" t="str">
        <f>HYPERLINK("https://leetcode.com/problems/backspace-string-compare/","https://leetcode.com/problems/backspace-string-compare/")</f>
        <v>https://leetcode.com/problems/backspace-string-compare/</v>
      </c>
    </row>
    <row r="522" spans="1:15" ht="31.5" customHeight="1" x14ac:dyDescent="0.2">
      <c r="A522" s="151">
        <v>517</v>
      </c>
      <c r="B522" s="151">
        <v>348</v>
      </c>
      <c r="C522" s="152" t="s">
        <v>1275</v>
      </c>
      <c r="D522" s="153" t="s">
        <v>4512</v>
      </c>
      <c r="E522" s="154" t="s">
        <v>28</v>
      </c>
      <c r="F522" s="153" t="s">
        <v>1099</v>
      </c>
      <c r="G522" s="153" t="s">
        <v>4957</v>
      </c>
      <c r="H522" s="151">
        <f>IFERROR(VLOOKUP(B524,'📊 Problem Tracker'!$B$4:$F$1200,5,FALSE()),"")</f>
        <v>0</v>
      </c>
      <c r="I522" s="151"/>
      <c r="J522" s="151"/>
      <c r="K522" s="153"/>
      <c r="L522" s="228" t="s">
        <v>654</v>
      </c>
      <c r="M522" s="7" t="s">
        <v>1277</v>
      </c>
      <c r="N522" s="7" t="s">
        <v>24</v>
      </c>
      <c r="O522" s="197" t="str">
        <f>HYPERLINK("https://leetcode.com/problems/design-tic-tac-toe/","https://leetcode.com/problems/design-tic-tac-toe/")</f>
        <v>https://leetcode.com/problems/design-tic-tac-toe/</v>
      </c>
    </row>
    <row r="523" spans="1:15" ht="31.5" customHeight="1" x14ac:dyDescent="0.2">
      <c r="A523" s="155">
        <v>518</v>
      </c>
      <c r="B523" s="155">
        <v>2703</v>
      </c>
      <c r="C523" s="156" t="s">
        <v>3022</v>
      </c>
      <c r="D523" s="157" t="s">
        <v>5061</v>
      </c>
      <c r="E523" s="159" t="s">
        <v>20</v>
      </c>
      <c r="F523" s="157" t="s">
        <v>62</v>
      </c>
      <c r="G523" s="157" t="s">
        <v>62</v>
      </c>
      <c r="H523" s="155">
        <f>IFERROR(VLOOKUP(B525,'📊 Problem Tracker'!$B$4:$F$1200,5,FALSE()),"")</f>
        <v>0</v>
      </c>
      <c r="I523" s="155"/>
      <c r="J523" s="155"/>
      <c r="K523" s="157"/>
      <c r="L523" s="228" t="s">
        <v>3024</v>
      </c>
      <c r="M523" s="7" t="s">
        <v>47</v>
      </c>
      <c r="N523" s="7" t="s">
        <v>47</v>
      </c>
      <c r="O523" s="198" t="str">
        <f>HYPERLINK("https://leetcode.com/problems/return-length-of-arguments-passed/","https://leetcode.com/problems/return-length-of-arguments-passed/")</f>
        <v>https://leetcode.com/problems/return-length-of-arguments-passed/</v>
      </c>
    </row>
    <row r="524" spans="1:15" ht="31.5" customHeight="1" x14ac:dyDescent="0.2">
      <c r="A524" s="151">
        <v>519</v>
      </c>
      <c r="B524" s="151">
        <v>2561</v>
      </c>
      <c r="C524" s="152" t="s">
        <v>2975</v>
      </c>
      <c r="D524" s="153" t="s">
        <v>5062</v>
      </c>
      <c r="E524" s="162" t="s">
        <v>42</v>
      </c>
      <c r="F524" s="153" t="s">
        <v>318</v>
      </c>
      <c r="G524" s="153" t="s">
        <v>3091</v>
      </c>
      <c r="H524" s="151">
        <f>IFERROR(VLOOKUP(B526,'📊 Problem Tracker'!$B$4:$F$1200,5,FALSE()),"")</f>
        <v>0</v>
      </c>
      <c r="I524" s="151"/>
      <c r="J524" s="151"/>
      <c r="K524" s="153"/>
      <c r="L524" s="228" t="s">
        <v>2977</v>
      </c>
      <c r="M524" s="7" t="s">
        <v>326</v>
      </c>
      <c r="N524" s="7" t="s">
        <v>24</v>
      </c>
      <c r="O524" s="197" t="str">
        <f>HYPERLINK("https://leetcode.com/problems/rearranging-fruits/","https://leetcode.com/problems/rearranging-fruits/")</f>
        <v>https://leetcode.com/problems/rearranging-fruits/</v>
      </c>
    </row>
    <row r="525" spans="1:15" ht="31.5" customHeight="1" x14ac:dyDescent="0.2">
      <c r="A525" s="155">
        <v>520</v>
      </c>
      <c r="B525" s="155">
        <v>3863</v>
      </c>
      <c r="C525" s="156" t="s">
        <v>3322</v>
      </c>
      <c r="D525" s="157" t="s">
        <v>5063</v>
      </c>
      <c r="E525" s="158" t="s">
        <v>28</v>
      </c>
      <c r="F525" s="157" t="s">
        <v>1873</v>
      </c>
      <c r="G525" s="157" t="s">
        <v>3091</v>
      </c>
      <c r="H525" s="155">
        <f>IFERROR(VLOOKUP(B527,'📊 Problem Tracker'!$B$4:$F$1200,5,FALSE()),"")</f>
        <v>0</v>
      </c>
      <c r="I525" s="155"/>
      <c r="J525" s="155"/>
      <c r="K525" s="157"/>
      <c r="L525" s="228" t="s">
        <v>3324</v>
      </c>
      <c r="M525" s="7" t="s">
        <v>24</v>
      </c>
      <c r="N525" s="7" t="s">
        <v>47</v>
      </c>
      <c r="O525" s="198" t="str">
        <f>HYPERLINK("https://leetcode.com/problems/minimum-operations-to-sort-a-string/","https://leetcode.com/problems/minimum-operations-to-sort-a-string/")</f>
        <v>https://leetcode.com/problems/minimum-operations-to-sort-a-string/</v>
      </c>
    </row>
    <row r="526" spans="1:15" ht="31.5" customHeight="1" x14ac:dyDescent="0.2">
      <c r="A526" s="151">
        <v>521</v>
      </c>
      <c r="B526" s="151">
        <v>1622</v>
      </c>
      <c r="C526" s="152" t="s">
        <v>2583</v>
      </c>
      <c r="D526" s="153" t="s">
        <v>5064</v>
      </c>
      <c r="E526" s="162" t="s">
        <v>42</v>
      </c>
      <c r="F526" s="153" t="s">
        <v>1099</v>
      </c>
      <c r="G526" s="153" t="s">
        <v>2570</v>
      </c>
      <c r="H526" s="151">
        <f>IFERROR(VLOOKUP(B528,'📊 Problem Tracker'!$B$4:$F$1200,5,FALSE()),"")</f>
        <v>0</v>
      </c>
      <c r="I526" s="151"/>
      <c r="J526" s="151"/>
      <c r="K526" s="153"/>
      <c r="L526" s="228" t="s">
        <v>2585</v>
      </c>
      <c r="M526" s="7" t="s">
        <v>2586</v>
      </c>
      <c r="N526" s="7" t="s">
        <v>24</v>
      </c>
      <c r="O526" s="197" t="str">
        <f>HYPERLINK("https://leetcode.com/problems/fancy-sequence/","https://leetcode.com/problems/fancy-sequence/")</f>
        <v>https://leetcode.com/problems/fancy-sequence/</v>
      </c>
    </row>
    <row r="527" spans="1:15" ht="31.5" customHeight="1" x14ac:dyDescent="0.2">
      <c r="A527" s="155">
        <v>522</v>
      </c>
      <c r="B527" s="155">
        <v>3872</v>
      </c>
      <c r="C527" s="156" t="s">
        <v>3326</v>
      </c>
      <c r="D527" s="157" t="s">
        <v>5065</v>
      </c>
      <c r="E527" s="158" t="s">
        <v>28</v>
      </c>
      <c r="F527" s="157" t="s">
        <v>309</v>
      </c>
      <c r="G527" s="157" t="s">
        <v>1042</v>
      </c>
      <c r="H527" s="155">
        <f>IFERROR(VLOOKUP(B529,'📊 Problem Tracker'!$B$4:$F$1200,5,FALSE()),"")</f>
        <v>0</v>
      </c>
      <c r="I527" s="155"/>
      <c r="J527" s="155"/>
      <c r="K527" s="157"/>
      <c r="L527" s="228" t="s">
        <v>3328</v>
      </c>
      <c r="M527" s="7" t="s">
        <v>341</v>
      </c>
      <c r="N527" s="7" t="s">
        <v>341</v>
      </c>
      <c r="O527" s="198" t="str">
        <f>HYPERLINK("https://leetcode.com/problems/longest-arithmetic-sequence-after-changing-at-most-one-element/","https://leetcode.com/problems/longest-arithmetic-sequence-after-changing-at-most-one-element/")</f>
        <v>https://leetcode.com/problems/longest-arithmetic-sequence-after-changing-at-most-one-element/</v>
      </c>
    </row>
    <row r="528" spans="1:15" ht="31.5" customHeight="1" x14ac:dyDescent="0.2">
      <c r="A528" s="151">
        <v>523</v>
      </c>
      <c r="B528" s="151">
        <v>3296</v>
      </c>
      <c r="C528" s="152" t="s">
        <v>3141</v>
      </c>
      <c r="D528" s="153" t="s">
        <v>4529</v>
      </c>
      <c r="E528" s="154" t="s">
        <v>28</v>
      </c>
      <c r="F528" s="153" t="s">
        <v>295</v>
      </c>
      <c r="G528" s="153" t="s">
        <v>512</v>
      </c>
      <c r="H528" s="151">
        <f>IFERROR(VLOOKUP(B530,'📊 Problem Tracker'!$B$4:$F$1200,5,FALSE()),"")</f>
        <v>0</v>
      </c>
      <c r="I528" s="151"/>
      <c r="J528" s="151"/>
      <c r="K528" s="153"/>
      <c r="L528" s="228" t="s">
        <v>3143</v>
      </c>
      <c r="M528" s="7" t="s">
        <v>3144</v>
      </c>
      <c r="N528" s="7" t="s">
        <v>47</v>
      </c>
      <c r="O528" s="197" t="str">
        <f>HYPERLINK("https://leetcode.com/problems/minimum-number-of-seconds-to-make-mountain-height-zero/","https://leetcode.com/problems/minimum-number-of-seconds-to-make-mountain-height-zero/")</f>
        <v>https://leetcode.com/problems/minimum-number-of-seconds-to-make-mountain-height-zero/</v>
      </c>
    </row>
    <row r="529" spans="1:15" ht="31.5" customHeight="1" x14ac:dyDescent="0.2">
      <c r="A529" s="155">
        <v>524</v>
      </c>
      <c r="B529" s="155">
        <v>2801</v>
      </c>
      <c r="C529" s="156" t="s">
        <v>3039</v>
      </c>
      <c r="D529" s="157" t="s">
        <v>4780</v>
      </c>
      <c r="E529" s="161" t="s">
        <v>42</v>
      </c>
      <c r="F529" s="157" t="s">
        <v>1258</v>
      </c>
      <c r="G529" s="157" t="s">
        <v>5066</v>
      </c>
      <c r="H529" s="155">
        <f>IFERROR(VLOOKUP(B531,'📊 Problem Tracker'!$B$4:$F$1200,5,FALSE()),"")</f>
        <v>0</v>
      </c>
      <c r="I529" s="155"/>
      <c r="J529" s="155"/>
      <c r="K529" s="157"/>
      <c r="L529" s="228" t="s">
        <v>3041</v>
      </c>
      <c r="M529" s="7" t="s">
        <v>3042</v>
      </c>
      <c r="N529" s="7" t="s">
        <v>1604</v>
      </c>
      <c r="O529" s="198" t="str">
        <f>HYPERLINK("https://leetcode.com/problems/count-stepping-numbers-in-range/","https://leetcode.com/problems/count-stepping-numbers-in-range/")</f>
        <v>https://leetcode.com/problems/count-stepping-numbers-in-range/</v>
      </c>
    </row>
    <row r="530" spans="1:15" ht="31.5" customHeight="1" x14ac:dyDescent="0.2">
      <c r="A530" s="151">
        <v>525</v>
      </c>
      <c r="B530" s="151">
        <v>1953</v>
      </c>
      <c r="C530" s="152" t="s">
        <v>2805</v>
      </c>
      <c r="D530" s="153" t="s">
        <v>4588</v>
      </c>
      <c r="E530" s="154" t="s">
        <v>28</v>
      </c>
      <c r="F530" s="153" t="s">
        <v>318</v>
      </c>
      <c r="G530" s="153" t="s">
        <v>3091</v>
      </c>
      <c r="H530" s="151">
        <f>IFERROR(VLOOKUP(B532,'📊 Problem Tracker'!$B$4:$F$1200,5,FALSE()),"")</f>
        <v>0</v>
      </c>
      <c r="I530" s="151"/>
      <c r="J530" s="151"/>
      <c r="K530" s="153"/>
      <c r="L530" s="228" t="s">
        <v>2807</v>
      </c>
      <c r="M530" s="7" t="s">
        <v>24</v>
      </c>
      <c r="N530" s="7" t="s">
        <v>47</v>
      </c>
      <c r="O530" s="197" t="str">
        <f>HYPERLINK("https://leetcode.com/problems/maximum-number-of-weeks-for-which-you-can-work/","https://leetcode.com/problems/maximum-number-of-weeks-for-which-you-can-work/")</f>
        <v>https://leetcode.com/problems/maximum-number-of-weeks-for-which-you-can-work/</v>
      </c>
    </row>
    <row r="531" spans="1:15" ht="31.5" customHeight="1" x14ac:dyDescent="0.2">
      <c r="A531" s="155">
        <v>526</v>
      </c>
      <c r="B531" s="155">
        <v>1727</v>
      </c>
      <c r="C531" s="156" t="s">
        <v>2669</v>
      </c>
      <c r="D531" s="157" t="s">
        <v>4763</v>
      </c>
      <c r="E531" s="158" t="s">
        <v>28</v>
      </c>
      <c r="F531" s="157" t="s">
        <v>2670</v>
      </c>
      <c r="G531" s="157" t="s">
        <v>5067</v>
      </c>
      <c r="H531" s="155">
        <f>IFERROR(VLOOKUP(B533,'📊 Problem Tracker'!$B$4:$F$1200,5,FALSE()),"")</f>
        <v>0</v>
      </c>
      <c r="I531" s="155"/>
      <c r="J531" s="155"/>
      <c r="K531" s="157"/>
      <c r="L531" s="228" t="s">
        <v>2672</v>
      </c>
      <c r="M531" s="7" t="s">
        <v>2673</v>
      </c>
      <c r="N531" s="7" t="s">
        <v>363</v>
      </c>
      <c r="O531" s="198" t="str">
        <f>HYPERLINK("https://leetcode.com/problems/largest-submatrix-with-rearrangements/","https://leetcode.com/problems/largest-submatrix-with-rearrangements/")</f>
        <v>https://leetcode.com/problems/largest-submatrix-with-rearrangements/</v>
      </c>
    </row>
    <row r="532" spans="1:15" ht="31.5" customHeight="1" x14ac:dyDescent="0.2">
      <c r="A532" s="151">
        <v>527</v>
      </c>
      <c r="B532" s="151">
        <v>1903</v>
      </c>
      <c r="C532" s="152" t="s">
        <v>2775</v>
      </c>
      <c r="D532" s="153" t="s">
        <v>4924</v>
      </c>
      <c r="E532" s="160" t="s">
        <v>20</v>
      </c>
      <c r="F532" s="153" t="s">
        <v>98</v>
      </c>
      <c r="G532" s="153" t="s">
        <v>4946</v>
      </c>
      <c r="H532" s="151">
        <f>IFERROR(VLOOKUP(B534,'📊 Problem Tracker'!$B$4:$F$1200,5,FALSE()),"")</f>
        <v>0</v>
      </c>
      <c r="I532" s="151"/>
      <c r="J532" s="151"/>
      <c r="K532" s="153"/>
      <c r="L532" s="228" t="s">
        <v>2777</v>
      </c>
      <c r="M532" s="7" t="s">
        <v>24</v>
      </c>
      <c r="N532" s="7" t="s">
        <v>47</v>
      </c>
      <c r="O532" s="197" t="str">
        <f>HYPERLINK("https://leetcode.com/problems/largest-odd-number-in-string/","https://leetcode.com/problems/largest-odd-number-in-string/")</f>
        <v>https://leetcode.com/problems/largest-odd-number-in-string/</v>
      </c>
    </row>
    <row r="533" spans="1:15" ht="31.5" customHeight="1" x14ac:dyDescent="0.2">
      <c r="A533" s="155">
        <v>528</v>
      </c>
      <c r="B533" s="155">
        <v>2426</v>
      </c>
      <c r="C533" s="156" t="s">
        <v>2946</v>
      </c>
      <c r="D533" s="157" t="s">
        <v>5068</v>
      </c>
      <c r="E533" s="161" t="s">
        <v>42</v>
      </c>
      <c r="F533" s="157" t="s">
        <v>1515</v>
      </c>
      <c r="G533" s="157" t="s">
        <v>4559</v>
      </c>
      <c r="H533" s="155">
        <f>IFERROR(VLOOKUP(B535,'📊 Problem Tracker'!$B$4:$F$1200,5,FALSE()),"")</f>
        <v>0</v>
      </c>
      <c r="I533" s="155"/>
      <c r="J533" s="155"/>
      <c r="K533" s="157"/>
      <c r="L533" s="228" t="s">
        <v>2948</v>
      </c>
      <c r="M533" s="7" t="s">
        <v>326</v>
      </c>
      <c r="N533" s="7" t="s">
        <v>24</v>
      </c>
      <c r="O533" s="198" t="str">
        <f>HYPERLINK("https://leetcode.com/problems/number-of-pairs-satisfying-inequality/","https://leetcode.com/problems/number-of-pairs-satisfying-inequality/")</f>
        <v>https://leetcode.com/problems/number-of-pairs-satisfying-inequality/</v>
      </c>
    </row>
    <row r="534" spans="1:15" ht="31.5" customHeight="1" x14ac:dyDescent="0.2">
      <c r="A534" s="151">
        <v>529</v>
      </c>
      <c r="B534" s="151">
        <v>968</v>
      </c>
      <c r="C534" s="152" t="s">
        <v>2108</v>
      </c>
      <c r="D534" s="153" t="s">
        <v>4845</v>
      </c>
      <c r="E534" s="162" t="s">
        <v>42</v>
      </c>
      <c r="F534" s="153" t="s">
        <v>500</v>
      </c>
      <c r="G534" s="153" t="s">
        <v>4256</v>
      </c>
      <c r="H534" s="151">
        <f>IFERROR(VLOOKUP(B536,'📊 Problem Tracker'!$B$4:$F$1200,5,FALSE()),"")</f>
        <v>0</v>
      </c>
      <c r="I534" s="151"/>
      <c r="J534" s="151"/>
      <c r="K534" s="153"/>
      <c r="L534" s="228" t="s">
        <v>2110</v>
      </c>
      <c r="M534" s="7" t="s">
        <v>24</v>
      </c>
      <c r="N534" s="7" t="s">
        <v>503</v>
      </c>
      <c r="O534" s="197" t="str">
        <f>HYPERLINK("https://leetcode.com/problems/binary-tree-cameras/","https://leetcode.com/problems/binary-tree-cameras/")</f>
        <v>https://leetcode.com/problems/binary-tree-cameras/</v>
      </c>
    </row>
    <row r="535" spans="1:15" ht="31.5" customHeight="1" x14ac:dyDescent="0.2">
      <c r="A535" s="155">
        <v>530</v>
      </c>
      <c r="B535" s="155">
        <v>541</v>
      </c>
      <c r="C535" s="156" t="s">
        <v>1579</v>
      </c>
      <c r="D535" s="157" t="s">
        <v>4674</v>
      </c>
      <c r="E535" s="159" t="s">
        <v>20</v>
      </c>
      <c r="F535" s="157" t="s">
        <v>611</v>
      </c>
      <c r="G535" s="157" t="s">
        <v>689</v>
      </c>
      <c r="H535" s="155">
        <f>IFERROR(VLOOKUP(B537,'📊 Problem Tracker'!$B$4:$F$1200,5,FALSE()),"")</f>
        <v>0</v>
      </c>
      <c r="I535" s="155"/>
      <c r="J535" s="155"/>
      <c r="K535" s="157"/>
      <c r="L535" s="228" t="s">
        <v>690</v>
      </c>
      <c r="M535" s="7" t="s">
        <v>24</v>
      </c>
      <c r="N535" s="7" t="s">
        <v>1096</v>
      </c>
      <c r="O535" s="198" t="str">
        <f>HYPERLINK("https://leetcode.com/problems/reverse-string-ii/","https://leetcode.com/problems/reverse-string-ii/")</f>
        <v>https://leetcode.com/problems/reverse-string-ii/</v>
      </c>
    </row>
    <row r="536" spans="1:15" ht="31.5" customHeight="1" x14ac:dyDescent="0.2">
      <c r="A536" s="151">
        <v>531</v>
      </c>
      <c r="B536" s="151">
        <v>3567</v>
      </c>
      <c r="C536" s="152" t="s">
        <v>3214</v>
      </c>
      <c r="D536" s="153" t="s">
        <v>5069</v>
      </c>
      <c r="E536" s="154" t="s">
        <v>28</v>
      </c>
      <c r="F536" s="153" t="s">
        <v>283</v>
      </c>
      <c r="G536" s="153" t="s">
        <v>4187</v>
      </c>
      <c r="H536" s="151">
        <f>IFERROR(VLOOKUP(B538,'📊 Problem Tracker'!$B$4:$F$1200,5,FALSE()),"")</f>
        <v>0</v>
      </c>
      <c r="I536" s="151"/>
      <c r="J536" s="151"/>
      <c r="K536" s="153"/>
      <c r="L536" s="228" t="s">
        <v>3216</v>
      </c>
      <c r="M536" s="7" t="s">
        <v>3217</v>
      </c>
      <c r="N536" s="7" t="s">
        <v>3218</v>
      </c>
      <c r="O536" s="197" t="str">
        <f>HYPERLINK("https://leetcode.com/problems/minimum-absolute-difference-in-sliding-submatrix/","https://leetcode.com/problems/minimum-absolute-difference-in-sliding-submatrix/")</f>
        <v>https://leetcode.com/problems/minimum-absolute-difference-in-sliding-submatrix/</v>
      </c>
    </row>
    <row r="537" spans="1:15" ht="31.5" customHeight="1" x14ac:dyDescent="0.2">
      <c r="A537" s="155">
        <v>532</v>
      </c>
      <c r="B537" s="155">
        <v>2620</v>
      </c>
      <c r="C537" s="156" t="s">
        <v>3001</v>
      </c>
      <c r="D537" s="157" t="s">
        <v>5070</v>
      </c>
      <c r="E537" s="159" t="s">
        <v>20</v>
      </c>
      <c r="F537" s="157" t="s">
        <v>62</v>
      </c>
      <c r="G537" s="157" t="s">
        <v>62</v>
      </c>
      <c r="H537" s="155">
        <f>IFERROR(VLOOKUP(B539,'📊 Problem Tracker'!$B$4:$F$1200,5,FALSE()),"")</f>
        <v>0</v>
      </c>
      <c r="I537" s="155"/>
      <c r="J537" s="155"/>
      <c r="K537" s="157"/>
      <c r="L537" s="228" t="s">
        <v>3003</v>
      </c>
      <c r="M537" s="7" t="s">
        <v>47</v>
      </c>
      <c r="N537" s="7" t="s">
        <v>47</v>
      </c>
      <c r="O537" s="198" t="str">
        <f>HYPERLINK("https://leetcode.com/problems/counter/","https://leetcode.com/problems/counter/")</f>
        <v>https://leetcode.com/problems/counter/</v>
      </c>
    </row>
    <row r="538" spans="1:15" ht="31.5" customHeight="1" x14ac:dyDescent="0.2">
      <c r="A538" s="151">
        <v>533</v>
      </c>
      <c r="B538" s="151">
        <v>610</v>
      </c>
      <c r="C538" s="152" t="s">
        <v>1657</v>
      </c>
      <c r="D538" s="153" t="s">
        <v>5071</v>
      </c>
      <c r="E538" s="160" t="s">
        <v>20</v>
      </c>
      <c r="F538" s="153" t="s">
        <v>796</v>
      </c>
      <c r="G538" s="153" t="s">
        <v>796</v>
      </c>
      <c r="H538" s="151">
        <f>IFERROR(VLOOKUP(B540,'📊 Problem Tracker'!$B$4:$F$1200,5,FALSE()),"")</f>
        <v>0</v>
      </c>
      <c r="I538" s="151"/>
      <c r="J538" s="151"/>
      <c r="K538" s="153"/>
      <c r="L538" s="228" t="s">
        <v>1659</v>
      </c>
      <c r="M538" s="7" t="s">
        <v>24</v>
      </c>
      <c r="N538" s="7" t="s">
        <v>47</v>
      </c>
      <c r="O538" s="197" t="str">
        <f>HYPERLINK("https://leetcode.com/problems/triangle-judgement/","https://leetcode.com/problems/triangle-judgement/")</f>
        <v>https://leetcode.com/problems/triangle-judgement/</v>
      </c>
    </row>
    <row r="539" spans="1:15" ht="31.5" customHeight="1" x14ac:dyDescent="0.2">
      <c r="A539" s="155">
        <v>534</v>
      </c>
      <c r="B539" s="155">
        <v>1512</v>
      </c>
      <c r="C539" s="156" t="s">
        <v>2513</v>
      </c>
      <c r="D539" s="157" t="s">
        <v>5072</v>
      </c>
      <c r="E539" s="159" t="s">
        <v>20</v>
      </c>
      <c r="F539" s="157" t="s">
        <v>19</v>
      </c>
      <c r="G539" s="157" t="s">
        <v>4244</v>
      </c>
      <c r="H539" s="155">
        <f>IFERROR(VLOOKUP(B541,'📊 Problem Tracker'!$B$4:$F$1200,5,FALSE()),"")</f>
        <v>0</v>
      </c>
      <c r="I539" s="155"/>
      <c r="J539" s="155"/>
      <c r="K539" s="157"/>
      <c r="L539" s="228" t="s">
        <v>2515</v>
      </c>
      <c r="M539" s="7" t="s">
        <v>24</v>
      </c>
      <c r="N539" s="7" t="s">
        <v>24</v>
      </c>
      <c r="O539" s="198" t="str">
        <f>HYPERLINK("https://leetcode.com/problems/number-of-good-pairs/","https://leetcode.com/problems/number-of-good-pairs/")</f>
        <v>https://leetcode.com/problems/number-of-good-pairs/</v>
      </c>
    </row>
    <row r="540" spans="1:15" ht="31.5" customHeight="1" x14ac:dyDescent="0.2">
      <c r="A540" s="151">
        <v>535</v>
      </c>
      <c r="B540" s="151">
        <v>2583</v>
      </c>
      <c r="C540" s="152" t="s">
        <v>2979</v>
      </c>
      <c r="D540" s="153" t="s">
        <v>5073</v>
      </c>
      <c r="E540" s="154" t="s">
        <v>28</v>
      </c>
      <c r="F540" s="153" t="s">
        <v>534</v>
      </c>
      <c r="G540" s="153" t="s">
        <v>4270</v>
      </c>
      <c r="H540" s="151">
        <f>IFERROR(VLOOKUP(B542,'📊 Problem Tracker'!$B$4:$F$1200,5,FALSE()),"")</f>
        <v>0</v>
      </c>
      <c r="I540" s="151"/>
      <c r="J540" s="151"/>
      <c r="K540" s="153"/>
      <c r="L540" s="228" t="s">
        <v>2981</v>
      </c>
      <c r="M540" s="7" t="s">
        <v>326</v>
      </c>
      <c r="N540" s="7" t="s">
        <v>24</v>
      </c>
      <c r="O540" s="197" t="str">
        <f>HYPERLINK("https://leetcode.com/problems/kth-largest-sum-in-a-binary-tree/","https://leetcode.com/problems/kth-largest-sum-in-a-binary-tree/")</f>
        <v>https://leetcode.com/problems/kth-largest-sum-in-a-binary-tree/</v>
      </c>
    </row>
    <row r="541" spans="1:15" ht="31.5" customHeight="1" x14ac:dyDescent="0.2">
      <c r="A541" s="155">
        <v>536</v>
      </c>
      <c r="B541" s="155">
        <v>44</v>
      </c>
      <c r="C541" s="156" t="s">
        <v>261</v>
      </c>
      <c r="D541" s="157" t="s">
        <v>4910</v>
      </c>
      <c r="E541" s="161" t="s">
        <v>42</v>
      </c>
      <c r="F541" s="157" t="s">
        <v>50</v>
      </c>
      <c r="G541" s="157"/>
      <c r="H541" s="155">
        <f>IFERROR(VLOOKUP(B543,'📊 Problem Tracker'!$B$4:$F$1200,5,FALSE()),"")</f>
        <v>0</v>
      </c>
      <c r="I541" s="155"/>
      <c r="J541" s="155"/>
      <c r="K541" s="157"/>
      <c r="L541" s="228" t="s">
        <v>264</v>
      </c>
      <c r="M541" s="7" t="s">
        <v>81</v>
      </c>
      <c r="N541" s="7" t="s">
        <v>81</v>
      </c>
      <c r="O541" s="198" t="str">
        <f>HYPERLINK("https://leetcode.com/problems/wildcard-matching/","https://leetcode.com/problems/wildcard-matching/")</f>
        <v>https://leetcode.com/problems/wildcard-matching/</v>
      </c>
    </row>
    <row r="542" spans="1:15" ht="31.5" customHeight="1" x14ac:dyDescent="0.2">
      <c r="A542" s="151">
        <v>537</v>
      </c>
      <c r="B542" s="151">
        <v>1050</v>
      </c>
      <c r="C542" s="152" t="s">
        <v>2211</v>
      </c>
      <c r="D542" s="153" t="s">
        <v>4537</v>
      </c>
      <c r="E542" s="160" t="s">
        <v>20</v>
      </c>
      <c r="F542" s="153" t="s">
        <v>796</v>
      </c>
      <c r="G542" s="153" t="s">
        <v>796</v>
      </c>
      <c r="H542" s="151">
        <f>IFERROR(VLOOKUP(B544,'📊 Problem Tracker'!$B$4:$F$1200,5,FALSE()),"")</f>
        <v>0</v>
      </c>
      <c r="I542" s="151"/>
      <c r="J542" s="151"/>
      <c r="K542" s="153"/>
      <c r="L542" s="228" t="s">
        <v>2213</v>
      </c>
      <c r="M542" s="7" t="s">
        <v>24</v>
      </c>
      <c r="N542" s="7" t="s">
        <v>24</v>
      </c>
      <c r="O542" s="197" t="str">
        <f>HYPERLINK("https://leetcode.com/problems/actors-and-directors-who-cooperated-at-least-three-times/","https://leetcode.com/problems/actors-and-directors-who-cooperated-at-least-three-times/")</f>
        <v>https://leetcode.com/problems/actors-and-directors-who-cooperated-at-least-three-times/</v>
      </c>
    </row>
    <row r="543" spans="1:15" ht="31.5" customHeight="1" x14ac:dyDescent="0.2">
      <c r="A543" s="155">
        <v>538</v>
      </c>
      <c r="B543" s="155">
        <v>1594</v>
      </c>
      <c r="C543" s="156" t="s">
        <v>2565</v>
      </c>
      <c r="D543" s="157" t="s">
        <v>4450</v>
      </c>
      <c r="E543" s="158" t="s">
        <v>28</v>
      </c>
      <c r="F543" s="157" t="s">
        <v>360</v>
      </c>
      <c r="G543" s="157" t="s">
        <v>1042</v>
      </c>
      <c r="H543" s="155">
        <f>IFERROR(VLOOKUP(B545,'📊 Problem Tracker'!$B$4:$F$1200,5,FALSE()),"")</f>
        <v>0</v>
      </c>
      <c r="I543" s="155"/>
      <c r="J543" s="155"/>
      <c r="K543" s="157"/>
      <c r="L543" s="228" t="s">
        <v>2567</v>
      </c>
      <c r="M543" s="7" t="s">
        <v>363</v>
      </c>
      <c r="N543" s="7" t="s">
        <v>363</v>
      </c>
      <c r="O543" s="198" t="str">
        <f>HYPERLINK("https://leetcode.com/problems/maximum-non-negative-product-in-a-matrix/","https://leetcode.com/problems/maximum-non-negative-product-in-a-matrix/")</f>
        <v>https://leetcode.com/problems/maximum-non-negative-product-in-a-matrix/</v>
      </c>
    </row>
    <row r="544" spans="1:15" ht="31.5" customHeight="1" x14ac:dyDescent="0.2">
      <c r="A544" s="151">
        <v>539</v>
      </c>
      <c r="B544" s="151">
        <v>1429</v>
      </c>
      <c r="C544" s="152" t="s">
        <v>2470</v>
      </c>
      <c r="D544" s="153" t="s">
        <v>4966</v>
      </c>
      <c r="E544" s="154" t="s">
        <v>28</v>
      </c>
      <c r="F544" s="153" t="s">
        <v>2471</v>
      </c>
      <c r="G544" s="153" t="s">
        <v>5074</v>
      </c>
      <c r="H544" s="151">
        <f>IFERROR(VLOOKUP(B546,'📊 Problem Tracker'!$B$4:$F$1200,5,FALSE()),"")</f>
        <v>0</v>
      </c>
      <c r="I544" s="151"/>
      <c r="J544" s="151"/>
      <c r="K544" s="153"/>
      <c r="L544" s="228" t="s">
        <v>2473</v>
      </c>
      <c r="M544" s="7" t="s">
        <v>996</v>
      </c>
      <c r="N544" s="7" t="s">
        <v>24</v>
      </c>
      <c r="O544" s="197" t="str">
        <f>HYPERLINK("https://leetcode.com/problems/first-unique-number/","https://leetcode.com/problems/first-unique-number/")</f>
        <v>https://leetcode.com/problems/first-unique-number/</v>
      </c>
    </row>
    <row r="545" spans="1:15" ht="31.5" customHeight="1" x14ac:dyDescent="0.2">
      <c r="A545" s="155">
        <v>540</v>
      </c>
      <c r="B545" s="155">
        <v>2906</v>
      </c>
      <c r="C545" s="156" t="s">
        <v>3060</v>
      </c>
      <c r="D545" s="157" t="s">
        <v>4945</v>
      </c>
      <c r="E545" s="158" t="s">
        <v>28</v>
      </c>
      <c r="F545" s="157" t="s">
        <v>283</v>
      </c>
      <c r="G545" s="157" t="s">
        <v>4187</v>
      </c>
      <c r="H545" s="155">
        <f>IFERROR(VLOOKUP(B547,'📊 Problem Tracker'!$B$4:$F$1200,5,FALSE()),"")</f>
        <v>0</v>
      </c>
      <c r="I545" s="155"/>
      <c r="J545" s="155"/>
      <c r="K545" s="157"/>
      <c r="L545" s="228" t="s">
        <v>3062</v>
      </c>
      <c r="M545" s="7" t="s">
        <v>363</v>
      </c>
      <c r="N545" s="7" t="s">
        <v>47</v>
      </c>
      <c r="O545" s="198" t="str">
        <f>HYPERLINK("https://leetcode.com/problems/construct-product-matrix/","https://leetcode.com/problems/construct-product-matrix/")</f>
        <v>https://leetcode.com/problems/construct-product-matrix/</v>
      </c>
    </row>
    <row r="546" spans="1:15" ht="31.5" customHeight="1" x14ac:dyDescent="0.2">
      <c r="A546" s="151">
        <v>541</v>
      </c>
      <c r="B546" s="151">
        <v>855</v>
      </c>
      <c r="C546" s="152" t="s">
        <v>1987</v>
      </c>
      <c r="D546" s="153" t="s">
        <v>4611</v>
      </c>
      <c r="E546" s="154" t="s">
        <v>28</v>
      </c>
      <c r="F546" s="153" t="s">
        <v>1824</v>
      </c>
      <c r="G546" s="153" t="s">
        <v>4691</v>
      </c>
      <c r="H546" s="151">
        <f>IFERROR(VLOOKUP(B548,'📊 Problem Tracker'!$B$4:$F$1200,5,FALSE()),"")</f>
        <v>0</v>
      </c>
      <c r="I546" s="151"/>
      <c r="J546" s="151"/>
      <c r="K546" s="153"/>
      <c r="L546" s="228" t="s">
        <v>1077</v>
      </c>
      <c r="M546" s="7" t="s">
        <v>326</v>
      </c>
      <c r="N546" s="7" t="s">
        <v>24</v>
      </c>
      <c r="O546" s="197" t="str">
        <f>HYPERLINK("https://leetcode.com/problems/exam-room/","https://leetcode.com/problems/exam-room/")</f>
        <v>https://leetcode.com/problems/exam-room/</v>
      </c>
    </row>
    <row r="547" spans="1:15" ht="31.5" customHeight="1" x14ac:dyDescent="0.2">
      <c r="A547" s="155">
        <v>542</v>
      </c>
      <c r="B547" s="155">
        <v>316</v>
      </c>
      <c r="C547" s="156" t="s">
        <v>1193</v>
      </c>
      <c r="D547" s="157" t="s">
        <v>4578</v>
      </c>
      <c r="E547" s="158" t="s">
        <v>28</v>
      </c>
      <c r="F547" s="157" t="s">
        <v>133</v>
      </c>
      <c r="G547" s="157" t="s">
        <v>1473</v>
      </c>
      <c r="H547" s="155">
        <f>IFERROR(VLOOKUP(B549,'📊 Problem Tracker'!$B$4:$F$1200,5,FALSE()),"")</f>
        <v>0</v>
      </c>
      <c r="I547" s="155"/>
      <c r="J547" s="155"/>
      <c r="K547" s="157"/>
      <c r="L547" s="228" t="s">
        <v>1195</v>
      </c>
      <c r="M547" s="7" t="s">
        <v>24</v>
      </c>
      <c r="N547" s="7" t="s">
        <v>24</v>
      </c>
      <c r="O547" s="198" t="str">
        <f>HYPERLINK("https://leetcode.com/problems/remove-duplicate-letters/","https://leetcode.com/problems/remove-duplicate-letters/")</f>
        <v>https://leetcode.com/problems/remove-duplicate-letters/</v>
      </c>
    </row>
    <row r="548" spans="1:15" ht="31.5" customHeight="1" x14ac:dyDescent="0.2">
      <c r="A548" s="151">
        <v>543</v>
      </c>
      <c r="B548" s="151">
        <v>173</v>
      </c>
      <c r="C548" s="152" t="s">
        <v>785</v>
      </c>
      <c r="D548" s="153" t="s">
        <v>4740</v>
      </c>
      <c r="E548" s="154" t="s">
        <v>28</v>
      </c>
      <c r="F548" s="153" t="s">
        <v>786</v>
      </c>
      <c r="G548" s="153" t="s">
        <v>4950</v>
      </c>
      <c r="H548" s="151">
        <f>IFERROR(VLOOKUP(B550,'📊 Problem Tracker'!$B$4:$F$1200,5,FALSE()),"")</f>
        <v>0</v>
      </c>
      <c r="I548" s="151"/>
      <c r="J548" s="151"/>
      <c r="K548" s="153"/>
      <c r="L548" s="228" t="s">
        <v>513</v>
      </c>
      <c r="M548" s="7" t="s">
        <v>788</v>
      </c>
      <c r="N548" s="7" t="s">
        <v>503</v>
      </c>
      <c r="O548" s="197" t="str">
        <f>HYPERLINK("https://leetcode.com/problems/binary-search-tree-iterator/","https://leetcode.com/problems/binary-search-tree-iterator/")</f>
        <v>https://leetcode.com/problems/binary-search-tree-iterator/</v>
      </c>
    </row>
    <row r="549" spans="1:15" ht="31.5" customHeight="1" x14ac:dyDescent="0.2">
      <c r="A549" s="155">
        <v>544</v>
      </c>
      <c r="B549" s="155">
        <v>415</v>
      </c>
      <c r="C549" s="156" t="s">
        <v>1404</v>
      </c>
      <c r="D549" s="157" t="s">
        <v>4654</v>
      </c>
      <c r="E549" s="159" t="s">
        <v>20</v>
      </c>
      <c r="F549" s="157" t="s">
        <v>56</v>
      </c>
      <c r="G549" s="157" t="s">
        <v>4946</v>
      </c>
      <c r="H549" s="155">
        <f>IFERROR(VLOOKUP(B551,'📊 Problem Tracker'!$B$4:$F$1200,5,FALSE()),"")</f>
        <v>0</v>
      </c>
      <c r="I549" s="155"/>
      <c r="J549" s="155"/>
      <c r="K549" s="157"/>
      <c r="L549" s="228" t="s">
        <v>230</v>
      </c>
      <c r="M549" s="7" t="s">
        <v>24</v>
      </c>
      <c r="N549" s="7" t="s">
        <v>24</v>
      </c>
      <c r="O549" s="198" t="str">
        <f>HYPERLINK("https://leetcode.com/problems/add-strings/","https://leetcode.com/problems/add-strings/")</f>
        <v>https://leetcode.com/problems/add-strings/</v>
      </c>
    </row>
    <row r="550" spans="1:15" ht="31.5" customHeight="1" x14ac:dyDescent="0.2">
      <c r="A550" s="151">
        <v>545</v>
      </c>
      <c r="B550" s="151">
        <v>886</v>
      </c>
      <c r="C550" s="152" t="s">
        <v>2029</v>
      </c>
      <c r="D550" s="153" t="s">
        <v>4922</v>
      </c>
      <c r="E550" s="154" t="s">
        <v>28</v>
      </c>
      <c r="F550" s="153" t="s">
        <v>1198</v>
      </c>
      <c r="G550" s="153" t="s">
        <v>5075</v>
      </c>
      <c r="H550" s="151">
        <f>IFERROR(VLOOKUP(B552,'📊 Problem Tracker'!$B$4:$F$1200,5,FALSE()),"")</f>
        <v>0</v>
      </c>
      <c r="I550" s="151"/>
      <c r="J550" s="151"/>
      <c r="K550" s="153"/>
      <c r="L550" s="228" t="s">
        <v>619</v>
      </c>
      <c r="M550" s="7" t="s">
        <v>648</v>
      </c>
      <c r="N550" s="7" t="s">
        <v>648</v>
      </c>
      <c r="O550" s="197" t="str">
        <f>HYPERLINK("https://leetcode.com/problems/possible-bipartition/","https://leetcode.com/problems/possible-bipartition/")</f>
        <v>https://leetcode.com/problems/possible-bipartition/</v>
      </c>
    </row>
    <row r="551" spans="1:15" ht="31.5" customHeight="1" x14ac:dyDescent="0.2">
      <c r="A551" s="155">
        <v>546</v>
      </c>
      <c r="B551" s="155">
        <v>3212</v>
      </c>
      <c r="C551" s="156" t="s">
        <v>3133</v>
      </c>
      <c r="D551" s="157" t="s">
        <v>4506</v>
      </c>
      <c r="E551" s="158" t="s">
        <v>28</v>
      </c>
      <c r="F551" s="157" t="s">
        <v>283</v>
      </c>
      <c r="G551" s="157" t="s">
        <v>4187</v>
      </c>
      <c r="H551" s="155">
        <f>IFERROR(VLOOKUP(B553,'📊 Problem Tracker'!$B$4:$F$1200,5,FALSE()),"")</f>
        <v>0</v>
      </c>
      <c r="I551" s="155"/>
      <c r="J551" s="155"/>
      <c r="K551" s="157"/>
      <c r="L551" s="228" t="s">
        <v>3135</v>
      </c>
      <c r="M551" s="7" t="s">
        <v>363</v>
      </c>
      <c r="N551" s="7" t="s">
        <v>363</v>
      </c>
      <c r="O551" s="198" t="str">
        <f>HYPERLINK("https://leetcode.com/problems/count-submatrices-with-equal-frequency-of-x-and-y/","https://leetcode.com/problems/count-submatrices-with-equal-frequency-of-x-and-y/")</f>
        <v>https://leetcode.com/problems/count-submatrices-with-equal-frequency-of-x-and-y/</v>
      </c>
    </row>
    <row r="552" spans="1:15" ht="31.5" customHeight="1" x14ac:dyDescent="0.2">
      <c r="A552" s="151">
        <v>547</v>
      </c>
      <c r="B552" s="151">
        <v>109</v>
      </c>
      <c r="C552" s="152" t="s">
        <v>565</v>
      </c>
      <c r="D552" s="153" t="s">
        <v>4444</v>
      </c>
      <c r="E552" s="154" t="s">
        <v>28</v>
      </c>
      <c r="F552" s="153" t="s">
        <v>566</v>
      </c>
      <c r="G552" s="153" t="s">
        <v>5076</v>
      </c>
      <c r="H552" s="151">
        <f>IFERROR(VLOOKUP(B554,'📊 Problem Tracker'!$B$4:$F$1200,5,FALSE()),"")</f>
        <v>0</v>
      </c>
      <c r="I552" s="151"/>
      <c r="J552" s="151"/>
      <c r="K552" s="153"/>
      <c r="L552" s="228" t="s">
        <v>513</v>
      </c>
      <c r="M552" s="7" t="s">
        <v>24</v>
      </c>
      <c r="N552" s="7" t="s">
        <v>65</v>
      </c>
      <c r="O552" s="197" t="str">
        <f>HYPERLINK("https://leetcode.com/problems/convert-sorted-list-to-binary-search-tree/","https://leetcode.com/problems/convert-sorted-list-to-binary-search-tree/")</f>
        <v>https://leetcode.com/problems/convert-sorted-list-to-binary-search-tree/</v>
      </c>
    </row>
    <row r="553" spans="1:15" ht="31.5" customHeight="1" x14ac:dyDescent="0.2">
      <c r="A553" s="155">
        <v>548</v>
      </c>
      <c r="B553" s="155">
        <v>193</v>
      </c>
      <c r="C553" s="156" t="s">
        <v>861</v>
      </c>
      <c r="D553" s="157" t="s">
        <v>5077</v>
      </c>
      <c r="E553" s="159" t="s">
        <v>20</v>
      </c>
      <c r="F553" s="157" t="s">
        <v>98</v>
      </c>
      <c r="G553" s="157" t="s">
        <v>98</v>
      </c>
      <c r="H553" s="155">
        <f>IFERROR(VLOOKUP(B555,'📊 Problem Tracker'!$B$4:$F$1200,5,FALSE()),"")</f>
        <v>0</v>
      </c>
      <c r="I553" s="155"/>
      <c r="J553" s="155"/>
      <c r="K553" s="157"/>
      <c r="L553" s="228" t="s">
        <v>863</v>
      </c>
      <c r="M553" s="7" t="s">
        <v>24</v>
      </c>
      <c r="N553" s="7" t="s">
        <v>47</v>
      </c>
      <c r="O553" s="198" t="str">
        <f>HYPERLINK("https://leetcode.com/problems/valid-phone-numbers/","https://leetcode.com/problems/valid-phone-numbers/")</f>
        <v>https://leetcode.com/problems/valid-phone-numbers/</v>
      </c>
    </row>
    <row r="554" spans="1:15" ht="31.5" customHeight="1" x14ac:dyDescent="0.2">
      <c r="A554" s="151">
        <v>549</v>
      </c>
      <c r="B554" s="151">
        <v>2946</v>
      </c>
      <c r="C554" s="152" t="s">
        <v>3072</v>
      </c>
      <c r="D554" s="153" t="s">
        <v>5038</v>
      </c>
      <c r="E554" s="160" t="s">
        <v>20</v>
      </c>
      <c r="F554" s="153" t="s">
        <v>283</v>
      </c>
      <c r="G554" s="153" t="s">
        <v>4187</v>
      </c>
      <c r="H554" s="151">
        <f>IFERROR(VLOOKUP(B556,'📊 Problem Tracker'!$B$4:$F$1200,5,FALSE()),"")</f>
        <v>0</v>
      </c>
      <c r="I554" s="151"/>
      <c r="J554" s="151"/>
      <c r="K554" s="153"/>
      <c r="L554" s="228" t="s">
        <v>3074</v>
      </c>
      <c r="M554" s="7" t="s">
        <v>363</v>
      </c>
      <c r="N554" s="7" t="s">
        <v>47</v>
      </c>
      <c r="O554" s="197" t="str">
        <f>HYPERLINK("https://leetcode.com/problems/matrix-similarity-after-cyclic-shifts/","https://leetcode.com/problems/matrix-similarity-after-cyclic-shifts/")</f>
        <v>https://leetcode.com/problems/matrix-similarity-after-cyclic-shifts/</v>
      </c>
    </row>
    <row r="555" spans="1:15" ht="31.5" customHeight="1" x14ac:dyDescent="0.2">
      <c r="A555" s="155">
        <v>550</v>
      </c>
      <c r="B555" s="155">
        <v>107</v>
      </c>
      <c r="C555" s="156" t="s">
        <v>557</v>
      </c>
      <c r="D555" s="157" t="s">
        <v>4496</v>
      </c>
      <c r="E555" s="158" t="s">
        <v>28</v>
      </c>
      <c r="F555" s="157" t="s">
        <v>534</v>
      </c>
      <c r="G555" s="157" t="s">
        <v>4270</v>
      </c>
      <c r="H555" s="155">
        <f>IFERROR(VLOOKUP(B557,'📊 Problem Tracker'!$B$4:$F$1200,5,FALSE()),"")</f>
        <v>0</v>
      </c>
      <c r="I555" s="155"/>
      <c r="J555" s="155"/>
      <c r="K555" s="157"/>
      <c r="L555" s="228" t="s">
        <v>559</v>
      </c>
      <c r="M555" s="7" t="s">
        <v>24</v>
      </c>
      <c r="N555" s="7" t="s">
        <v>24</v>
      </c>
      <c r="O555" s="198" t="str">
        <f>HYPERLINK("https://leetcode.com/problems/binary-tree-level-order-traversal-ii/","https://leetcode.com/problems/binary-tree-level-order-traversal-ii/")</f>
        <v>https://leetcode.com/problems/binary-tree-level-order-traversal-ii/</v>
      </c>
    </row>
    <row r="556" spans="1:15" ht="31.5" customHeight="1" x14ac:dyDescent="0.2">
      <c r="A556" s="151">
        <v>551</v>
      </c>
      <c r="B556" s="151">
        <v>129</v>
      </c>
      <c r="C556" s="152" t="s">
        <v>633</v>
      </c>
      <c r="D556" s="153" t="s">
        <v>4546</v>
      </c>
      <c r="E556" s="154" t="s">
        <v>28</v>
      </c>
      <c r="F556" s="153" t="s">
        <v>500</v>
      </c>
      <c r="G556" s="153" t="s">
        <v>4256</v>
      </c>
      <c r="H556" s="151">
        <f>IFERROR(VLOOKUP(B558,'📊 Problem Tracker'!$B$4:$F$1200,5,FALSE()),"")</f>
        <v>0</v>
      </c>
      <c r="I556" s="151"/>
      <c r="J556" s="151"/>
      <c r="K556" s="153"/>
      <c r="L556" s="228" t="s">
        <v>571</v>
      </c>
      <c r="M556" s="7" t="s">
        <v>24</v>
      </c>
      <c r="N556" s="7" t="s">
        <v>503</v>
      </c>
      <c r="O556" s="197" t="str">
        <f>HYPERLINK("https://leetcode.com/problems/sum-root-to-leaf-numbers/","https://leetcode.com/problems/sum-root-to-leaf-numbers/")</f>
        <v>https://leetcode.com/problems/sum-root-to-leaf-numbers/</v>
      </c>
    </row>
    <row r="557" spans="1:15" ht="31.5" customHeight="1" x14ac:dyDescent="0.2">
      <c r="A557" s="155">
        <v>552</v>
      </c>
      <c r="B557" s="155">
        <v>2840</v>
      </c>
      <c r="C557" s="156" t="s">
        <v>3044</v>
      </c>
      <c r="D557" s="157" t="s">
        <v>4549</v>
      </c>
      <c r="E557" s="158" t="s">
        <v>28</v>
      </c>
      <c r="F557" s="157" t="s">
        <v>98</v>
      </c>
      <c r="G557" s="157" t="s">
        <v>98</v>
      </c>
      <c r="H557" s="155">
        <f>IFERROR(VLOOKUP(B559,'📊 Problem Tracker'!$B$4:$F$1200,5,FALSE()),"")</f>
        <v>0</v>
      </c>
      <c r="I557" s="155"/>
      <c r="J557" s="155"/>
      <c r="K557" s="157"/>
      <c r="L557" s="228" t="s">
        <v>3046</v>
      </c>
      <c r="M557" s="7" t="s">
        <v>24</v>
      </c>
      <c r="N557" s="7" t="s">
        <v>47</v>
      </c>
      <c r="O557" s="198" t="str">
        <f>HYPERLINK("https://leetcode.com/problems/check-if-strings-can-be-made-equal-with-operations-ii/","https://leetcode.com/problems/check-if-strings-can-be-made-equal-with-operations-ii/")</f>
        <v>https://leetcode.com/problems/check-if-strings-can-be-made-equal-with-operations-ii/</v>
      </c>
    </row>
    <row r="558" spans="1:15" ht="31.5" customHeight="1" x14ac:dyDescent="0.2">
      <c r="A558" s="151">
        <v>553</v>
      </c>
      <c r="B558" s="151">
        <v>1693</v>
      </c>
      <c r="C558" s="152" t="s">
        <v>2658</v>
      </c>
      <c r="D558" s="153" t="s">
        <v>4976</v>
      </c>
      <c r="E558" s="160" t="s">
        <v>20</v>
      </c>
      <c r="F558" s="153" t="s">
        <v>796</v>
      </c>
      <c r="G558" s="153" t="s">
        <v>796</v>
      </c>
      <c r="H558" s="151">
        <f>IFERROR(VLOOKUP(B560,'📊 Problem Tracker'!$B$4:$F$1200,5,FALSE()),"")</f>
        <v>0</v>
      </c>
      <c r="I558" s="151"/>
      <c r="J558" s="151"/>
      <c r="K558" s="153"/>
      <c r="L558" s="228" t="s">
        <v>2660</v>
      </c>
      <c r="M558" s="7" t="s">
        <v>24</v>
      </c>
      <c r="N558" s="7" t="s">
        <v>24</v>
      </c>
      <c r="O558" s="197" t="str">
        <f>HYPERLINK("https://leetcode.com/problems/daily-leads-and-partners/","https://leetcode.com/problems/daily-leads-and-partners/")</f>
        <v>https://leetcode.com/problems/daily-leads-and-partners/</v>
      </c>
    </row>
    <row r="559" spans="1:15" ht="31.5" customHeight="1" x14ac:dyDescent="0.2">
      <c r="A559" s="155">
        <v>554</v>
      </c>
      <c r="B559" s="155">
        <v>1856</v>
      </c>
      <c r="C559" s="156" t="s">
        <v>2739</v>
      </c>
      <c r="D559" s="157" t="s">
        <v>5078</v>
      </c>
      <c r="E559" s="158" t="s">
        <v>28</v>
      </c>
      <c r="F559" s="157" t="s">
        <v>466</v>
      </c>
      <c r="G559" s="157" t="s">
        <v>1473</v>
      </c>
      <c r="H559" s="155">
        <f>IFERROR(VLOOKUP(B561,'📊 Problem Tracker'!$B$4:$F$1200,5,FALSE()),"")</f>
        <v>0</v>
      </c>
      <c r="I559" s="155"/>
      <c r="J559" s="155"/>
      <c r="K559" s="157"/>
      <c r="L559" s="228" t="s">
        <v>2741</v>
      </c>
      <c r="M559" s="7" t="s">
        <v>24</v>
      </c>
      <c r="N559" s="7" t="s">
        <v>24</v>
      </c>
      <c r="O559" s="198" t="str">
        <f>HYPERLINK("https://leetcode.com/problems/maximum-subarray-min-product/","https://leetcode.com/problems/maximum-subarray-min-product/")</f>
        <v>https://leetcode.com/problems/maximum-subarray-min-product/</v>
      </c>
    </row>
    <row r="560" spans="1:15" ht="31.5" customHeight="1" x14ac:dyDescent="0.2">
      <c r="A560" s="151">
        <v>555</v>
      </c>
      <c r="B560" s="151">
        <v>725</v>
      </c>
      <c r="C560" s="152" t="s">
        <v>1814</v>
      </c>
      <c r="D560" s="153" t="s">
        <v>4602</v>
      </c>
      <c r="E560" s="154" t="s">
        <v>28</v>
      </c>
      <c r="F560" s="153" t="s">
        <v>127</v>
      </c>
      <c r="G560" s="153" t="s">
        <v>127</v>
      </c>
      <c r="H560" s="151">
        <f>IFERROR(VLOOKUP(B562,'📊 Problem Tracker'!$B$4:$F$1200,5,FALSE()),"")</f>
        <v>0</v>
      </c>
      <c r="I560" s="151"/>
      <c r="J560" s="151"/>
      <c r="K560" s="153"/>
      <c r="L560" s="228" t="s">
        <v>1816</v>
      </c>
      <c r="M560" s="7" t="s">
        <v>24</v>
      </c>
      <c r="N560" s="7" t="s">
        <v>153</v>
      </c>
      <c r="O560" s="197" t="str">
        <f>HYPERLINK("https://leetcode.com/problems/split-linked-list-in-parts/","https://leetcode.com/problems/split-linked-list-in-parts/")</f>
        <v>https://leetcode.com/problems/split-linked-list-in-parts/</v>
      </c>
    </row>
    <row r="561" spans="1:15" ht="31.5" customHeight="1" x14ac:dyDescent="0.2">
      <c r="A561" s="155">
        <v>556</v>
      </c>
      <c r="B561" s="155">
        <v>719</v>
      </c>
      <c r="C561" s="156" t="s">
        <v>1800</v>
      </c>
      <c r="D561" s="157" t="s">
        <v>4435</v>
      </c>
      <c r="E561" s="161" t="s">
        <v>42</v>
      </c>
      <c r="F561" s="157" t="s">
        <v>41</v>
      </c>
      <c r="G561" s="157" t="s">
        <v>512</v>
      </c>
      <c r="H561" s="155">
        <f>IFERROR(VLOOKUP(B563,'📊 Problem Tracker'!$B$4:$F$1200,5,FALSE()),"")</f>
        <v>0</v>
      </c>
      <c r="I561" s="155"/>
      <c r="J561" s="155"/>
      <c r="K561" s="157"/>
      <c r="L561" s="228" t="s">
        <v>1802</v>
      </c>
      <c r="M561" s="7" t="s">
        <v>1803</v>
      </c>
      <c r="N561" s="7" t="s">
        <v>47</v>
      </c>
      <c r="O561" s="198" t="str">
        <f>HYPERLINK("https://leetcode.com/problems/find-k-th-smallest-pair-distance/","https://leetcode.com/problems/find-k-th-smallest-pair-distance/")</f>
        <v>https://leetcode.com/problems/find-k-th-smallest-pair-distance/</v>
      </c>
    </row>
    <row r="562" spans="1:15" ht="31.5" customHeight="1" x14ac:dyDescent="0.2">
      <c r="A562" s="151">
        <v>557</v>
      </c>
      <c r="B562" s="151">
        <v>338</v>
      </c>
      <c r="C562" s="152" t="s">
        <v>1247</v>
      </c>
      <c r="D562" s="153" t="s">
        <v>4759</v>
      </c>
      <c r="E562" s="160" t="s">
        <v>20</v>
      </c>
      <c r="F562" s="153" t="s">
        <v>1248</v>
      </c>
      <c r="G562" s="153" t="s">
        <v>5079</v>
      </c>
      <c r="H562" s="151">
        <f>IFERROR(VLOOKUP(B564,'📊 Problem Tracker'!$B$4:$F$1200,5,FALSE()),"")</f>
        <v>0</v>
      </c>
      <c r="I562" s="151"/>
      <c r="J562" s="151"/>
      <c r="K562" s="153"/>
      <c r="L562" s="228" t="s">
        <v>230</v>
      </c>
      <c r="M562" s="7" t="s">
        <v>24</v>
      </c>
      <c r="N562" s="7" t="s">
        <v>24</v>
      </c>
      <c r="O562" s="197" t="str">
        <f>HYPERLINK("https://leetcode.com/problems/counting-bits/","https://leetcode.com/problems/counting-bits/")</f>
        <v>https://leetcode.com/problems/counting-bits/</v>
      </c>
    </row>
    <row r="563" spans="1:15" ht="31.5" customHeight="1" x14ac:dyDescent="0.2">
      <c r="A563" s="155">
        <v>558</v>
      </c>
      <c r="B563" s="155">
        <v>3418</v>
      </c>
      <c r="C563" s="156" t="s">
        <v>3172</v>
      </c>
      <c r="D563" s="157" t="s">
        <v>4692</v>
      </c>
      <c r="E563" s="158" t="s">
        <v>28</v>
      </c>
      <c r="F563" s="157" t="s">
        <v>19</v>
      </c>
      <c r="G563" s="157" t="s">
        <v>4244</v>
      </c>
      <c r="H563" s="155">
        <f>IFERROR(VLOOKUP(B565,'📊 Problem Tracker'!$B$4:$F$1200,5,FALSE()),"")</f>
        <v>0</v>
      </c>
      <c r="I563" s="155"/>
      <c r="J563" s="155"/>
      <c r="K563" s="157"/>
      <c r="L563" s="228" t="s">
        <v>3174</v>
      </c>
      <c r="M563" s="7" t="s">
        <v>363</v>
      </c>
      <c r="N563" s="7" t="s">
        <v>24</v>
      </c>
      <c r="O563" s="198" t="str">
        <f>HYPERLINK("https://leetcode.com/problems/maximum-amount-of-money-robot-can-earn/","https://leetcode.com/problems/maximum-amount-of-money-robot-can-earn/")</f>
        <v>https://leetcode.com/problems/maximum-amount-of-money-robot-can-earn/</v>
      </c>
    </row>
    <row r="564" spans="1:15" ht="31.5" customHeight="1" x14ac:dyDescent="0.2">
      <c r="A564" s="151">
        <v>559</v>
      </c>
      <c r="B564" s="151">
        <v>1438</v>
      </c>
      <c r="C564" s="152" t="s">
        <v>2475</v>
      </c>
      <c r="D564" s="153" t="s">
        <v>4562</v>
      </c>
      <c r="E564" s="154" t="s">
        <v>28</v>
      </c>
      <c r="F564" s="153" t="s">
        <v>916</v>
      </c>
      <c r="G564" s="153" t="s">
        <v>5080</v>
      </c>
      <c r="H564" s="151">
        <f>IFERROR(VLOOKUP(B566,'📊 Problem Tracker'!$B$4:$F$1200,5,FALSE()),"")</f>
        <v>0</v>
      </c>
      <c r="I564" s="151"/>
      <c r="J564" s="151"/>
      <c r="K564" s="153"/>
      <c r="L564" s="228" t="s">
        <v>919</v>
      </c>
      <c r="M564" s="7" t="s">
        <v>24</v>
      </c>
      <c r="N564" s="7" t="s">
        <v>153</v>
      </c>
      <c r="O564" s="197" t="str">
        <f>HYPERLINK("https://leetcode.com/problems/longest-continuous-subarray-with-absolute-diff-less-than-or-equal-to-limit/","https://leetcode.com/problems/longest-continuous-subarray-with-absolute-diff-less-than-or-equal-to-limit/")</f>
        <v>https://leetcode.com/problems/longest-continuous-subarray-with-absolute-diff-less-than-or-equal-to-limit/</v>
      </c>
    </row>
    <row r="565" spans="1:15" ht="31.5" customHeight="1" x14ac:dyDescent="0.2">
      <c r="A565" s="155">
        <v>560</v>
      </c>
      <c r="B565" s="155">
        <v>1013</v>
      </c>
      <c r="C565" s="156" t="s">
        <v>2167</v>
      </c>
      <c r="D565" s="157" t="s">
        <v>5081</v>
      </c>
      <c r="E565" s="159" t="s">
        <v>20</v>
      </c>
      <c r="F565" s="157" t="s">
        <v>166</v>
      </c>
      <c r="G565" s="157" t="s">
        <v>166</v>
      </c>
      <c r="H565" s="155">
        <f>IFERROR(VLOOKUP(B567,'📊 Problem Tracker'!$B$4:$F$1200,5,FALSE()),"")</f>
        <v>0</v>
      </c>
      <c r="I565" s="155"/>
      <c r="J565" s="155"/>
      <c r="K565" s="157"/>
      <c r="L565" s="228" t="s">
        <v>2169</v>
      </c>
      <c r="M565" s="7" t="s">
        <v>24</v>
      </c>
      <c r="N565" s="7" t="s">
        <v>47</v>
      </c>
      <c r="O565" s="198" t="str">
        <f>HYPERLINK("https://leetcode.com/problems/partition-array-into-three-parts-with-equal-sum/","https://leetcode.com/problems/partition-array-into-three-parts-with-equal-sum/")</f>
        <v>https://leetcode.com/problems/partition-array-into-three-parts-with-equal-sum/</v>
      </c>
    </row>
    <row r="566" spans="1:15" ht="31.5" customHeight="1" x14ac:dyDescent="0.2">
      <c r="A566" s="151">
        <v>561</v>
      </c>
      <c r="B566" s="151">
        <v>299</v>
      </c>
      <c r="C566" s="152" t="s">
        <v>1131</v>
      </c>
      <c r="D566" s="153" t="s">
        <v>5082</v>
      </c>
      <c r="E566" s="154" t="s">
        <v>28</v>
      </c>
      <c r="F566" s="153" t="s">
        <v>19</v>
      </c>
      <c r="G566" s="153" t="s">
        <v>4244</v>
      </c>
      <c r="H566" s="151">
        <f>IFERROR(VLOOKUP(B568,'📊 Problem Tracker'!$B$4:$F$1200,5,FALSE()),"")</f>
        <v>0</v>
      </c>
      <c r="I566" s="151"/>
      <c r="J566" s="151"/>
      <c r="K566" s="153"/>
      <c r="L566" s="228" t="s">
        <v>1133</v>
      </c>
      <c r="M566" s="7" t="s">
        <v>24</v>
      </c>
      <c r="N566" s="7" t="s">
        <v>47</v>
      </c>
      <c r="O566" s="197" t="str">
        <f>HYPERLINK("https://leetcode.com/problems/bulls-and-cows/","https://leetcode.com/problems/bulls-and-cows/")</f>
        <v>https://leetcode.com/problems/bulls-and-cows/</v>
      </c>
    </row>
    <row r="567" spans="1:15" ht="31.5" customHeight="1" x14ac:dyDescent="0.2">
      <c r="A567" s="155">
        <v>562</v>
      </c>
      <c r="B567" s="155">
        <v>3661</v>
      </c>
      <c r="C567" s="156" t="s">
        <v>3259</v>
      </c>
      <c r="D567" s="157" t="s">
        <v>4550</v>
      </c>
      <c r="E567" s="161" t="s">
        <v>42</v>
      </c>
      <c r="F567" s="157" t="s">
        <v>318</v>
      </c>
      <c r="G567" s="157" t="s">
        <v>3091</v>
      </c>
      <c r="H567" s="155">
        <f>IFERROR(VLOOKUP(B569,'📊 Problem Tracker'!$B$4:$F$1200,5,FALSE()),"")</f>
        <v>0</v>
      </c>
      <c r="I567" s="155"/>
      <c r="J567" s="155"/>
      <c r="K567" s="157"/>
      <c r="L567" s="228" t="s">
        <v>3261</v>
      </c>
      <c r="M567" s="7" t="s">
        <v>341</v>
      </c>
      <c r="N567" s="7" t="s">
        <v>24</v>
      </c>
      <c r="O567" s="198" t="str">
        <f>HYPERLINK("https://leetcode.com/problems/maximum-walls-destroyed-by-robots/","https://leetcode.com/problems/maximum-walls-destroyed-by-robots/")</f>
        <v>https://leetcode.com/problems/maximum-walls-destroyed-by-robots/</v>
      </c>
    </row>
    <row r="568" spans="1:15" ht="31.5" customHeight="1" x14ac:dyDescent="0.2">
      <c r="A568" s="151">
        <v>563</v>
      </c>
      <c r="B568" s="151">
        <v>216</v>
      </c>
      <c r="C568" s="152" t="s">
        <v>947</v>
      </c>
      <c r="D568" s="153" t="s">
        <v>4573</v>
      </c>
      <c r="E568" s="154" t="s">
        <v>28</v>
      </c>
      <c r="F568" s="153" t="s">
        <v>234</v>
      </c>
      <c r="G568" s="153" t="s">
        <v>300</v>
      </c>
      <c r="H568" s="151">
        <f>IFERROR(VLOOKUP(B570,'📊 Problem Tracker'!$B$4:$F$1200,5,FALSE()),"")</f>
        <v>0</v>
      </c>
      <c r="I568" s="151"/>
      <c r="J568" s="151"/>
      <c r="K568" s="153"/>
      <c r="L568" s="228" t="s">
        <v>948</v>
      </c>
      <c r="M568" s="7" t="s">
        <v>949</v>
      </c>
      <c r="N568" s="7" t="s">
        <v>153</v>
      </c>
      <c r="O568" s="197" t="str">
        <f>HYPERLINK("https://leetcode.com/problems/combination-sum-iii/","https://leetcode.com/problems/combination-sum-iii/")</f>
        <v>https://leetcode.com/problems/combination-sum-iii/</v>
      </c>
    </row>
    <row r="569" spans="1:15" ht="31.5" customHeight="1" x14ac:dyDescent="0.2">
      <c r="A569" s="155">
        <v>564</v>
      </c>
      <c r="B569" s="155">
        <v>30</v>
      </c>
      <c r="C569" s="156" t="s">
        <v>186</v>
      </c>
      <c r="D569" s="157" t="s">
        <v>4733</v>
      </c>
      <c r="E569" s="161" t="s">
        <v>42</v>
      </c>
      <c r="F569" s="157" t="s">
        <v>35</v>
      </c>
      <c r="G569" s="157"/>
      <c r="H569" s="155">
        <f>IFERROR(VLOOKUP(B571,'📊 Problem Tracker'!$B$4:$F$1200,5,FALSE()),"")</f>
        <v>0</v>
      </c>
      <c r="I569" s="155"/>
      <c r="J569" s="155"/>
      <c r="K569" s="157"/>
      <c r="L569" s="228" t="s">
        <v>189</v>
      </c>
      <c r="M569" s="7" t="s">
        <v>190</v>
      </c>
      <c r="N569" s="7" t="s">
        <v>153</v>
      </c>
      <c r="O569" s="198" t="str">
        <f>HYPERLINK("https://leetcode.com/problems/substring-with-concatenation-of-all-words/","https://leetcode.com/problems/substring-with-concatenation-of-all-words/")</f>
        <v>https://leetcode.com/problems/substring-with-concatenation-of-all-words/</v>
      </c>
    </row>
    <row r="570" spans="1:15" ht="31.5" customHeight="1" x14ac:dyDescent="0.2">
      <c r="A570" s="151">
        <v>565</v>
      </c>
      <c r="B570" s="151">
        <v>1944</v>
      </c>
      <c r="C570" s="152" t="s">
        <v>2802</v>
      </c>
      <c r="D570" s="153" t="s">
        <v>5083</v>
      </c>
      <c r="E570" s="162" t="s">
        <v>42</v>
      </c>
      <c r="F570" s="153" t="s">
        <v>1472</v>
      </c>
      <c r="G570" s="153" t="s">
        <v>540</v>
      </c>
      <c r="H570" s="151">
        <f>IFERROR(VLOOKUP(B572,'📊 Problem Tracker'!$B$4:$F$1200,5,FALSE()),"")</f>
        <v>0</v>
      </c>
      <c r="I570" s="151"/>
      <c r="J570" s="151"/>
      <c r="K570" s="153"/>
      <c r="L570" s="228" t="s">
        <v>2803</v>
      </c>
      <c r="M570" s="7" t="s">
        <v>24</v>
      </c>
      <c r="N570" s="7" t="s">
        <v>24</v>
      </c>
      <c r="O570" s="197" t="str">
        <f>HYPERLINK("https://leetcode.com/problems/number-of-visible-people-in-a-queue/","https://leetcode.com/problems/number-of-visible-people-in-a-queue/")</f>
        <v>https://leetcode.com/problems/number-of-visible-people-in-a-queue/</v>
      </c>
    </row>
    <row r="571" spans="1:15" ht="31.5" customHeight="1" x14ac:dyDescent="0.2">
      <c r="A571" s="155">
        <v>566</v>
      </c>
      <c r="B571" s="155">
        <v>2050</v>
      </c>
      <c r="C571" s="156" t="s">
        <v>2834</v>
      </c>
      <c r="D571" s="157" t="s">
        <v>4495</v>
      </c>
      <c r="E571" s="161" t="s">
        <v>42</v>
      </c>
      <c r="F571" s="157" t="s">
        <v>904</v>
      </c>
      <c r="G571" s="157" t="s">
        <v>4282</v>
      </c>
      <c r="H571" s="155">
        <f>IFERROR(VLOOKUP(B573,'📊 Problem Tracker'!$B$4:$F$1200,5,FALSE()),"")</f>
        <v>0</v>
      </c>
      <c r="I571" s="155"/>
      <c r="J571" s="155"/>
      <c r="K571" s="157"/>
      <c r="L571" s="228" t="s">
        <v>2836</v>
      </c>
      <c r="M571" s="7" t="s">
        <v>648</v>
      </c>
      <c r="N571" s="7" t="s">
        <v>648</v>
      </c>
      <c r="O571" s="198" t="str">
        <f>HYPERLINK("https://leetcode.com/problems/parallel-courses-iii/","https://leetcode.com/problems/parallel-courses-iii/")</f>
        <v>https://leetcode.com/problems/parallel-courses-iii/</v>
      </c>
    </row>
    <row r="572" spans="1:15" ht="31.5" customHeight="1" x14ac:dyDescent="0.2">
      <c r="A572" s="151">
        <v>567</v>
      </c>
      <c r="B572" s="151">
        <v>2516</v>
      </c>
      <c r="C572" s="152" t="s">
        <v>2971</v>
      </c>
      <c r="D572" s="153" t="s">
        <v>4517</v>
      </c>
      <c r="E572" s="154" t="s">
        <v>28</v>
      </c>
      <c r="F572" s="153" t="s">
        <v>35</v>
      </c>
      <c r="G572" s="153" t="s">
        <v>917</v>
      </c>
      <c r="H572" s="151">
        <f>IFERROR(VLOOKUP(B574,'📊 Problem Tracker'!$B$4:$F$1200,5,FALSE()),"")</f>
        <v>0</v>
      </c>
      <c r="I572" s="151"/>
      <c r="J572" s="151"/>
      <c r="K572" s="153"/>
      <c r="L572" s="228" t="s">
        <v>2973</v>
      </c>
      <c r="M572" s="7" t="s">
        <v>24</v>
      </c>
      <c r="N572" s="7" t="s">
        <v>47</v>
      </c>
      <c r="O572" s="197" t="str">
        <f>HYPERLINK("https://leetcode.com/problems/take-k-of-each-character-from-left-and-right/","https://leetcode.com/problems/take-k-of-each-character-from-left-and-right/")</f>
        <v>https://leetcode.com/problems/take-k-of-each-character-from-left-and-right/</v>
      </c>
    </row>
    <row r="573" spans="1:15" ht="31.5" customHeight="1" x14ac:dyDescent="0.2">
      <c r="A573" s="155">
        <v>568</v>
      </c>
      <c r="B573" s="155">
        <v>874</v>
      </c>
      <c r="C573" s="156" t="s">
        <v>2010</v>
      </c>
      <c r="D573" s="157" t="s">
        <v>4770</v>
      </c>
      <c r="E573" s="158" t="s">
        <v>28</v>
      </c>
      <c r="F573" s="157" t="s">
        <v>5084</v>
      </c>
      <c r="G573" s="157" t="s">
        <v>3207</v>
      </c>
      <c r="H573" s="155">
        <f>IFERROR(VLOOKUP(B575,'📊 Problem Tracker'!$B$4:$F$1200,5,FALSE()),"")</f>
        <v>0</v>
      </c>
      <c r="I573" s="155"/>
      <c r="J573" s="155"/>
      <c r="K573" s="157"/>
      <c r="L573" s="228" t="s">
        <v>2012</v>
      </c>
      <c r="M573" s="7" t="s">
        <v>24</v>
      </c>
      <c r="N573" s="7" t="s">
        <v>24</v>
      </c>
      <c r="O573" s="198" t="str">
        <f>HYPERLINK("https://leetcode.com/problems/walking-robot-simulation/","https://leetcode.com/problems/walking-robot-simulation/")</f>
        <v>https://leetcode.com/problems/walking-robot-simulation/</v>
      </c>
    </row>
    <row r="574" spans="1:15" ht="31.5" customHeight="1" x14ac:dyDescent="0.2">
      <c r="A574" s="151">
        <v>569</v>
      </c>
      <c r="B574" s="151">
        <v>633</v>
      </c>
      <c r="C574" s="152" t="s">
        <v>1683</v>
      </c>
      <c r="D574" s="153" t="s">
        <v>4789</v>
      </c>
      <c r="E574" s="154" t="s">
        <v>28</v>
      </c>
      <c r="F574" s="153" t="s">
        <v>295</v>
      </c>
      <c r="G574" s="153" t="s">
        <v>512</v>
      </c>
      <c r="H574" s="151">
        <f>IFERROR(VLOOKUP(B576,'📊 Problem Tracker'!$B$4:$F$1200,5,FALSE()),"")</f>
        <v>0</v>
      </c>
      <c r="I574" s="151"/>
      <c r="J574" s="151"/>
      <c r="K574" s="153"/>
      <c r="L574" s="228" t="s">
        <v>513</v>
      </c>
      <c r="M574" s="7" t="s">
        <v>1684</v>
      </c>
      <c r="N574" s="7" t="s">
        <v>47</v>
      </c>
      <c r="O574" s="197" t="str">
        <f>HYPERLINK("https://leetcode.com/problems/sum-of-square-numbers/","https://leetcode.com/problems/sum-of-square-numbers/")</f>
        <v>https://leetcode.com/problems/sum-of-square-numbers/</v>
      </c>
    </row>
    <row r="575" spans="1:15" ht="31.5" customHeight="1" x14ac:dyDescent="0.2">
      <c r="A575" s="155">
        <v>570</v>
      </c>
      <c r="B575" s="155">
        <v>3828</v>
      </c>
      <c r="C575" s="156" t="s">
        <v>3314</v>
      </c>
      <c r="D575" s="157" t="s">
        <v>4449</v>
      </c>
      <c r="E575" s="158" t="s">
        <v>28</v>
      </c>
      <c r="F575" s="157" t="s">
        <v>3315</v>
      </c>
      <c r="G575" s="157" t="s">
        <v>4955</v>
      </c>
      <c r="H575" s="155">
        <f>IFERROR(VLOOKUP(B577,'📊 Problem Tracker'!$B$4:$F$1200,5,FALSE()),"")</f>
        <v>0</v>
      </c>
      <c r="I575" s="155"/>
      <c r="J575" s="155"/>
      <c r="K575" s="157"/>
      <c r="L575" s="228" t="s">
        <v>3316</v>
      </c>
      <c r="M575" s="7" t="s">
        <v>24</v>
      </c>
      <c r="N575" s="7" t="s">
        <v>24</v>
      </c>
      <c r="O575" s="198" t="str">
        <f>HYPERLINK("https://leetcode.com/problems/final-element-after-subarray-deletions/","https://leetcode.com/problems/final-element-after-subarray-deletions/")</f>
        <v>https://leetcode.com/problems/final-element-after-subarray-deletions/</v>
      </c>
    </row>
    <row r="576" spans="1:15" ht="31.5" customHeight="1" x14ac:dyDescent="0.2">
      <c r="A576" s="151">
        <v>571</v>
      </c>
      <c r="B576" s="151">
        <v>290</v>
      </c>
      <c r="C576" s="152" t="s">
        <v>1116</v>
      </c>
      <c r="D576" s="153" t="s">
        <v>4478</v>
      </c>
      <c r="E576" s="160" t="s">
        <v>20</v>
      </c>
      <c r="F576" s="153" t="s">
        <v>897</v>
      </c>
      <c r="G576" s="153" t="s">
        <v>4244</v>
      </c>
      <c r="H576" s="151">
        <f>IFERROR(VLOOKUP(B578,'📊 Problem Tracker'!$B$4:$F$1200,5,FALSE()),"")</f>
        <v>0</v>
      </c>
      <c r="I576" s="151"/>
      <c r="J576" s="151"/>
      <c r="K576" s="153"/>
      <c r="L576" s="228" t="s">
        <v>705</v>
      </c>
      <c r="M576" s="7" t="s">
        <v>24</v>
      </c>
      <c r="N576" s="7" t="s">
        <v>24</v>
      </c>
      <c r="O576" s="197" t="str">
        <f>HYPERLINK("https://leetcode.com/problems/word-pattern/","https://leetcode.com/problems/word-pattern/")</f>
        <v>https://leetcode.com/problems/word-pattern/</v>
      </c>
    </row>
    <row r="577" spans="1:15" ht="31.5" customHeight="1" x14ac:dyDescent="0.2">
      <c r="A577" s="155">
        <v>572</v>
      </c>
      <c r="B577" s="155">
        <v>1791</v>
      </c>
      <c r="C577" s="156" t="s">
        <v>2715</v>
      </c>
      <c r="D577" s="157" t="s">
        <v>4784</v>
      </c>
      <c r="E577" s="159" t="s">
        <v>20</v>
      </c>
      <c r="F577" s="157" t="s">
        <v>2716</v>
      </c>
      <c r="G577" s="157" t="s">
        <v>2716</v>
      </c>
      <c r="H577" s="155">
        <f>IFERROR(VLOOKUP(B579,'📊 Problem Tracker'!$B$4:$F$1200,5,FALSE()),"")</f>
        <v>0</v>
      </c>
      <c r="I577" s="155"/>
      <c r="J577" s="155"/>
      <c r="K577" s="157"/>
      <c r="L577" s="228" t="s">
        <v>2718</v>
      </c>
      <c r="M577" s="7" t="s">
        <v>47</v>
      </c>
      <c r="N577" s="7" t="s">
        <v>47</v>
      </c>
      <c r="O577" s="198" t="str">
        <f>HYPERLINK("https://leetcode.com/problems/find-center-of-star-graph/","https://leetcode.com/problems/find-center-of-star-graph/")</f>
        <v>https://leetcode.com/problems/find-center-of-star-graph/</v>
      </c>
    </row>
    <row r="578" spans="1:15" ht="31.5" customHeight="1" x14ac:dyDescent="0.2">
      <c r="A578" s="151">
        <v>573</v>
      </c>
      <c r="B578" s="151">
        <v>979</v>
      </c>
      <c r="C578" s="152" t="s">
        <v>2125</v>
      </c>
      <c r="D578" s="153" t="s">
        <v>5085</v>
      </c>
      <c r="E578" s="154" t="s">
        <v>28</v>
      </c>
      <c r="F578" s="153" t="s">
        <v>500</v>
      </c>
      <c r="G578" s="153" t="s">
        <v>4256</v>
      </c>
      <c r="H578" s="151">
        <f>IFERROR(VLOOKUP(B580,'📊 Problem Tracker'!$B$4:$F$1200,5,FALSE()),"")</f>
        <v>0</v>
      </c>
      <c r="I578" s="151"/>
      <c r="J578" s="151"/>
      <c r="K578" s="153"/>
      <c r="L578" s="228" t="s">
        <v>2127</v>
      </c>
      <c r="M578" s="7" t="s">
        <v>24</v>
      </c>
      <c r="N578" s="7" t="s">
        <v>503</v>
      </c>
      <c r="O578" s="197" t="str">
        <f>HYPERLINK("https://leetcode.com/problems/distribute-coins-in-binary-tree/","https://leetcode.com/problems/distribute-coins-in-binary-tree/")</f>
        <v>https://leetcode.com/problems/distribute-coins-in-binary-tree/</v>
      </c>
    </row>
    <row r="579" spans="1:15" ht="31.5" customHeight="1" x14ac:dyDescent="0.2">
      <c r="A579" s="155">
        <v>574</v>
      </c>
      <c r="B579" s="155">
        <v>3026</v>
      </c>
      <c r="C579" s="156" t="s">
        <v>3098</v>
      </c>
      <c r="D579" s="157" t="s">
        <v>5086</v>
      </c>
      <c r="E579" s="158" t="s">
        <v>28</v>
      </c>
      <c r="F579" s="157" t="s">
        <v>19</v>
      </c>
      <c r="G579" s="157" t="s">
        <v>4244</v>
      </c>
      <c r="H579" s="155">
        <f>IFERROR(VLOOKUP(B581,'📊 Problem Tracker'!$B$4:$F$1200,5,FALSE()),"")</f>
        <v>0</v>
      </c>
      <c r="I579" s="155"/>
      <c r="J579" s="155"/>
      <c r="K579" s="157"/>
      <c r="L579" s="228" t="s">
        <v>3100</v>
      </c>
      <c r="M579" s="7" t="s">
        <v>24</v>
      </c>
      <c r="N579" s="7" t="s">
        <v>24</v>
      </c>
      <c r="O579" s="198" t="str">
        <f>HYPERLINK("https://leetcode.com/problems/maximum-good-subarray-sum/","https://leetcode.com/problems/maximum-good-subarray-sum/")</f>
        <v>https://leetcode.com/problems/maximum-good-subarray-sum/</v>
      </c>
    </row>
    <row r="580" spans="1:15" ht="31.5" customHeight="1" x14ac:dyDescent="0.2">
      <c r="A580" s="151">
        <v>575</v>
      </c>
      <c r="B580" s="151">
        <v>2288</v>
      </c>
      <c r="C580" s="152" t="s">
        <v>2894</v>
      </c>
      <c r="D580" s="153" t="s">
        <v>5087</v>
      </c>
      <c r="E580" s="154" t="s">
        <v>28</v>
      </c>
      <c r="F580" s="153" t="s">
        <v>56</v>
      </c>
      <c r="G580" s="153" t="s">
        <v>4946</v>
      </c>
      <c r="H580" s="151">
        <f>IFERROR(VLOOKUP(B582,'📊 Problem Tracker'!$B$4:$F$1200,5,FALSE()),"")</f>
        <v>0</v>
      </c>
      <c r="I580" s="151"/>
      <c r="J580" s="151"/>
      <c r="K580" s="153"/>
      <c r="L580" s="228" t="s">
        <v>2896</v>
      </c>
      <c r="M580" s="7" t="s">
        <v>24</v>
      </c>
      <c r="N580" s="7" t="s">
        <v>24</v>
      </c>
      <c r="O580" s="197" t="str">
        <f>HYPERLINK("https://leetcode.com/problems/apply-discount-to-prices/","https://leetcode.com/problems/apply-discount-to-prices/")</f>
        <v>https://leetcode.com/problems/apply-discount-to-prices/</v>
      </c>
    </row>
    <row r="581" spans="1:15" ht="31.5" customHeight="1" x14ac:dyDescent="0.2">
      <c r="A581" s="155">
        <v>576</v>
      </c>
      <c r="B581" s="155">
        <v>3655</v>
      </c>
      <c r="C581" s="156" t="s">
        <v>3250</v>
      </c>
      <c r="D581" s="157" t="s">
        <v>4683</v>
      </c>
      <c r="E581" s="161" t="s">
        <v>42</v>
      </c>
      <c r="F581" s="157" t="s">
        <v>660</v>
      </c>
      <c r="G581" s="157" t="s">
        <v>666</v>
      </c>
      <c r="H581" s="155">
        <f>IFERROR(VLOOKUP(B583,'📊 Problem Tracker'!$B$4:$F$1200,5,FALSE()),"")</f>
        <v>0</v>
      </c>
      <c r="I581" s="155"/>
      <c r="J581" s="155"/>
      <c r="K581" s="157"/>
      <c r="L581" s="228" t="s">
        <v>3252</v>
      </c>
      <c r="M581" s="7" t="s">
        <v>3253</v>
      </c>
      <c r="N581" s="7" t="s">
        <v>24</v>
      </c>
      <c r="O581" s="198" t="str">
        <f>HYPERLINK("https://leetcode.com/problems/xor-after-range-multiplication-queries-ii/","https://leetcode.com/problems/xor-after-range-multiplication-queries-ii/")</f>
        <v>https://leetcode.com/problems/xor-after-range-multiplication-queries-ii/</v>
      </c>
    </row>
    <row r="582" spans="1:15" ht="31.5" customHeight="1" x14ac:dyDescent="0.2">
      <c r="A582" s="151">
        <v>577</v>
      </c>
      <c r="B582" s="151">
        <v>3740</v>
      </c>
      <c r="C582" s="152" t="s">
        <v>3287</v>
      </c>
      <c r="D582" s="153" t="s">
        <v>5088</v>
      </c>
      <c r="E582" s="160" t="s">
        <v>20</v>
      </c>
      <c r="F582" s="153" t="s">
        <v>19</v>
      </c>
      <c r="G582" s="153" t="s">
        <v>4244</v>
      </c>
      <c r="H582" s="151">
        <f>IFERROR(VLOOKUP(B584,'📊 Problem Tracker'!$B$4:$F$1200,5,FALSE()),"")</f>
        <v>0</v>
      </c>
      <c r="I582" s="151"/>
      <c r="J582" s="151"/>
      <c r="K582" s="153"/>
      <c r="L582" s="228" t="s">
        <v>3289</v>
      </c>
      <c r="M582" s="7" t="s">
        <v>24</v>
      </c>
      <c r="N582" s="7" t="s">
        <v>24</v>
      </c>
      <c r="O582" s="197" t="str">
        <f>HYPERLINK("https://leetcode.com/problems/minimum-distance-between-three-equal-elements-i/","https://leetcode.com/problems/minimum-distance-between-three-equal-elements-i/")</f>
        <v>https://leetcode.com/problems/minimum-distance-between-three-equal-elements-i/</v>
      </c>
    </row>
    <row r="583" spans="1:15" ht="31.5" customHeight="1" x14ac:dyDescent="0.2">
      <c r="A583" s="155">
        <v>578</v>
      </c>
      <c r="B583" s="155">
        <v>1280</v>
      </c>
      <c r="C583" s="156" t="s">
        <v>2357</v>
      </c>
      <c r="D583" s="157" t="s">
        <v>4523</v>
      </c>
      <c r="E583" s="159" t="s">
        <v>20</v>
      </c>
      <c r="F583" s="157" t="s">
        <v>796</v>
      </c>
      <c r="G583" s="157" t="s">
        <v>796</v>
      </c>
      <c r="H583" s="155">
        <f>IFERROR(VLOOKUP(B585,'📊 Problem Tracker'!$B$4:$F$1200,5,FALSE()),"")</f>
        <v>0</v>
      </c>
      <c r="I583" s="155"/>
      <c r="J583" s="155"/>
      <c r="K583" s="157"/>
      <c r="L583" s="228" t="s">
        <v>2359</v>
      </c>
      <c r="M583" s="7" t="s">
        <v>2360</v>
      </c>
      <c r="N583" s="7" t="s">
        <v>24</v>
      </c>
      <c r="O583" s="198" t="str">
        <f>HYPERLINK("https://leetcode.com/problems/students-and-examinations/","https://leetcode.com/problems/students-and-examinations/")</f>
        <v>https://leetcode.com/problems/students-and-examinations/</v>
      </c>
    </row>
    <row r="584" spans="1:15" ht="31.5" customHeight="1" x14ac:dyDescent="0.2">
      <c r="A584" s="151">
        <v>579</v>
      </c>
      <c r="B584" s="151">
        <v>257</v>
      </c>
      <c r="C584" s="152" t="s">
        <v>1045</v>
      </c>
      <c r="D584" s="153" t="s">
        <v>4610</v>
      </c>
      <c r="E584" s="160" t="s">
        <v>20</v>
      </c>
      <c r="F584" s="153" t="s">
        <v>500</v>
      </c>
      <c r="G584" s="153" t="s">
        <v>4256</v>
      </c>
      <c r="H584" s="151">
        <f>IFERROR(VLOOKUP(B586,'📊 Problem Tracker'!$B$4:$F$1200,5,FALSE()),"")</f>
        <v>0</v>
      </c>
      <c r="I584" s="151"/>
      <c r="J584" s="151"/>
      <c r="K584" s="153"/>
      <c r="L584" s="228" t="s">
        <v>571</v>
      </c>
      <c r="M584" s="7" t="s">
        <v>53</v>
      </c>
      <c r="N584" s="7" t="s">
        <v>503</v>
      </c>
      <c r="O584" s="197" t="str">
        <f>HYPERLINK("https://leetcode.com/problems/binary-tree-paths/","https://leetcode.com/problems/binary-tree-paths/")</f>
        <v>https://leetcode.com/problems/binary-tree-paths/</v>
      </c>
    </row>
    <row r="585" spans="1:15" ht="31.5" customHeight="1" x14ac:dyDescent="0.2">
      <c r="A585" s="155">
        <v>580</v>
      </c>
      <c r="B585" s="155">
        <v>1776</v>
      </c>
      <c r="C585" s="156" t="s">
        <v>2703</v>
      </c>
      <c r="D585" s="157" t="s">
        <v>4555</v>
      </c>
      <c r="E585" s="161" t="s">
        <v>42</v>
      </c>
      <c r="F585" s="157" t="s">
        <v>466</v>
      </c>
      <c r="G585" s="157" t="s">
        <v>1473</v>
      </c>
      <c r="H585" s="155">
        <f>IFERROR(VLOOKUP(B587,'📊 Problem Tracker'!$B$4:$F$1200,5,FALSE()),"")</f>
        <v>0</v>
      </c>
      <c r="I585" s="155"/>
      <c r="J585" s="155"/>
      <c r="K585" s="157"/>
      <c r="L585" s="228" t="s">
        <v>2704</v>
      </c>
      <c r="M585" s="7" t="s">
        <v>24</v>
      </c>
      <c r="N585" s="7" t="s">
        <v>24</v>
      </c>
      <c r="O585" s="198" t="str">
        <f>HYPERLINK("https://leetcode.com/problems/car-fleet-ii/","https://leetcode.com/problems/car-fleet-ii/")</f>
        <v>https://leetcode.com/problems/car-fleet-ii/</v>
      </c>
    </row>
    <row r="586" spans="1:15" ht="31.5" customHeight="1" x14ac:dyDescent="0.2">
      <c r="A586" s="151">
        <v>581</v>
      </c>
      <c r="B586" s="151">
        <v>2751</v>
      </c>
      <c r="C586" s="152" t="s">
        <v>3030</v>
      </c>
      <c r="D586" s="153" t="s">
        <v>5039</v>
      </c>
      <c r="E586" s="162" t="s">
        <v>42</v>
      </c>
      <c r="F586" s="153" t="s">
        <v>1472</v>
      </c>
      <c r="G586" s="153" t="s">
        <v>540</v>
      </c>
      <c r="H586" s="151">
        <f>IFERROR(VLOOKUP(B588,'📊 Problem Tracker'!$B$4:$F$1200,5,FALSE()),"")</f>
        <v>0</v>
      </c>
      <c r="I586" s="151"/>
      <c r="J586" s="151"/>
      <c r="K586" s="153"/>
      <c r="L586" s="228" t="s">
        <v>3032</v>
      </c>
      <c r="M586" s="7" t="s">
        <v>326</v>
      </c>
      <c r="N586" s="7" t="s">
        <v>24</v>
      </c>
      <c r="O586" s="197" t="str">
        <f>HYPERLINK("https://leetcode.com/problems/robot-collisions/","https://leetcode.com/problems/robot-collisions/")</f>
        <v>https://leetcode.com/problems/robot-collisions/</v>
      </c>
    </row>
    <row r="587" spans="1:15" ht="31.5" customHeight="1" x14ac:dyDescent="0.2">
      <c r="A587" s="155">
        <v>582</v>
      </c>
      <c r="B587" s="155">
        <v>2344</v>
      </c>
      <c r="C587" s="156" t="s">
        <v>2902</v>
      </c>
      <c r="D587" s="157" t="s">
        <v>4515</v>
      </c>
      <c r="E587" s="161" t="s">
        <v>42</v>
      </c>
      <c r="F587" s="157" t="s">
        <v>1178</v>
      </c>
      <c r="G587" s="157" t="s">
        <v>62</v>
      </c>
      <c r="H587" s="155">
        <f>IFERROR(VLOOKUP(B589,'📊 Problem Tracker'!$B$4:$F$1200,5,FALSE()),"")</f>
        <v>0</v>
      </c>
      <c r="I587" s="155"/>
      <c r="J587" s="155"/>
      <c r="K587" s="157"/>
      <c r="L587" s="228" t="s">
        <v>2904</v>
      </c>
      <c r="M587" s="7" t="s">
        <v>2905</v>
      </c>
      <c r="N587" s="7" t="s">
        <v>47</v>
      </c>
      <c r="O587" s="198" t="str">
        <f>HYPERLINK("https://leetcode.com/problems/minimum-deletions-to-make-array-divisible/","https://leetcode.com/problems/minimum-deletions-to-make-array-divisible/")</f>
        <v>https://leetcode.com/problems/minimum-deletions-to-make-array-divisible/</v>
      </c>
    </row>
    <row r="588" spans="1:15" ht="31.5" customHeight="1" x14ac:dyDescent="0.2">
      <c r="A588" s="151">
        <v>583</v>
      </c>
      <c r="B588" s="151">
        <v>817</v>
      </c>
      <c r="C588" s="152" t="s">
        <v>1940</v>
      </c>
      <c r="D588" s="153" t="s">
        <v>4555</v>
      </c>
      <c r="E588" s="154" t="s">
        <v>28</v>
      </c>
      <c r="F588" s="153" t="s">
        <v>669</v>
      </c>
      <c r="G588" s="153" t="s">
        <v>5089</v>
      </c>
      <c r="H588" s="151">
        <f>IFERROR(VLOOKUP(B590,'📊 Problem Tracker'!$B$4:$F$1200,5,FALSE()),"")</f>
        <v>0</v>
      </c>
      <c r="I588" s="151"/>
      <c r="J588" s="151"/>
      <c r="K588" s="153"/>
      <c r="L588" s="228" t="s">
        <v>1942</v>
      </c>
      <c r="M588" s="7" t="s">
        <v>24</v>
      </c>
      <c r="N588" s="7" t="s">
        <v>24</v>
      </c>
      <c r="O588" s="197" t="str">
        <f>HYPERLINK("https://leetcode.com/problems/linked-list-components/","https://leetcode.com/problems/linked-list-components/")</f>
        <v>https://leetcode.com/problems/linked-list-components/</v>
      </c>
    </row>
    <row r="589" spans="1:15" ht="31.5" customHeight="1" x14ac:dyDescent="0.2">
      <c r="A589" s="155">
        <v>584</v>
      </c>
      <c r="B589" s="155">
        <v>2448</v>
      </c>
      <c r="C589" s="156" t="s">
        <v>2950</v>
      </c>
      <c r="D589" s="157" t="s">
        <v>5090</v>
      </c>
      <c r="E589" s="161" t="s">
        <v>42</v>
      </c>
      <c r="F589" s="157" t="s">
        <v>2951</v>
      </c>
      <c r="G589" s="157" t="s">
        <v>5091</v>
      </c>
      <c r="H589" s="155">
        <f>IFERROR(VLOOKUP(B591,'📊 Problem Tracker'!$B$4:$F$1200,5,FALSE()),"")</f>
        <v>0</v>
      </c>
      <c r="I589" s="155"/>
      <c r="J589" s="155"/>
      <c r="K589" s="157"/>
      <c r="L589" s="228" t="s">
        <v>2953</v>
      </c>
      <c r="M589" s="7" t="s">
        <v>326</v>
      </c>
      <c r="N589" s="7" t="s">
        <v>24</v>
      </c>
      <c r="O589" s="198" t="str">
        <f>HYPERLINK("https://leetcode.com/problems/minimum-cost-to-make-array-equal/","https://leetcode.com/problems/minimum-cost-to-make-array-equal/")</f>
        <v>https://leetcode.com/problems/minimum-cost-to-make-array-equal/</v>
      </c>
    </row>
    <row r="590" spans="1:15" ht="31.5" customHeight="1" x14ac:dyDescent="0.2">
      <c r="A590" s="151">
        <v>585</v>
      </c>
      <c r="B590" s="151">
        <v>501</v>
      </c>
      <c r="C590" s="152" t="s">
        <v>1526</v>
      </c>
      <c r="D590" s="153" t="s">
        <v>5056</v>
      </c>
      <c r="E590" s="160" t="s">
        <v>20</v>
      </c>
      <c r="F590" s="153" t="s">
        <v>518</v>
      </c>
      <c r="G590" s="153" t="s">
        <v>4950</v>
      </c>
      <c r="H590" s="151">
        <f>IFERROR(VLOOKUP(B592,'📊 Problem Tracker'!$B$4:$F$1200,5,FALSE()),"")</f>
        <v>0</v>
      </c>
      <c r="I590" s="151"/>
      <c r="J590" s="151"/>
      <c r="K590" s="153"/>
      <c r="L590" s="228" t="s">
        <v>1528</v>
      </c>
      <c r="M590" s="7" t="s">
        <v>24</v>
      </c>
      <c r="N590" s="7" t="s">
        <v>503</v>
      </c>
      <c r="O590" s="197" t="str">
        <f>HYPERLINK("https://leetcode.com/problems/find-mode-in-binary-search-tree/","https://leetcode.com/problems/find-mode-in-binary-search-tree/")</f>
        <v>https://leetcode.com/problems/find-mode-in-binary-search-tree/</v>
      </c>
    </row>
    <row r="591" spans="1:15" ht="31.5" customHeight="1" x14ac:dyDescent="0.2">
      <c r="A591" s="155">
        <v>586</v>
      </c>
      <c r="B591" s="155">
        <v>502</v>
      </c>
      <c r="C591" s="156" t="s">
        <v>1530</v>
      </c>
      <c r="D591" s="157" t="s">
        <v>5052</v>
      </c>
      <c r="E591" s="161" t="s">
        <v>42</v>
      </c>
      <c r="F591" s="157" t="s">
        <v>1531</v>
      </c>
      <c r="G591" s="157" t="s">
        <v>4951</v>
      </c>
      <c r="H591" s="155">
        <f>IFERROR(VLOOKUP(B593,'📊 Problem Tracker'!$B$4:$F$1200,5,FALSE()),"")</f>
        <v>0</v>
      </c>
      <c r="I591" s="155"/>
      <c r="J591" s="155"/>
      <c r="K591" s="157"/>
      <c r="L591" s="228" t="s">
        <v>1533</v>
      </c>
      <c r="M591" s="7" t="s">
        <v>326</v>
      </c>
      <c r="N591" s="7" t="s">
        <v>24</v>
      </c>
      <c r="O591" s="198" t="str">
        <f>HYPERLINK("https://leetcode.com/problems/ipo/","https://leetcode.com/problems/ipo/")</f>
        <v>https://leetcode.com/problems/ipo/</v>
      </c>
    </row>
    <row r="592" spans="1:15" ht="31.5" customHeight="1" x14ac:dyDescent="0.2">
      <c r="A592" s="151">
        <v>587</v>
      </c>
      <c r="B592" s="151">
        <v>945</v>
      </c>
      <c r="C592" s="152" t="s">
        <v>2081</v>
      </c>
      <c r="D592" s="153" t="s">
        <v>4620</v>
      </c>
      <c r="E592" s="154" t="s">
        <v>28</v>
      </c>
      <c r="F592" s="153" t="s">
        <v>1075</v>
      </c>
      <c r="G592" s="153" t="s">
        <v>4249</v>
      </c>
      <c r="H592" s="151">
        <f>IFERROR(VLOOKUP(B594,'📊 Problem Tracker'!$B$4:$F$1200,5,FALSE()),"")</f>
        <v>0</v>
      </c>
      <c r="I592" s="151"/>
      <c r="J592" s="151"/>
      <c r="K592" s="153"/>
      <c r="L592" s="228" t="s">
        <v>2083</v>
      </c>
      <c r="M592" s="7" t="s">
        <v>326</v>
      </c>
      <c r="N592" s="7" t="s">
        <v>47</v>
      </c>
      <c r="O592" s="197" t="str">
        <f>HYPERLINK("https://leetcode.com/problems/minimum-increment-to-make-array-unique/","https://leetcode.com/problems/minimum-increment-to-make-array-unique/")</f>
        <v>https://leetcode.com/problems/minimum-increment-to-make-array-unique/</v>
      </c>
    </row>
    <row r="593" spans="1:15" ht="31.5" customHeight="1" x14ac:dyDescent="0.2">
      <c r="A593" s="155">
        <v>588</v>
      </c>
      <c r="B593" s="155">
        <v>126</v>
      </c>
      <c r="C593" s="156" t="s">
        <v>615</v>
      </c>
      <c r="D593" s="157" t="s">
        <v>4541</v>
      </c>
      <c r="E593" s="161" t="s">
        <v>42</v>
      </c>
      <c r="F593" s="157" t="s">
        <v>616</v>
      </c>
      <c r="G593" s="157" t="s">
        <v>5092</v>
      </c>
      <c r="H593" s="155">
        <f>IFERROR(VLOOKUP(B595,'📊 Problem Tracker'!$B$4:$F$1200,5,FALSE()),"")</f>
        <v>0</v>
      </c>
      <c r="I593" s="155"/>
      <c r="J593" s="155"/>
      <c r="K593" s="157"/>
      <c r="L593" s="228" t="s">
        <v>619</v>
      </c>
      <c r="M593" s="7" t="s">
        <v>620</v>
      </c>
      <c r="N593" s="7" t="s">
        <v>621</v>
      </c>
      <c r="O593" s="198" t="str">
        <f>HYPERLINK("https://leetcode.com/problems/word-ladder-ii/","https://leetcode.com/problems/word-ladder-ii/")</f>
        <v>https://leetcode.com/problems/word-ladder-ii/</v>
      </c>
    </row>
    <row r="594" spans="1:15" ht="31.5" customHeight="1" x14ac:dyDescent="0.2">
      <c r="A594" s="151">
        <v>589</v>
      </c>
      <c r="B594" s="151">
        <v>1848</v>
      </c>
      <c r="C594" s="152" t="s">
        <v>2726</v>
      </c>
      <c r="D594" s="153" t="s">
        <v>4770</v>
      </c>
      <c r="E594" s="160" t="s">
        <v>20</v>
      </c>
      <c r="F594" s="153" t="s">
        <v>41</v>
      </c>
      <c r="G594" s="153" t="s">
        <v>5093</v>
      </c>
      <c r="H594" s="151">
        <f>IFERROR(VLOOKUP(B596,'📊 Problem Tracker'!$B$4:$F$1200,5,FALSE()),"")</f>
        <v>0</v>
      </c>
      <c r="I594" s="151"/>
      <c r="J594" s="151"/>
      <c r="K594" s="153"/>
      <c r="L594" s="228" t="s">
        <v>2728</v>
      </c>
      <c r="M594" s="7" t="s">
        <v>24</v>
      </c>
      <c r="N594" s="7" t="s">
        <v>47</v>
      </c>
      <c r="O594" s="197" t="str">
        <f>HYPERLINK("https://leetcode.com/problems/minimum-distance-to-the-target-element/","https://leetcode.com/problems/minimum-distance-to-the-target-element/")</f>
        <v>https://leetcode.com/problems/minimum-distance-to-the-target-element/</v>
      </c>
    </row>
    <row r="595" spans="1:15" ht="31.5" customHeight="1" x14ac:dyDescent="0.2">
      <c r="A595" s="155">
        <v>590</v>
      </c>
      <c r="B595" s="155">
        <v>1211</v>
      </c>
      <c r="C595" s="156" t="s">
        <v>2291</v>
      </c>
      <c r="D595" s="157" t="s">
        <v>4492</v>
      </c>
      <c r="E595" s="159" t="s">
        <v>20</v>
      </c>
      <c r="F595" s="157" t="s">
        <v>796</v>
      </c>
      <c r="G595" s="157" t="s">
        <v>796</v>
      </c>
      <c r="H595" s="155">
        <f>IFERROR(VLOOKUP(B597,'📊 Problem Tracker'!$B$4:$F$1200,5,FALSE()),"")</f>
        <v>0</v>
      </c>
      <c r="I595" s="155"/>
      <c r="J595" s="155"/>
      <c r="K595" s="157"/>
      <c r="L595" s="228" t="s">
        <v>2293</v>
      </c>
      <c r="M595" s="7" t="s">
        <v>24</v>
      </c>
      <c r="N595" s="7" t="s">
        <v>24</v>
      </c>
      <c r="O595" s="198" t="str">
        <f>HYPERLINK("https://leetcode.com/problems/queries-quality-and-percentage/","https://leetcode.com/problems/queries-quality-and-percentage/")</f>
        <v>https://leetcode.com/problems/queries-quality-and-percentage/</v>
      </c>
    </row>
    <row r="596" spans="1:15" ht="31.5" customHeight="1" x14ac:dyDescent="0.2">
      <c r="A596" s="151">
        <v>591</v>
      </c>
      <c r="B596" s="151">
        <v>1028</v>
      </c>
      <c r="C596" s="152" t="s">
        <v>2187</v>
      </c>
      <c r="D596" s="153" t="s">
        <v>5015</v>
      </c>
      <c r="E596" s="162" t="s">
        <v>42</v>
      </c>
      <c r="F596" s="153" t="s">
        <v>500</v>
      </c>
      <c r="G596" s="153" t="s">
        <v>4256</v>
      </c>
      <c r="H596" s="151">
        <f>IFERROR(VLOOKUP(B598,'📊 Problem Tracker'!$B$4:$F$1200,5,FALSE()),"")</f>
        <v>0</v>
      </c>
      <c r="I596" s="151"/>
      <c r="J596" s="151"/>
      <c r="K596" s="153"/>
      <c r="L596" s="228" t="s">
        <v>2189</v>
      </c>
      <c r="M596" s="7" t="s">
        <v>24</v>
      </c>
      <c r="N596" s="7" t="s">
        <v>24</v>
      </c>
      <c r="O596" s="197" t="str">
        <f>HYPERLINK("https://leetcode.com/problems/recover-a-tree-from-preorder-traversal/","https://leetcode.com/problems/recover-a-tree-from-preorder-traversal/")</f>
        <v>https://leetcode.com/problems/recover-a-tree-from-preorder-traversal/</v>
      </c>
    </row>
    <row r="597" spans="1:15" ht="31.5" customHeight="1" x14ac:dyDescent="0.2">
      <c r="A597" s="155">
        <v>592</v>
      </c>
      <c r="B597" s="155">
        <v>1547</v>
      </c>
      <c r="C597" s="156" t="s">
        <v>2530</v>
      </c>
      <c r="D597" s="157" t="s">
        <v>4852</v>
      </c>
      <c r="E597" s="161" t="s">
        <v>42</v>
      </c>
      <c r="F597" s="157" t="s">
        <v>309</v>
      </c>
      <c r="G597" s="157" t="s">
        <v>1042</v>
      </c>
      <c r="H597" s="155">
        <f>IFERROR(VLOOKUP(B599,'📊 Problem Tracker'!$B$4:$F$1200,5,FALSE()),"")</f>
        <v>0</v>
      </c>
      <c r="I597" s="155"/>
      <c r="J597" s="155"/>
      <c r="K597" s="157"/>
      <c r="L597" s="228" t="s">
        <v>2532</v>
      </c>
      <c r="M597" s="7" t="s">
        <v>2533</v>
      </c>
      <c r="N597" s="7" t="s">
        <v>2534</v>
      </c>
      <c r="O597" s="198" t="str">
        <f>HYPERLINK("https://leetcode.com/problems/minimum-cost-to-cut-a-stick/","https://leetcode.com/problems/minimum-cost-to-cut-a-stick/")</f>
        <v>https://leetcode.com/problems/minimum-cost-to-cut-a-stick/</v>
      </c>
    </row>
    <row r="598" spans="1:15" ht="31.5" customHeight="1" x14ac:dyDescent="0.2">
      <c r="A598" s="151">
        <v>593</v>
      </c>
      <c r="B598" s="151">
        <v>1236</v>
      </c>
      <c r="C598" s="152" t="s">
        <v>2316</v>
      </c>
      <c r="D598" s="153" t="s">
        <v>4527</v>
      </c>
      <c r="E598" s="154" t="s">
        <v>28</v>
      </c>
      <c r="F598" s="153" t="s">
        <v>1198</v>
      </c>
      <c r="G598" s="153" t="s">
        <v>4258</v>
      </c>
      <c r="H598" s="151">
        <f>IFERROR(VLOOKUP(B600,'📊 Problem Tracker'!$B$4:$F$1200,5,FALSE()),"")</f>
        <v>0</v>
      </c>
      <c r="I598" s="151"/>
      <c r="J598" s="151"/>
      <c r="K598" s="153"/>
      <c r="L598" s="228" t="s">
        <v>2318</v>
      </c>
      <c r="M598" s="7" t="s">
        <v>648</v>
      </c>
      <c r="N598" s="7" t="s">
        <v>649</v>
      </c>
      <c r="O598" s="197" t="str">
        <f>HYPERLINK("https://leetcode.com/problems/web-crawler/","https://leetcode.com/problems/web-crawler/")</f>
        <v>https://leetcode.com/problems/web-crawler/</v>
      </c>
    </row>
    <row r="599" spans="1:15" ht="31.5" customHeight="1" x14ac:dyDescent="0.2">
      <c r="A599" s="155">
        <v>594</v>
      </c>
      <c r="B599" s="155">
        <v>3488</v>
      </c>
      <c r="C599" s="156" t="s">
        <v>3202</v>
      </c>
      <c r="D599" s="157" t="s">
        <v>4583</v>
      </c>
      <c r="E599" s="158" t="s">
        <v>28</v>
      </c>
      <c r="F599" s="157" t="s">
        <v>19</v>
      </c>
      <c r="G599" s="157" t="s">
        <v>4244</v>
      </c>
      <c r="H599" s="155">
        <f>IFERROR(VLOOKUP(B601,'📊 Problem Tracker'!$B$4:$F$1200,5,FALSE()),"")</f>
        <v>0</v>
      </c>
      <c r="I599" s="155"/>
      <c r="J599" s="155"/>
      <c r="K599" s="157"/>
      <c r="L599" s="228" t="s">
        <v>3204</v>
      </c>
      <c r="M599" s="7" t="s">
        <v>326</v>
      </c>
      <c r="N599" s="7" t="s">
        <v>24</v>
      </c>
      <c r="O599" s="198" t="str">
        <f>HYPERLINK("https://leetcode.com/problems/closest-equal-element-queries/","https://leetcode.com/problems/closest-equal-element-queries/")</f>
        <v>https://leetcode.com/problems/closest-equal-element-queries/</v>
      </c>
    </row>
    <row r="600" spans="1:15" ht="31.5" customHeight="1" x14ac:dyDescent="0.2">
      <c r="A600" s="151">
        <v>595</v>
      </c>
      <c r="B600" s="151">
        <v>1293</v>
      </c>
      <c r="C600" s="152" t="s">
        <v>2370</v>
      </c>
      <c r="D600" s="153" t="s">
        <v>5021</v>
      </c>
      <c r="E600" s="162" t="s">
        <v>42</v>
      </c>
      <c r="F600" s="153" t="s">
        <v>1106</v>
      </c>
      <c r="G600" s="153"/>
      <c r="H600" s="151">
        <f>IFERROR(VLOOKUP(B602,'📊 Problem Tracker'!$B$4:$F$1200,5,FALSE()),"")</f>
        <v>0</v>
      </c>
      <c r="I600" s="151"/>
      <c r="J600" s="151"/>
      <c r="K600" s="153"/>
      <c r="L600" s="228" t="s">
        <v>2372</v>
      </c>
      <c r="M600" s="7" t="s">
        <v>2373</v>
      </c>
      <c r="N600" s="7" t="s">
        <v>2373</v>
      </c>
      <c r="O600" s="197" t="str">
        <f>HYPERLINK("https://leetcode.com/problems/shortest-path-in-a-grid-with-obstacles-elimination/","https://leetcode.com/problems/shortest-path-in-a-grid-with-obstacles-elimination/")</f>
        <v>https://leetcode.com/problems/shortest-path-in-a-grid-with-obstacles-elimination/</v>
      </c>
    </row>
    <row r="601" spans="1:15" ht="31.5" customHeight="1" x14ac:dyDescent="0.2">
      <c r="A601" s="155">
        <v>596</v>
      </c>
      <c r="B601" s="155">
        <v>1029</v>
      </c>
      <c r="C601" s="156" t="s">
        <v>2191</v>
      </c>
      <c r="D601" s="157" t="s">
        <v>4678</v>
      </c>
      <c r="E601" s="158" t="s">
        <v>28</v>
      </c>
      <c r="F601" s="157" t="s">
        <v>318</v>
      </c>
      <c r="G601" s="157" t="s">
        <v>3091</v>
      </c>
      <c r="H601" s="155">
        <f>IFERROR(VLOOKUP(B603,'📊 Problem Tracker'!$B$4:$F$1200,5,FALSE()),"")</f>
        <v>0</v>
      </c>
      <c r="I601" s="155"/>
      <c r="J601" s="155"/>
      <c r="K601" s="157"/>
      <c r="L601" s="228" t="s">
        <v>2193</v>
      </c>
      <c r="M601" s="7" t="s">
        <v>326</v>
      </c>
      <c r="N601" s="7" t="s">
        <v>47</v>
      </c>
      <c r="O601" s="198" t="str">
        <f>HYPERLINK("https://leetcode.com/problems/two-city-scheduling/","https://leetcode.com/problems/two-city-scheduling/")</f>
        <v>https://leetcode.com/problems/two-city-scheduling/</v>
      </c>
    </row>
    <row r="602" spans="1:15" ht="31.5" customHeight="1" x14ac:dyDescent="0.2">
      <c r="A602" s="151">
        <v>597</v>
      </c>
      <c r="B602" s="151">
        <v>3371</v>
      </c>
      <c r="C602" s="152" t="s">
        <v>3153</v>
      </c>
      <c r="D602" s="153" t="s">
        <v>5094</v>
      </c>
      <c r="E602" s="154" t="s">
        <v>28</v>
      </c>
      <c r="F602" s="153" t="s">
        <v>19</v>
      </c>
      <c r="G602" s="153" t="s">
        <v>4244</v>
      </c>
      <c r="H602" s="151">
        <f>IFERROR(VLOOKUP(B604,'📊 Problem Tracker'!$B$4:$F$1200,5,FALSE()),"")</f>
        <v>0</v>
      </c>
      <c r="I602" s="151"/>
      <c r="J602" s="151"/>
      <c r="K602" s="153"/>
      <c r="L602" s="228" t="s">
        <v>3155</v>
      </c>
      <c r="M602" s="7" t="s">
        <v>24</v>
      </c>
      <c r="N602" s="7" t="s">
        <v>24</v>
      </c>
      <c r="O602" s="197" t="str">
        <f>HYPERLINK("https://leetcode.com/problems/identify-the-largest-outlier-in-an-array/","https://leetcode.com/problems/identify-the-largest-outlier-in-an-array/")</f>
        <v>https://leetcode.com/problems/identify-the-largest-outlier-in-an-array/</v>
      </c>
    </row>
    <row r="603" spans="1:15" ht="31.5" customHeight="1" x14ac:dyDescent="0.2">
      <c r="A603" s="155">
        <v>598</v>
      </c>
      <c r="B603" s="155">
        <v>3761</v>
      </c>
      <c r="C603" s="156" t="s">
        <v>3295</v>
      </c>
      <c r="D603" s="157" t="s">
        <v>4712</v>
      </c>
      <c r="E603" s="158" t="s">
        <v>28</v>
      </c>
      <c r="F603" s="157" t="s">
        <v>19</v>
      </c>
      <c r="G603" s="157"/>
      <c r="H603" s="155">
        <f>IFERROR(VLOOKUP(B605,'📊 Problem Tracker'!$B$4:$F$1200,5,FALSE()),"")</f>
        <v>0</v>
      </c>
      <c r="I603" s="155"/>
      <c r="J603" s="155"/>
      <c r="K603" s="157"/>
      <c r="L603" s="228" t="s">
        <v>3297</v>
      </c>
      <c r="M603" s="7" t="s">
        <v>24</v>
      </c>
      <c r="N603" s="7" t="s">
        <v>24</v>
      </c>
      <c r="O603" s="198" t="str">
        <f>HYPERLINK("https://leetcode.com/problems/minimum-absolute-distance-between-mirror-pairs/","https://leetcode.com/problems/minimum-absolute-distance-between-mirror-pairs/")</f>
        <v>https://leetcode.com/problems/minimum-absolute-distance-between-mirror-pairs/</v>
      </c>
    </row>
    <row r="604" spans="1:15" ht="31.5" customHeight="1" x14ac:dyDescent="0.2">
      <c r="A604" s="151">
        <v>599</v>
      </c>
      <c r="B604" s="151">
        <v>1574</v>
      </c>
      <c r="C604" s="152" t="s">
        <v>2552</v>
      </c>
      <c r="D604" s="153" t="s">
        <v>4577</v>
      </c>
      <c r="E604" s="154" t="s">
        <v>28</v>
      </c>
      <c r="F604" s="153" t="s">
        <v>84</v>
      </c>
      <c r="G604" s="153" t="s">
        <v>689</v>
      </c>
      <c r="H604" s="151">
        <f>IFERROR(VLOOKUP(B606,'📊 Problem Tracker'!$B$4:$F$1200,5,FALSE()),"")</f>
        <v>0</v>
      </c>
      <c r="I604" s="151"/>
      <c r="J604" s="151"/>
      <c r="K604" s="153"/>
      <c r="L604" s="228" t="s">
        <v>2553</v>
      </c>
      <c r="M604" s="7" t="s">
        <v>24</v>
      </c>
      <c r="N604" s="7" t="s">
        <v>47</v>
      </c>
      <c r="O604" s="197" t="str">
        <f>HYPERLINK("https://leetcode.com/problems/shortest-subarray-to-be-removed-to-make-array-sorted/","https://leetcode.com/problems/shortest-subarray-to-be-removed-to-make-array-sorted/")</f>
        <v>https://leetcode.com/problems/shortest-subarray-to-be-removed-to-make-array-sorted/</v>
      </c>
    </row>
    <row r="605" spans="1:15" ht="31.5" customHeight="1" x14ac:dyDescent="0.2">
      <c r="A605" s="155">
        <v>600</v>
      </c>
      <c r="B605" s="155">
        <v>1219</v>
      </c>
      <c r="C605" s="156" t="s">
        <v>2299</v>
      </c>
      <c r="D605" s="157" t="s">
        <v>4743</v>
      </c>
      <c r="E605" s="158" t="s">
        <v>28</v>
      </c>
      <c r="F605" s="157" t="s">
        <v>443</v>
      </c>
      <c r="G605" s="157" t="s">
        <v>5095</v>
      </c>
      <c r="H605" s="155">
        <f>IFERROR(VLOOKUP(B607,'📊 Problem Tracker'!$B$4:$F$1200,5,FALSE()),"")</f>
        <v>0</v>
      </c>
      <c r="I605" s="155"/>
      <c r="J605" s="155"/>
      <c r="K605" s="157"/>
      <c r="L605" s="228" t="s">
        <v>2300</v>
      </c>
      <c r="M605" s="7" t="s">
        <v>2301</v>
      </c>
      <c r="N605" s="7" t="s">
        <v>153</v>
      </c>
      <c r="O605" s="198" t="str">
        <f>HYPERLINK("https://leetcode.com/problems/path-with-maximum-gold/","https://leetcode.com/problems/path-with-maximum-gold/")</f>
        <v>https://leetcode.com/problems/path-with-maximum-gold/</v>
      </c>
    </row>
    <row r="606" spans="1:15" ht="31.5" customHeight="1" x14ac:dyDescent="0.2">
      <c r="A606" s="151">
        <v>601</v>
      </c>
      <c r="B606" s="151">
        <v>1207</v>
      </c>
      <c r="C606" s="152" t="s">
        <v>2285</v>
      </c>
      <c r="D606" s="153" t="s">
        <v>4714</v>
      </c>
      <c r="E606" s="160" t="s">
        <v>20</v>
      </c>
      <c r="F606" s="153" t="s">
        <v>19</v>
      </c>
      <c r="G606" s="153" t="s">
        <v>4244</v>
      </c>
      <c r="H606" s="151">
        <f>IFERROR(VLOOKUP(B608,'📊 Problem Tracker'!$B$4:$F$1200,5,FALSE()),"")</f>
        <v>0</v>
      </c>
      <c r="I606" s="151"/>
      <c r="J606" s="151"/>
      <c r="K606" s="153"/>
      <c r="L606" s="228" t="s">
        <v>705</v>
      </c>
      <c r="M606" s="7" t="s">
        <v>24</v>
      </c>
      <c r="N606" s="7" t="s">
        <v>24</v>
      </c>
      <c r="O606" s="197" t="str">
        <f>HYPERLINK("https://leetcode.com/problems/unique-number-of-occurrences/","https://leetcode.com/problems/unique-number-of-occurrences/")</f>
        <v>https://leetcode.com/problems/unique-number-of-occurrences/</v>
      </c>
    </row>
    <row r="607" spans="1:15" ht="31.5" customHeight="1" x14ac:dyDescent="0.2">
      <c r="A607" s="155">
        <v>602</v>
      </c>
      <c r="B607" s="155">
        <v>223</v>
      </c>
      <c r="C607" s="156" t="s">
        <v>966</v>
      </c>
      <c r="D607" s="157" t="s">
        <v>4656</v>
      </c>
      <c r="E607" s="158" t="s">
        <v>28</v>
      </c>
      <c r="F607" s="157" t="s">
        <v>376</v>
      </c>
      <c r="G607" s="157" t="s">
        <v>62</v>
      </c>
      <c r="H607" s="155">
        <f>IFERROR(VLOOKUP(B609,'📊 Problem Tracker'!$B$4:$F$1200,5,FALSE()),"")</f>
        <v>0</v>
      </c>
      <c r="I607" s="155"/>
      <c r="J607" s="155"/>
      <c r="K607" s="157"/>
      <c r="L607" s="228" t="s">
        <v>968</v>
      </c>
      <c r="M607" s="7" t="s">
        <v>47</v>
      </c>
      <c r="N607" s="7" t="s">
        <v>47</v>
      </c>
      <c r="O607" s="198" t="str">
        <f>HYPERLINK("https://leetcode.com/problems/rectangle-area/","https://leetcode.com/problems/rectangle-area/")</f>
        <v>https://leetcode.com/problems/rectangle-area/</v>
      </c>
    </row>
    <row r="608" spans="1:15" ht="31.5" customHeight="1" x14ac:dyDescent="0.2">
      <c r="A608" s="151">
        <v>603</v>
      </c>
      <c r="B608" s="151">
        <v>554</v>
      </c>
      <c r="C608" s="152" t="s">
        <v>1597</v>
      </c>
      <c r="D608" s="153" t="s">
        <v>4813</v>
      </c>
      <c r="E608" s="154" t="s">
        <v>28</v>
      </c>
      <c r="F608" s="153" t="s">
        <v>19</v>
      </c>
      <c r="G608" s="153" t="s">
        <v>4244</v>
      </c>
      <c r="H608" s="151">
        <f>IFERROR(VLOOKUP(B610,'📊 Problem Tracker'!$B$4:$F$1200,5,FALSE()),"")</f>
        <v>0</v>
      </c>
      <c r="I608" s="151"/>
      <c r="J608" s="151"/>
      <c r="K608" s="153"/>
      <c r="L608" s="228" t="s">
        <v>1599</v>
      </c>
      <c r="M608" s="7" t="s">
        <v>24</v>
      </c>
      <c r="N608" s="7" t="s">
        <v>24</v>
      </c>
      <c r="O608" s="197" t="str">
        <f>HYPERLINK("https://leetcode.com/problems/brick-wall/","https://leetcode.com/problems/brick-wall/")</f>
        <v>https://leetcode.com/problems/brick-wall/</v>
      </c>
    </row>
    <row r="609" spans="1:15" ht="31.5" customHeight="1" x14ac:dyDescent="0.2">
      <c r="A609" s="155">
        <v>604</v>
      </c>
      <c r="B609" s="155">
        <v>2226</v>
      </c>
      <c r="C609" s="156" t="s">
        <v>2882</v>
      </c>
      <c r="D609" s="157" t="s">
        <v>4497</v>
      </c>
      <c r="E609" s="158" t="s">
        <v>28</v>
      </c>
      <c r="F609" s="157" t="s">
        <v>41</v>
      </c>
      <c r="G609" s="157" t="s">
        <v>512</v>
      </c>
      <c r="H609" s="155">
        <f>IFERROR(VLOOKUP(B611,'📊 Problem Tracker'!$B$4:$F$1200,5,FALSE()),"")</f>
        <v>0</v>
      </c>
      <c r="I609" s="155"/>
      <c r="J609" s="155"/>
      <c r="K609" s="157"/>
      <c r="L609" s="228" t="s">
        <v>2883</v>
      </c>
      <c r="M609" s="7" t="s">
        <v>2884</v>
      </c>
      <c r="N609" s="7" t="s">
        <v>47</v>
      </c>
      <c r="O609" s="198" t="str">
        <f>HYPERLINK("https://leetcode.com/problems/maximum-candies-allocated-to-k-children/","https://leetcode.com/problems/maximum-candies-allocated-to-k-children/")</f>
        <v>https://leetcode.com/problems/maximum-candies-allocated-to-k-children/</v>
      </c>
    </row>
    <row r="610" spans="1:15" ht="31.5" customHeight="1" x14ac:dyDescent="0.2">
      <c r="A610" s="151">
        <v>605</v>
      </c>
      <c r="B610" s="151">
        <v>2078</v>
      </c>
      <c r="C610" s="152" t="s">
        <v>2852</v>
      </c>
      <c r="D610" s="153" t="s">
        <v>5096</v>
      </c>
      <c r="E610" s="160" t="s">
        <v>20</v>
      </c>
      <c r="F610" s="153" t="s">
        <v>84</v>
      </c>
      <c r="G610" s="153" t="s">
        <v>689</v>
      </c>
      <c r="H610" s="151">
        <f>IFERROR(VLOOKUP(B612,'📊 Problem Tracker'!$B$4:$F$1200,5,FALSE()),"")</f>
        <v>0</v>
      </c>
      <c r="I610" s="151"/>
      <c r="J610" s="151"/>
      <c r="K610" s="153"/>
      <c r="L610" s="228" t="s">
        <v>2854</v>
      </c>
      <c r="M610" s="7" t="s">
        <v>24</v>
      </c>
      <c r="N610" s="7" t="s">
        <v>47</v>
      </c>
      <c r="O610" s="197" t="str">
        <f>HYPERLINK("https://leetcode.com/problems/two-furthest-houses-with-different-colors/","https://leetcode.com/problems/two-furthest-houses-with-different-colors/")</f>
        <v>https://leetcode.com/problems/two-furthest-houses-with-different-colors/</v>
      </c>
    </row>
    <row r="611" spans="1:15" ht="31.5" customHeight="1" x14ac:dyDescent="0.2">
      <c r="A611" s="155">
        <v>606</v>
      </c>
      <c r="B611" s="155">
        <v>1448</v>
      </c>
      <c r="C611" s="156" t="s">
        <v>2477</v>
      </c>
      <c r="D611" s="157" t="s">
        <v>5058</v>
      </c>
      <c r="E611" s="158" t="s">
        <v>28</v>
      </c>
      <c r="F611" s="157" t="s">
        <v>500</v>
      </c>
      <c r="G611" s="157" t="s">
        <v>4256</v>
      </c>
      <c r="H611" s="155">
        <f>IFERROR(VLOOKUP(B613,'📊 Problem Tracker'!$B$4:$F$1200,5,FALSE()),"")</f>
        <v>0</v>
      </c>
      <c r="I611" s="155"/>
      <c r="J611" s="155"/>
      <c r="K611" s="157"/>
      <c r="L611" s="228" t="s">
        <v>571</v>
      </c>
      <c r="M611" s="7" t="s">
        <v>24</v>
      </c>
      <c r="N611" s="7" t="s">
        <v>503</v>
      </c>
      <c r="O611" s="198" t="str">
        <f>HYPERLINK("https://leetcode.com/problems/count-good-nodes-in-binary-tree/","https://leetcode.com/problems/count-good-nodes-in-binary-tree/")</f>
        <v>https://leetcode.com/problems/count-good-nodes-in-binary-tree/</v>
      </c>
    </row>
    <row r="612" spans="1:15" ht="31.5" customHeight="1" x14ac:dyDescent="0.2">
      <c r="A612" s="151">
        <v>607</v>
      </c>
      <c r="B612" s="151">
        <v>3806</v>
      </c>
      <c r="C612" s="152" t="s">
        <v>3310</v>
      </c>
      <c r="D612" s="153" t="s">
        <v>5057</v>
      </c>
      <c r="E612" s="162" t="s">
        <v>42</v>
      </c>
      <c r="F612" s="153" t="s">
        <v>660</v>
      </c>
      <c r="G612" s="153" t="s">
        <v>666</v>
      </c>
      <c r="H612" s="151">
        <f>IFERROR(VLOOKUP(B614,'📊 Problem Tracker'!$B$4:$F$1200,5,FALSE()),"")</f>
        <v>0</v>
      </c>
      <c r="I612" s="151"/>
      <c r="J612" s="151"/>
      <c r="K612" s="153"/>
      <c r="L612" s="228" t="s">
        <v>3312</v>
      </c>
      <c r="M612" s="7" t="s">
        <v>2884</v>
      </c>
      <c r="N612" s="7" t="s">
        <v>47</v>
      </c>
      <c r="O612" s="197" t="str">
        <f>HYPERLINK("https://leetcode.com/problems/maximum-bitwise-and-after-increment-operations/","https://leetcode.com/problems/maximum-bitwise-and-after-increment-operations/")</f>
        <v>https://leetcode.com/problems/maximum-bitwise-and-after-increment-operations/</v>
      </c>
    </row>
    <row r="613" spans="1:15" ht="31.5" customHeight="1" x14ac:dyDescent="0.2">
      <c r="A613" s="155">
        <v>608</v>
      </c>
      <c r="B613" s="155">
        <v>988</v>
      </c>
      <c r="C613" s="156" t="s">
        <v>2144</v>
      </c>
      <c r="D613" s="157" t="s">
        <v>4523</v>
      </c>
      <c r="E613" s="158" t="s">
        <v>28</v>
      </c>
      <c r="F613" s="157" t="s">
        <v>500</v>
      </c>
      <c r="G613" s="157" t="s">
        <v>4256</v>
      </c>
      <c r="H613" s="155">
        <f>IFERROR(VLOOKUP(B615,'📊 Problem Tracker'!$B$4:$F$1200,5,FALSE()),"")</f>
        <v>0</v>
      </c>
      <c r="I613" s="155"/>
      <c r="J613" s="155"/>
      <c r="K613" s="157"/>
      <c r="L613" s="228" t="s">
        <v>2146</v>
      </c>
      <c r="M613" s="7" t="s">
        <v>1935</v>
      </c>
      <c r="N613" s="7" t="s">
        <v>24</v>
      </c>
      <c r="O613" s="198" t="str">
        <f>HYPERLINK("https://leetcode.com/problems/smallest-string-starting-from-leaf/","https://leetcode.com/problems/smallest-string-starting-from-leaf/")</f>
        <v>https://leetcode.com/problems/smallest-string-starting-from-leaf/</v>
      </c>
    </row>
    <row r="614" spans="1:15" ht="31.5" customHeight="1" x14ac:dyDescent="0.2">
      <c r="A614" s="151">
        <v>609</v>
      </c>
      <c r="B614" s="151">
        <v>1299</v>
      </c>
      <c r="C614" s="152" t="s">
        <v>2379</v>
      </c>
      <c r="D614" s="153" t="s">
        <v>5097</v>
      </c>
      <c r="E614" s="160" t="s">
        <v>20</v>
      </c>
      <c r="F614" s="153" t="s">
        <v>166</v>
      </c>
      <c r="G614" s="153" t="s">
        <v>166</v>
      </c>
      <c r="H614" s="151">
        <f>IFERROR(VLOOKUP(B616,'📊 Problem Tracker'!$B$4:$F$1200,5,FALSE()),"")</f>
        <v>0</v>
      </c>
      <c r="I614" s="151"/>
      <c r="J614" s="151"/>
      <c r="K614" s="153"/>
      <c r="L614" s="228" t="s">
        <v>2381</v>
      </c>
      <c r="M614" s="7" t="s">
        <v>24</v>
      </c>
      <c r="N614" s="7" t="s">
        <v>47</v>
      </c>
      <c r="O614" s="197" t="str">
        <f>HYPERLINK("https://leetcode.com/problems/replace-elements-with-greatest-element-on-right-side/","https://leetcode.com/problems/replace-elements-with-greatest-element-on-right-side/")</f>
        <v>https://leetcode.com/problems/replace-elements-with-greatest-element-on-right-side/</v>
      </c>
    </row>
    <row r="615" spans="1:15" ht="31.5" customHeight="1" x14ac:dyDescent="0.2">
      <c r="A615" s="155">
        <v>610</v>
      </c>
      <c r="B615" s="155">
        <v>1685</v>
      </c>
      <c r="C615" s="156" t="s">
        <v>2645</v>
      </c>
      <c r="D615" s="157" t="s">
        <v>4743</v>
      </c>
      <c r="E615" s="158" t="s">
        <v>28</v>
      </c>
      <c r="F615" s="157" t="s">
        <v>2646</v>
      </c>
      <c r="G615" s="157"/>
      <c r="H615" s="155">
        <f>IFERROR(VLOOKUP(B617,'📊 Problem Tracker'!$B$4:$F$1200,5,FALSE()),"")</f>
        <v>0</v>
      </c>
      <c r="I615" s="155"/>
      <c r="J615" s="155"/>
      <c r="K615" s="157"/>
      <c r="L615" s="228" t="s">
        <v>2648</v>
      </c>
      <c r="M615" s="7" t="s">
        <v>24</v>
      </c>
      <c r="N615" s="7" t="s">
        <v>24</v>
      </c>
      <c r="O615" s="198" t="str">
        <f>HYPERLINK("https://leetcode.com/problems/sum-of-absolute-differences-in-a-sorted-array/","https://leetcode.com/problems/sum-of-absolute-differences-in-a-sorted-array/")</f>
        <v>https://leetcode.com/problems/sum-of-absolute-differences-in-a-sorted-array/</v>
      </c>
    </row>
    <row r="616" spans="1:15" ht="31.5" customHeight="1" x14ac:dyDescent="0.2">
      <c r="A616" s="151">
        <v>611</v>
      </c>
      <c r="B616" s="151">
        <v>2064</v>
      </c>
      <c r="C616" s="152" t="s">
        <v>2841</v>
      </c>
      <c r="D616" s="153" t="s">
        <v>4680</v>
      </c>
      <c r="E616" s="154" t="s">
        <v>28</v>
      </c>
      <c r="F616" s="153" t="s">
        <v>41</v>
      </c>
      <c r="G616" s="153" t="s">
        <v>512</v>
      </c>
      <c r="H616" s="151">
        <f>IFERROR(VLOOKUP(B618,'📊 Problem Tracker'!$B$4:$F$1200,5,FALSE()),"")</f>
        <v>0</v>
      </c>
      <c r="I616" s="151"/>
      <c r="J616" s="151"/>
      <c r="K616" s="153"/>
      <c r="L616" s="228" t="s">
        <v>2842</v>
      </c>
      <c r="M616" s="7" t="s">
        <v>2843</v>
      </c>
      <c r="N616" s="7" t="s">
        <v>47</v>
      </c>
      <c r="O616" s="197" t="str">
        <f>HYPERLINK("https://leetcode.com/problems/minimized-maximum-of-products-distributed-to-any-store/","https://leetcode.com/problems/minimized-maximum-of-products-distributed-to-any-store/")</f>
        <v>https://leetcode.com/problems/minimized-maximum-of-products-distributed-to-any-store/</v>
      </c>
    </row>
    <row r="617" spans="1:15" ht="31.5" customHeight="1" x14ac:dyDescent="0.2">
      <c r="A617" s="155">
        <v>612</v>
      </c>
      <c r="B617" s="155">
        <v>1886</v>
      </c>
      <c r="C617" s="156" t="s">
        <v>2755</v>
      </c>
      <c r="D617" s="157" t="s">
        <v>4452</v>
      </c>
      <c r="E617" s="159" t="s">
        <v>20</v>
      </c>
      <c r="F617" s="157" t="s">
        <v>283</v>
      </c>
      <c r="G617" s="157"/>
      <c r="H617" s="155">
        <f>IFERROR(VLOOKUP(B619,'📊 Problem Tracker'!$B$4:$F$1200,5,FALSE()),"")</f>
        <v>0</v>
      </c>
      <c r="I617" s="155"/>
      <c r="J617" s="155"/>
      <c r="K617" s="157"/>
      <c r="L617" s="228" t="s">
        <v>2757</v>
      </c>
      <c r="M617" s="7" t="s">
        <v>341</v>
      </c>
      <c r="N617" s="7" t="s">
        <v>47</v>
      </c>
      <c r="O617" s="198" t="str">
        <f>HYPERLINK("https://leetcode.com/problems/determine-whether-matrix-can-be-obtained-by-rotation/","https://leetcode.com/problems/determine-whether-matrix-can-be-obtained-by-rotation/")</f>
        <v>https://leetcode.com/problems/determine-whether-matrix-can-be-obtained-by-rotation/</v>
      </c>
    </row>
    <row r="618" spans="1:15" ht="31.5" customHeight="1" x14ac:dyDescent="0.2">
      <c r="A618" s="151">
        <v>613</v>
      </c>
      <c r="B618" s="151">
        <v>2615</v>
      </c>
      <c r="C618" s="152" t="s">
        <v>2992</v>
      </c>
      <c r="D618" s="153" t="s">
        <v>5098</v>
      </c>
      <c r="E618" s="154" t="s">
        <v>28</v>
      </c>
      <c r="F618" s="153" t="s">
        <v>19</v>
      </c>
      <c r="G618" s="153" t="s">
        <v>4244</v>
      </c>
      <c r="H618" s="151">
        <f>IFERROR(VLOOKUP(B620,'📊 Problem Tracker'!$B$4:$F$1200,5,FALSE()),"")</f>
        <v>0</v>
      </c>
      <c r="I618" s="151"/>
      <c r="J618" s="151"/>
      <c r="K618" s="153"/>
      <c r="L618" s="228" t="s">
        <v>2994</v>
      </c>
      <c r="M618" s="7" t="s">
        <v>24</v>
      </c>
      <c r="N618" s="7" t="s">
        <v>24</v>
      </c>
      <c r="O618" s="197" t="str">
        <f>HYPERLINK("https://leetcode.com/problems/sum-of-distances/","https://leetcode.com/problems/sum-of-distances/")</f>
        <v>https://leetcode.com/problems/sum-of-distances/</v>
      </c>
    </row>
    <row r="619" spans="1:15" ht="31.5" customHeight="1" x14ac:dyDescent="0.2">
      <c r="A619" s="155">
        <v>614</v>
      </c>
      <c r="B619" s="155">
        <v>252</v>
      </c>
      <c r="C619" s="156" t="s">
        <v>1033</v>
      </c>
      <c r="D619" s="157" t="s">
        <v>4474</v>
      </c>
      <c r="E619" s="159" t="s">
        <v>20</v>
      </c>
      <c r="F619" s="157" t="s">
        <v>323</v>
      </c>
      <c r="G619" s="157" t="s">
        <v>5099</v>
      </c>
      <c r="H619" s="155">
        <f>IFERROR(VLOOKUP(B621,'📊 Problem Tracker'!$B$4:$F$1200,5,FALSE()),"")</f>
        <v>0</v>
      </c>
      <c r="I619" s="155"/>
      <c r="J619" s="155"/>
      <c r="K619" s="157"/>
      <c r="L619" s="228" t="s">
        <v>654</v>
      </c>
      <c r="M619" s="7" t="s">
        <v>326</v>
      </c>
      <c r="N619" s="7" t="s">
        <v>24</v>
      </c>
      <c r="O619" s="198" t="str">
        <f>HYPERLINK("https://leetcode.com/problems/meeting-rooms/","https://leetcode.com/problems/meeting-rooms/")</f>
        <v>https://leetcode.com/problems/meeting-rooms/</v>
      </c>
    </row>
    <row r="620" spans="1:15" ht="31.5" customHeight="1" x14ac:dyDescent="0.2">
      <c r="A620" s="151">
        <v>615</v>
      </c>
      <c r="B620" s="151">
        <v>2502</v>
      </c>
      <c r="C620" s="152" t="s">
        <v>2969</v>
      </c>
      <c r="D620" s="153" t="s">
        <v>4600</v>
      </c>
      <c r="E620" s="154" t="s">
        <v>28</v>
      </c>
      <c r="F620" s="153" t="s">
        <v>1798</v>
      </c>
      <c r="G620" s="153" t="s">
        <v>5100</v>
      </c>
      <c r="H620" s="151">
        <f>IFERROR(VLOOKUP(B622,'📊 Problem Tracker'!$B$4:$F$1200,5,FALSE()),"")</f>
        <v>0</v>
      </c>
      <c r="I620" s="151"/>
      <c r="J620" s="151"/>
      <c r="K620" s="153"/>
      <c r="L620" s="228" t="s">
        <v>1077</v>
      </c>
      <c r="M620" s="7" t="s">
        <v>24</v>
      </c>
      <c r="N620" s="7" t="s">
        <v>24</v>
      </c>
      <c r="O620" s="197" t="str">
        <f>HYPERLINK("https://leetcode.com/problems/design-memory-allocator/","https://leetcode.com/problems/design-memory-allocator/")</f>
        <v>https://leetcode.com/problems/design-memory-allocator/</v>
      </c>
    </row>
    <row r="621" spans="1:15" ht="31.5" customHeight="1" x14ac:dyDescent="0.2">
      <c r="A621" s="155">
        <v>616</v>
      </c>
      <c r="B621" s="155">
        <v>498</v>
      </c>
      <c r="C621" s="156" t="s">
        <v>1524</v>
      </c>
      <c r="D621" s="157" t="s">
        <v>4532</v>
      </c>
      <c r="E621" s="158" t="s">
        <v>28</v>
      </c>
      <c r="F621" s="157" t="s">
        <v>283</v>
      </c>
      <c r="G621" s="157" t="s">
        <v>4187</v>
      </c>
      <c r="H621" s="155">
        <f>IFERROR(VLOOKUP(B623,'📊 Problem Tracker'!$B$4:$F$1200,5,FALSE()),"")</f>
        <v>0</v>
      </c>
      <c r="I621" s="155"/>
      <c r="J621" s="155"/>
      <c r="K621" s="157"/>
      <c r="L621" s="228" t="s">
        <v>654</v>
      </c>
      <c r="M621" s="7" t="s">
        <v>363</v>
      </c>
      <c r="N621" s="7" t="s">
        <v>47</v>
      </c>
      <c r="O621" s="198" t="str">
        <f>HYPERLINK("https://leetcode.com/problems/diagonal-traverse/","https://leetcode.com/problems/diagonal-traverse/")</f>
        <v>https://leetcode.com/problems/diagonal-traverse/</v>
      </c>
    </row>
    <row r="622" spans="1:15" ht="31.5" customHeight="1" x14ac:dyDescent="0.2">
      <c r="A622" s="151">
        <v>617</v>
      </c>
      <c r="B622" s="151">
        <v>1564</v>
      </c>
      <c r="C622" s="152" t="s">
        <v>2542</v>
      </c>
      <c r="D622" s="153" t="s">
        <v>4997</v>
      </c>
      <c r="E622" s="154" t="s">
        <v>28</v>
      </c>
      <c r="F622" s="153" t="s">
        <v>318</v>
      </c>
      <c r="G622" s="153" t="s">
        <v>3091</v>
      </c>
      <c r="H622" s="151">
        <f>IFERROR(VLOOKUP(B624,'📊 Problem Tracker'!$B$4:$F$1200,5,FALSE()),"")</f>
        <v>0</v>
      </c>
      <c r="I622" s="151"/>
      <c r="J622" s="151"/>
      <c r="K622" s="153"/>
      <c r="L622" s="228" t="s">
        <v>2544</v>
      </c>
      <c r="M622" s="7" t="s">
        <v>326</v>
      </c>
      <c r="N622" s="7" t="s">
        <v>24</v>
      </c>
      <c r="O622" s="197" t="str">
        <f>HYPERLINK("https://leetcode.com/problems/put-boxes-into-the-warehouse-i/","https://leetcode.com/problems/put-boxes-into-the-warehouse-i/")</f>
        <v>https://leetcode.com/problems/put-boxes-into-the-warehouse-i/</v>
      </c>
    </row>
    <row r="623" spans="1:15" ht="31.5" customHeight="1" x14ac:dyDescent="0.2">
      <c r="A623" s="155">
        <v>618</v>
      </c>
      <c r="B623" s="155">
        <v>3408</v>
      </c>
      <c r="C623" s="156" t="s">
        <v>3166</v>
      </c>
      <c r="D623" s="157" t="s">
        <v>4467</v>
      </c>
      <c r="E623" s="158" t="s">
        <v>28</v>
      </c>
      <c r="F623" s="157" t="s">
        <v>3167</v>
      </c>
      <c r="G623" s="157" t="s">
        <v>4975</v>
      </c>
      <c r="H623" s="155">
        <f>IFERROR(VLOOKUP(B625,'📊 Problem Tracker'!$B$4:$F$1200,5,FALSE()),"")</f>
        <v>0</v>
      </c>
      <c r="I623" s="155"/>
      <c r="J623" s="155"/>
      <c r="K623" s="157"/>
      <c r="L623" s="228" t="s">
        <v>3169</v>
      </c>
      <c r="M623" s="7" t="s">
        <v>3170</v>
      </c>
      <c r="N623" s="7" t="s">
        <v>24</v>
      </c>
      <c r="O623" s="198" t="str">
        <f>HYPERLINK("https://leetcode.com/problems/design-task-manager/","https://leetcode.com/problems/design-task-manager/")</f>
        <v>https://leetcode.com/problems/design-task-manager/</v>
      </c>
    </row>
    <row r="624" spans="1:15" ht="31.5" customHeight="1" x14ac:dyDescent="0.2">
      <c r="A624" s="151">
        <v>619</v>
      </c>
      <c r="B624" s="151">
        <v>707</v>
      </c>
      <c r="C624" s="152" t="s">
        <v>1780</v>
      </c>
      <c r="D624" s="153" t="s">
        <v>4689</v>
      </c>
      <c r="E624" s="154" t="s">
        <v>28</v>
      </c>
      <c r="F624" s="153" t="s">
        <v>1781</v>
      </c>
      <c r="G624" s="153" t="s">
        <v>2570</v>
      </c>
      <c r="H624" s="151">
        <f>IFERROR(VLOOKUP(B626,'📊 Problem Tracker'!$B$4:$F$1200,5,FALSE()),"")</f>
        <v>0</v>
      </c>
      <c r="I624" s="151"/>
      <c r="J624" s="151"/>
      <c r="K624" s="153"/>
      <c r="L624" s="228" t="s">
        <v>461</v>
      </c>
      <c r="M624" s="7" t="s">
        <v>24</v>
      </c>
      <c r="N624" s="7" t="s">
        <v>47</v>
      </c>
      <c r="O624" s="197" t="str">
        <f>HYPERLINK("https://leetcode.com/problems/design-linked-list/","https://leetcode.com/problems/design-linked-list/")</f>
        <v>https://leetcode.com/problems/design-linked-list/</v>
      </c>
    </row>
    <row r="625" spans="1:15" ht="31.5" customHeight="1" x14ac:dyDescent="0.2">
      <c r="A625" s="155">
        <v>620</v>
      </c>
      <c r="B625" s="155">
        <v>3914</v>
      </c>
      <c r="C625" s="156" t="s">
        <v>3330</v>
      </c>
      <c r="D625" s="157" t="s">
        <v>4530</v>
      </c>
      <c r="E625" s="158" t="s">
        <v>28</v>
      </c>
      <c r="F625" s="157" t="s">
        <v>318</v>
      </c>
      <c r="G625" s="157" t="s">
        <v>3091</v>
      </c>
      <c r="H625" s="155">
        <f>IFERROR(VLOOKUP(B627,'📊 Problem Tracker'!$B$4:$F$1200,5,FALSE()),"")</f>
        <v>0</v>
      </c>
      <c r="I625" s="155"/>
      <c r="J625" s="155"/>
      <c r="K625" s="157"/>
      <c r="L625" s="228" t="s">
        <v>3332</v>
      </c>
      <c r="M625" s="7" t="s">
        <v>24</v>
      </c>
      <c r="N625" s="7" t="s">
        <v>24</v>
      </c>
      <c r="O625" s="198" t="str">
        <f>HYPERLINK("https://leetcode.com/problems/minimum-operations-to-make-array-non-decreasing/","https://leetcode.com/problems/minimum-operations-to-make-array-non-decreasing/")</f>
        <v>https://leetcode.com/problems/minimum-operations-to-make-array-non-decreasing/</v>
      </c>
    </row>
    <row r="626" spans="1:15" ht="31.5" customHeight="1" x14ac:dyDescent="0.2">
      <c r="A626" s="151">
        <v>621</v>
      </c>
      <c r="B626" s="151">
        <v>1920</v>
      </c>
      <c r="C626" s="152" t="s">
        <v>2788</v>
      </c>
      <c r="D626" s="153" t="s">
        <v>5101</v>
      </c>
      <c r="E626" s="160" t="s">
        <v>20</v>
      </c>
      <c r="F626" s="153" t="s">
        <v>166</v>
      </c>
      <c r="G626" s="153" t="s">
        <v>166</v>
      </c>
      <c r="H626" s="151">
        <f>IFERROR(VLOOKUP(B628,'📊 Problem Tracker'!$B$4:$F$1200,5,FALSE()),"")</f>
        <v>0</v>
      </c>
      <c r="I626" s="151"/>
      <c r="J626" s="151"/>
      <c r="K626" s="153"/>
      <c r="L626" s="228" t="s">
        <v>2790</v>
      </c>
      <c r="M626" s="7" t="s">
        <v>24</v>
      </c>
      <c r="N626" s="7" t="s">
        <v>47</v>
      </c>
      <c r="O626" s="197" t="str">
        <f>HYPERLINK("https://leetcode.com/problems/build-array-from-permutation/","https://leetcode.com/problems/build-array-from-permutation/")</f>
        <v>https://leetcode.com/problems/build-array-from-permutation/</v>
      </c>
    </row>
    <row r="627" spans="1:15" ht="31.5" customHeight="1" x14ac:dyDescent="0.2">
      <c r="A627" s="155">
        <v>622</v>
      </c>
      <c r="B627" s="155">
        <v>113</v>
      </c>
      <c r="C627" s="156" t="s">
        <v>578</v>
      </c>
      <c r="D627" s="157" t="s">
        <v>4848</v>
      </c>
      <c r="E627" s="158" t="s">
        <v>28</v>
      </c>
      <c r="F627" s="157" t="s">
        <v>579</v>
      </c>
      <c r="G627" s="157" t="s">
        <v>5102</v>
      </c>
      <c r="H627" s="155">
        <f>IFERROR(VLOOKUP(B629,'📊 Problem Tracker'!$B$4:$F$1200,5,FALSE()),"")</f>
        <v>0</v>
      </c>
      <c r="I627" s="155"/>
      <c r="J627" s="155"/>
      <c r="K627" s="157"/>
      <c r="L627" s="228" t="s">
        <v>302</v>
      </c>
      <c r="M627" s="7" t="s">
        <v>53</v>
      </c>
      <c r="N627" s="7" t="s">
        <v>503</v>
      </c>
      <c r="O627" s="198" t="str">
        <f>HYPERLINK("https://leetcode.com/problems/path-sum-ii/","https://leetcode.com/problems/path-sum-ii/")</f>
        <v>https://leetcode.com/problems/path-sum-ii/</v>
      </c>
    </row>
    <row r="628" spans="1:15" ht="31.5" customHeight="1" x14ac:dyDescent="0.2">
      <c r="A628" s="151">
        <v>623</v>
      </c>
      <c r="B628" s="151">
        <v>1376</v>
      </c>
      <c r="C628" s="152" t="s">
        <v>2432</v>
      </c>
      <c r="D628" s="153" t="s">
        <v>4440</v>
      </c>
      <c r="E628" s="154" t="s">
        <v>28</v>
      </c>
      <c r="F628" s="153" t="s">
        <v>534</v>
      </c>
      <c r="G628" s="153" t="s">
        <v>4270</v>
      </c>
      <c r="H628" s="151">
        <f>IFERROR(VLOOKUP(B630,'📊 Problem Tracker'!$B$4:$F$1200,5,FALSE()),"")</f>
        <v>0</v>
      </c>
      <c r="I628" s="151"/>
      <c r="J628" s="151"/>
      <c r="K628" s="153"/>
      <c r="L628" s="228" t="s">
        <v>2433</v>
      </c>
      <c r="M628" s="7" t="s">
        <v>24</v>
      </c>
      <c r="N628" s="7" t="s">
        <v>24</v>
      </c>
      <c r="O628" s="197" t="str">
        <f>HYPERLINK("https://leetcode.com/problems/time-needed-to-inform-all-employees/","https://leetcode.com/problems/time-needed-to-inform-all-employees/")</f>
        <v>https://leetcode.com/problems/time-needed-to-inform-all-employees/</v>
      </c>
    </row>
    <row r="629" spans="1:15" ht="31.5" customHeight="1" x14ac:dyDescent="0.2">
      <c r="A629" s="155">
        <v>624</v>
      </c>
      <c r="B629" s="155">
        <v>2033</v>
      </c>
      <c r="C629" s="156" t="s">
        <v>2828</v>
      </c>
      <c r="D629" s="157" t="s">
        <v>4697</v>
      </c>
      <c r="E629" s="158" t="s">
        <v>28</v>
      </c>
      <c r="F629" s="157" t="s">
        <v>376</v>
      </c>
      <c r="G629" s="157" t="s">
        <v>62</v>
      </c>
      <c r="H629" s="155">
        <f>IFERROR(VLOOKUP(B631,'📊 Problem Tracker'!$B$4:$F$1200,5,FALSE()),"")</f>
        <v>0</v>
      </c>
      <c r="I629" s="155"/>
      <c r="J629" s="155"/>
      <c r="K629" s="157"/>
      <c r="L629" s="228" t="s">
        <v>2830</v>
      </c>
      <c r="M629" s="7" t="s">
        <v>2831</v>
      </c>
      <c r="N629" s="7" t="s">
        <v>2832</v>
      </c>
      <c r="O629" s="198" t="str">
        <f>HYPERLINK("https://leetcode.com/problems/minimum-operations-to-make-a-uni-value-grid/","https://leetcode.com/problems/minimum-operations-to-make-a-uni-value-grid/")</f>
        <v>https://leetcode.com/problems/minimum-operations-to-make-a-uni-value-grid/</v>
      </c>
    </row>
    <row r="630" spans="1:15" ht="31.5" customHeight="1" x14ac:dyDescent="0.2">
      <c r="A630" s="151">
        <v>625</v>
      </c>
      <c r="B630" s="151">
        <v>474</v>
      </c>
      <c r="C630" s="152" t="s">
        <v>1494</v>
      </c>
      <c r="D630" s="153" t="s">
        <v>4486</v>
      </c>
      <c r="E630" s="154" t="s">
        <v>28</v>
      </c>
      <c r="F630" s="153" t="s">
        <v>309</v>
      </c>
      <c r="G630" s="153" t="s">
        <v>1042</v>
      </c>
      <c r="H630" s="151">
        <f>IFERROR(VLOOKUP(B632,'📊 Problem Tracker'!$B$4:$F$1200,5,FALSE()),"")</f>
        <v>0</v>
      </c>
      <c r="I630" s="151"/>
      <c r="J630" s="151"/>
      <c r="K630" s="153"/>
      <c r="L630" s="228" t="s">
        <v>1496</v>
      </c>
      <c r="M630" s="7" t="s">
        <v>1497</v>
      </c>
      <c r="N630" s="7" t="s">
        <v>363</v>
      </c>
      <c r="O630" s="197" t="str">
        <f>HYPERLINK("https://leetcode.com/problems/ones-and-zeroes/","https://leetcode.com/problems/ones-and-zeroes/")</f>
        <v>https://leetcode.com/problems/ones-and-zeroes/</v>
      </c>
    </row>
    <row r="631" spans="1:15" ht="31.5" customHeight="1" x14ac:dyDescent="0.2">
      <c r="A631" s="155">
        <v>626</v>
      </c>
      <c r="B631" s="155">
        <v>2653</v>
      </c>
      <c r="C631" s="156" t="s">
        <v>3005</v>
      </c>
      <c r="D631" s="157" t="s">
        <v>4867</v>
      </c>
      <c r="E631" s="158" t="s">
        <v>28</v>
      </c>
      <c r="F631" s="157" t="s">
        <v>916</v>
      </c>
      <c r="G631" s="157" t="s">
        <v>917</v>
      </c>
      <c r="H631" s="155">
        <f>IFERROR(VLOOKUP(B633,'📊 Problem Tracker'!$B$4:$F$1200,5,FALSE()),"")</f>
        <v>0</v>
      </c>
      <c r="I631" s="155"/>
      <c r="J631" s="155"/>
      <c r="K631" s="157"/>
      <c r="L631" s="228" t="s">
        <v>3007</v>
      </c>
      <c r="M631" s="7" t="s">
        <v>3008</v>
      </c>
      <c r="N631" s="7" t="s">
        <v>47</v>
      </c>
      <c r="O631" s="198" t="str">
        <f>HYPERLINK("https://leetcode.com/problems/sliding-subarray-beauty/","https://leetcode.com/problems/sliding-subarray-beauty/")</f>
        <v>https://leetcode.com/problems/sliding-subarray-beauty/</v>
      </c>
    </row>
    <row r="632" spans="1:15" ht="31.5" customHeight="1" x14ac:dyDescent="0.2">
      <c r="A632" s="151">
        <v>627</v>
      </c>
      <c r="B632" s="151">
        <v>3857</v>
      </c>
      <c r="C632" s="152" t="s">
        <v>3318</v>
      </c>
      <c r="D632" s="153" t="s">
        <v>5015</v>
      </c>
      <c r="E632" s="154" t="s">
        <v>28</v>
      </c>
      <c r="F632" s="153" t="s">
        <v>318</v>
      </c>
      <c r="G632" s="153" t="s">
        <v>3091</v>
      </c>
      <c r="H632" s="151">
        <f>IFERROR(VLOOKUP(B634,'📊 Problem Tracker'!$B$4:$F$1200,5,FALSE()),"")</f>
        <v>0</v>
      </c>
      <c r="I632" s="151"/>
      <c r="J632" s="151"/>
      <c r="K632" s="153"/>
      <c r="L632" s="228" t="s">
        <v>3320</v>
      </c>
      <c r="M632" s="7" t="s">
        <v>326</v>
      </c>
      <c r="N632" s="7" t="s">
        <v>47</v>
      </c>
      <c r="O632" s="197" t="str">
        <f>HYPERLINK("https://leetcode.com/problems/minimum-cost-to-split-into-ones/","https://leetcode.com/problems/minimum-cost-to-split-into-ones/")</f>
        <v>https://leetcode.com/problems/minimum-cost-to-split-into-ones/</v>
      </c>
    </row>
    <row r="633" spans="1:15" ht="31.5" customHeight="1" x14ac:dyDescent="0.2">
      <c r="A633" s="155">
        <v>628</v>
      </c>
      <c r="B633" s="155">
        <v>3225</v>
      </c>
      <c r="C633" s="156" t="s">
        <v>3137</v>
      </c>
      <c r="D633" s="157" t="s">
        <v>4770</v>
      </c>
      <c r="E633" s="161" t="s">
        <v>42</v>
      </c>
      <c r="F633" s="157" t="s">
        <v>360</v>
      </c>
      <c r="G633" s="157" t="s">
        <v>1042</v>
      </c>
      <c r="H633" s="155">
        <f>IFERROR(VLOOKUP(B635,'📊 Problem Tracker'!$B$4:$F$1200,5,FALSE()),"")</f>
        <v>0</v>
      </c>
      <c r="I633" s="155"/>
      <c r="J633" s="155"/>
      <c r="K633" s="157"/>
      <c r="L633" s="228" t="s">
        <v>3139</v>
      </c>
      <c r="M633" s="7" t="s">
        <v>341</v>
      </c>
      <c r="N633" s="7" t="s">
        <v>24</v>
      </c>
      <c r="O633" s="198" t="str">
        <f>HYPERLINK("https://leetcode.com/problems/maximum-score-from-grid-operations/","https://leetcode.com/problems/maximum-score-from-grid-operations/")</f>
        <v>https://leetcode.com/problems/maximum-score-from-grid-operations/</v>
      </c>
    </row>
    <row r="634" spans="1:15" ht="31.5" customHeight="1" x14ac:dyDescent="0.2">
      <c r="A634" s="151">
        <v>629</v>
      </c>
      <c r="B634" s="151">
        <v>2384</v>
      </c>
      <c r="C634" s="152" t="s">
        <v>2922</v>
      </c>
      <c r="D634" s="153" t="s">
        <v>5103</v>
      </c>
      <c r="E634" s="154" t="s">
        <v>28</v>
      </c>
      <c r="F634" s="153" t="s">
        <v>1873</v>
      </c>
      <c r="G634" s="153" t="s">
        <v>5104</v>
      </c>
      <c r="H634" s="151">
        <f>IFERROR(VLOOKUP(B636,'📊 Problem Tracker'!$B$4:$F$1200,5,FALSE()),"")</f>
        <v>0</v>
      </c>
      <c r="I634" s="151"/>
      <c r="J634" s="151"/>
      <c r="K634" s="153"/>
      <c r="L634" s="228" t="s">
        <v>2924</v>
      </c>
      <c r="M634" s="7" t="s">
        <v>24</v>
      </c>
      <c r="N634" s="7" t="s">
        <v>47</v>
      </c>
      <c r="O634" s="197" t="str">
        <f>HYPERLINK("https://leetcode.com/problems/largest-palindromic-number/","https://leetcode.com/problems/largest-palindromic-number/")</f>
        <v>https://leetcode.com/problems/largest-palindromic-number/</v>
      </c>
    </row>
    <row r="635" spans="1:15" ht="31.5" customHeight="1" x14ac:dyDescent="0.2">
      <c r="A635" s="155">
        <v>630</v>
      </c>
      <c r="B635" s="155">
        <v>396</v>
      </c>
      <c r="C635" s="156" t="s">
        <v>1373</v>
      </c>
      <c r="D635" s="157" t="s">
        <v>4437</v>
      </c>
      <c r="E635" s="158" t="s">
        <v>28</v>
      </c>
      <c r="F635" s="157" t="s">
        <v>376</v>
      </c>
      <c r="G635" s="157" t="s">
        <v>4986</v>
      </c>
      <c r="H635" s="155">
        <f>IFERROR(VLOOKUP(B637,'📊 Problem Tracker'!$B$4:$F$1200,5,FALSE()),"")</f>
        <v>0</v>
      </c>
      <c r="I635" s="155"/>
      <c r="J635" s="155"/>
      <c r="K635" s="157"/>
      <c r="L635" s="228" t="s">
        <v>1375</v>
      </c>
      <c r="M635" s="7" t="s">
        <v>24</v>
      </c>
      <c r="N635" s="7" t="s">
        <v>24</v>
      </c>
      <c r="O635" s="198" t="str">
        <f>HYPERLINK("https://leetcode.com/problems/rotate-function/","https://leetcode.com/problems/rotate-function/")</f>
        <v>https://leetcode.com/problems/rotate-function/</v>
      </c>
    </row>
    <row r="636" spans="1:15" ht="31.5" customHeight="1" x14ac:dyDescent="0.2">
      <c r="A636" s="151">
        <v>631</v>
      </c>
      <c r="B636" s="151">
        <v>313</v>
      </c>
      <c r="C636" s="152" t="s">
        <v>1177</v>
      </c>
      <c r="D636" s="153" t="s">
        <v>5105</v>
      </c>
      <c r="E636" s="154" t="s">
        <v>28</v>
      </c>
      <c r="F636" s="153" t="s">
        <v>1178</v>
      </c>
      <c r="G636" s="153" t="s">
        <v>5106</v>
      </c>
      <c r="H636" s="151">
        <f>IFERROR(VLOOKUP(B638,'📊 Problem Tracker'!$B$4:$F$1200,5,FALSE()),"")</f>
        <v>0</v>
      </c>
      <c r="I636" s="151"/>
      <c r="J636" s="151"/>
      <c r="K636" s="153"/>
      <c r="L636" s="228" t="s">
        <v>1180</v>
      </c>
      <c r="M636" s="7" t="s">
        <v>1181</v>
      </c>
      <c r="N636" s="7" t="s">
        <v>1182</v>
      </c>
      <c r="O636" s="197" t="str">
        <f>HYPERLINK("https://leetcode.com/problems/super-ugly-number/","https://leetcode.com/problems/super-ugly-number/")</f>
        <v>https://leetcode.com/problems/super-ugly-number/</v>
      </c>
    </row>
    <row r="637" spans="1:15" ht="31.5" customHeight="1" x14ac:dyDescent="0.2">
      <c r="A637" s="155">
        <v>632</v>
      </c>
      <c r="B637" s="155">
        <v>684</v>
      </c>
      <c r="C637" s="156" t="s">
        <v>1735</v>
      </c>
      <c r="D637" s="157" t="s">
        <v>4802</v>
      </c>
      <c r="E637" s="158" t="s">
        <v>28</v>
      </c>
      <c r="F637" s="157" t="s">
        <v>1050</v>
      </c>
      <c r="G637" s="157" t="s">
        <v>1736</v>
      </c>
      <c r="H637" s="155">
        <f>IFERROR(VLOOKUP(B639,'📊 Problem Tracker'!$B$4:$F$1200,5,FALSE()),"")</f>
        <v>0</v>
      </c>
      <c r="I637" s="155"/>
      <c r="J637" s="155"/>
      <c r="K637" s="157"/>
      <c r="L637" s="228" t="s">
        <v>1737</v>
      </c>
      <c r="M637" s="7" t="s">
        <v>1738</v>
      </c>
      <c r="N637" s="7" t="s">
        <v>24</v>
      </c>
      <c r="O637" s="198" t="str">
        <f>HYPERLINK("https://leetcode.com/problems/redundant-connection/","https://leetcode.com/problems/redundant-connection/")</f>
        <v>https://leetcode.com/problems/redundant-connection/</v>
      </c>
    </row>
    <row r="638" spans="1:15" ht="31.5" customHeight="1" x14ac:dyDescent="0.2">
      <c r="A638" s="151">
        <v>633</v>
      </c>
      <c r="B638" s="151">
        <v>3920</v>
      </c>
      <c r="C638" s="152" t="s">
        <v>3334</v>
      </c>
      <c r="D638" s="153" t="s">
        <v>5107</v>
      </c>
      <c r="E638" s="162" t="s">
        <v>42</v>
      </c>
      <c r="F638" s="153" t="s">
        <v>376</v>
      </c>
      <c r="G638" s="153" t="s">
        <v>62</v>
      </c>
      <c r="H638" s="151">
        <f>IFERROR(VLOOKUP(B640,'📊 Problem Tracker'!$B$4:$F$1200,5,FALSE()),"")</f>
        <v>0</v>
      </c>
      <c r="I638" s="151"/>
      <c r="J638" s="151"/>
      <c r="K638" s="153"/>
      <c r="L638" s="228" t="s">
        <v>3336</v>
      </c>
      <c r="M638" s="7" t="s">
        <v>326</v>
      </c>
      <c r="N638" s="7" t="s">
        <v>24</v>
      </c>
      <c r="O638" s="197" t="str">
        <f>HYPERLINK("https://leetcode.com/problems/maximize-fixed-points-after-deletions/","https://leetcode.com/problems/maximize-fixed-points-after-deletions/")</f>
        <v>https://leetcode.com/problems/maximize-fixed-points-after-deletions/</v>
      </c>
    </row>
    <row r="639" spans="1:15" ht="31.5" customHeight="1" x14ac:dyDescent="0.2">
      <c r="A639" s="155">
        <v>634</v>
      </c>
      <c r="B639" s="155">
        <v>1110</v>
      </c>
      <c r="C639" s="156" t="s">
        <v>2231</v>
      </c>
      <c r="D639" s="157" t="s">
        <v>5108</v>
      </c>
      <c r="E639" s="158" t="s">
        <v>28</v>
      </c>
      <c r="F639" s="157" t="s">
        <v>500</v>
      </c>
      <c r="G639" s="157" t="s">
        <v>4256</v>
      </c>
      <c r="H639" s="155">
        <f>IFERROR(VLOOKUP(B641,'📊 Problem Tracker'!$B$4:$F$1200,5,FALSE()),"")</f>
        <v>0</v>
      </c>
      <c r="I639" s="155"/>
      <c r="J639" s="155"/>
      <c r="K639" s="157"/>
      <c r="L639" s="228" t="s">
        <v>2233</v>
      </c>
      <c r="M639" s="7" t="s">
        <v>24</v>
      </c>
      <c r="N639" s="7" t="s">
        <v>24</v>
      </c>
      <c r="O639" s="198" t="str">
        <f>HYPERLINK("https://leetcode.com/problems/delete-nodes-and-return-forest/","https://leetcode.com/problems/delete-nodes-and-return-forest/")</f>
        <v>https://leetcode.com/problems/delete-nodes-and-return-forest/</v>
      </c>
    </row>
    <row r="640" spans="1:15" ht="31.5" customHeight="1" x14ac:dyDescent="0.2">
      <c r="A640" s="151">
        <v>635</v>
      </c>
      <c r="B640" s="151">
        <v>785</v>
      </c>
      <c r="C640" s="152" t="s">
        <v>1896</v>
      </c>
      <c r="D640" s="153" t="s">
        <v>4673</v>
      </c>
      <c r="E640" s="154" t="s">
        <v>28</v>
      </c>
      <c r="F640" s="153" t="s">
        <v>1198</v>
      </c>
      <c r="G640" s="153" t="s">
        <v>4258</v>
      </c>
      <c r="H640" s="151">
        <f>IFERROR(VLOOKUP(B642,'📊 Problem Tracker'!$B$4:$F$1200,5,FALSE()),"")</f>
        <v>0</v>
      </c>
      <c r="I640" s="151"/>
      <c r="J640" s="151"/>
      <c r="K640" s="153"/>
      <c r="L640" s="228" t="s">
        <v>619</v>
      </c>
      <c r="M640" s="7" t="s">
        <v>648</v>
      </c>
      <c r="N640" s="7" t="s">
        <v>648</v>
      </c>
      <c r="O640" s="197" t="str">
        <f>HYPERLINK("https://leetcode.com/problems/is-graph-bipartite/","https://leetcode.com/problems/is-graph-bipartite/")</f>
        <v>https://leetcode.com/problems/is-graph-bipartite/</v>
      </c>
    </row>
    <row r="641" spans="1:15" ht="31.5" customHeight="1" x14ac:dyDescent="0.2">
      <c r="A641" s="155">
        <v>636</v>
      </c>
      <c r="B641" s="155">
        <v>187</v>
      </c>
      <c r="C641" s="156" t="s">
        <v>845</v>
      </c>
      <c r="D641" s="157" t="s">
        <v>4486</v>
      </c>
      <c r="E641" s="158" t="s">
        <v>28</v>
      </c>
      <c r="F641" s="157" t="s">
        <v>846</v>
      </c>
      <c r="G641" s="157"/>
      <c r="H641" s="155">
        <f>IFERROR(VLOOKUP(B643,'📊 Problem Tracker'!$B$4:$F$1200,5,FALSE()),"")</f>
        <v>0</v>
      </c>
      <c r="I641" s="155"/>
      <c r="J641" s="155"/>
      <c r="K641" s="157"/>
      <c r="L641" s="228" t="s">
        <v>848</v>
      </c>
      <c r="M641" s="7" t="s">
        <v>24</v>
      </c>
      <c r="N641" s="7" t="s">
        <v>24</v>
      </c>
      <c r="O641" s="198" t="str">
        <f>HYPERLINK("https://leetcode.com/problems/repeated-dna-sequences/","https://leetcode.com/problems/repeated-dna-sequences/")</f>
        <v>https://leetcode.com/problems/repeated-dna-sequences/</v>
      </c>
    </row>
    <row r="642" spans="1:15" ht="31.5" customHeight="1" x14ac:dyDescent="0.2">
      <c r="A642" s="151">
        <v>637</v>
      </c>
      <c r="B642" s="151">
        <v>1861</v>
      </c>
      <c r="C642" s="152" t="s">
        <v>5109</v>
      </c>
      <c r="D642" s="153" t="s">
        <v>5110</v>
      </c>
      <c r="E642" s="154" t="s">
        <v>28</v>
      </c>
      <c r="F642" s="153" t="s">
        <v>283</v>
      </c>
      <c r="G642" s="153" t="s">
        <v>4187</v>
      </c>
      <c r="H642" s="151">
        <f>IFERROR(VLOOKUP(B644,'📊 Problem Tracker'!$B$4:$F$1200,5,FALSE()),"")</f>
        <v>0</v>
      </c>
      <c r="I642" s="151"/>
      <c r="J642" s="151"/>
      <c r="K642" s="153"/>
      <c r="L642" s="228" t="s">
        <v>2745</v>
      </c>
      <c r="M642" s="7" t="s">
        <v>24</v>
      </c>
      <c r="N642" s="7" t="s">
        <v>24</v>
      </c>
      <c r="O642" s="197" t="str">
        <f>HYPERLINK("https://leetcode.com/problems/rotating-the-box/","https://leetcode.com/problems/rotating-the-box/")</f>
        <v>https://leetcode.com/problems/rotating-the-box/</v>
      </c>
    </row>
    <row r="643" spans="1:15" ht="31.5" customHeight="1" x14ac:dyDescent="0.2">
      <c r="A643" s="155">
        <v>638</v>
      </c>
      <c r="B643" s="155">
        <v>229</v>
      </c>
      <c r="C643" s="156" t="s">
        <v>987</v>
      </c>
      <c r="D643" s="157" t="s">
        <v>4599</v>
      </c>
      <c r="E643" s="158" t="s">
        <v>28</v>
      </c>
      <c r="F643" s="157" t="s">
        <v>19</v>
      </c>
      <c r="G643" s="157" t="s">
        <v>4244</v>
      </c>
      <c r="H643" s="155">
        <f>IFERROR(VLOOKUP(B645,'📊 Problem Tracker'!$B$4:$F$1200,5,FALSE()),"")</f>
        <v>0</v>
      </c>
      <c r="I643" s="155"/>
      <c r="J643" s="155"/>
      <c r="K643" s="157"/>
      <c r="L643" s="228" t="s">
        <v>705</v>
      </c>
      <c r="M643" s="7" t="s">
        <v>24</v>
      </c>
      <c r="N643" s="7" t="s">
        <v>47</v>
      </c>
      <c r="O643" s="198" t="str">
        <f>HYPERLINK("https://leetcode.com/problems/majority-element-ii/","https://leetcode.com/problems/majority-element-ii/")</f>
        <v>https://leetcode.com/problems/majority-element-ii/</v>
      </c>
    </row>
    <row r="644" spans="1:15" ht="31.5" customHeight="1" x14ac:dyDescent="0.2">
      <c r="A644" s="151">
        <v>639</v>
      </c>
      <c r="B644" s="151">
        <v>2101</v>
      </c>
      <c r="C644" s="152" t="s">
        <v>2856</v>
      </c>
      <c r="D644" s="153" t="s">
        <v>4600</v>
      </c>
      <c r="E644" s="154" t="s">
        <v>28</v>
      </c>
      <c r="F644" s="153" t="s">
        <v>1198</v>
      </c>
      <c r="G644" s="153" t="s">
        <v>4258</v>
      </c>
      <c r="H644" s="151">
        <f>IFERROR(VLOOKUP(B646,'📊 Problem Tracker'!$B$4:$F$1200,5,FALSE()),"")</f>
        <v>0</v>
      </c>
      <c r="I644" s="151"/>
      <c r="J644" s="151"/>
      <c r="K644" s="153"/>
      <c r="L644" s="228" t="s">
        <v>2858</v>
      </c>
      <c r="M644" s="7" t="s">
        <v>1175</v>
      </c>
      <c r="N644" s="7" t="s">
        <v>341</v>
      </c>
      <c r="O644" s="197" t="str">
        <f>HYPERLINK("https://leetcode.com/problems/detonate-the-maximum-bombs/","https://leetcode.com/problems/detonate-the-maximum-bombs/")</f>
        <v>https://leetcode.com/problems/detonate-the-maximum-bombs/</v>
      </c>
    </row>
    <row r="645" spans="1:15" ht="31.5" customHeight="1" x14ac:dyDescent="0.2">
      <c r="A645" s="155">
        <v>640</v>
      </c>
      <c r="B645" s="155">
        <v>3660</v>
      </c>
      <c r="C645" s="156" t="s">
        <v>3255</v>
      </c>
      <c r="D645" s="157" t="s">
        <v>5111</v>
      </c>
      <c r="E645" s="158" t="s">
        <v>28</v>
      </c>
      <c r="F645" s="157" t="s">
        <v>318</v>
      </c>
      <c r="G645" s="157" t="s">
        <v>3091</v>
      </c>
      <c r="H645" s="155">
        <f>IFERROR(VLOOKUP(B647,'📊 Problem Tracker'!$B$4:$F$1200,5,FALSE()),"")</f>
        <v>0</v>
      </c>
      <c r="I645" s="155"/>
      <c r="J645" s="155"/>
      <c r="K645" s="157"/>
      <c r="L645" s="228" t="s">
        <v>3257</v>
      </c>
      <c r="M645" s="7" t="s">
        <v>24</v>
      </c>
      <c r="N645" s="7" t="s">
        <v>24</v>
      </c>
      <c r="O645" s="198" t="str">
        <f>HYPERLINK("https://leetcode.com/problems/jump-game-ix/","https://leetcode.com/problems/jump-game-ix/")</f>
        <v>https://leetcode.com/problems/jump-game-ix/</v>
      </c>
    </row>
    <row r="646" spans="1:15" ht="31.5" customHeight="1" x14ac:dyDescent="0.2">
      <c r="A646" s="151">
        <v>641</v>
      </c>
      <c r="B646" s="151">
        <v>3629</v>
      </c>
      <c r="C646" s="152" t="s">
        <v>3225</v>
      </c>
      <c r="D646" s="153" t="s">
        <v>4574</v>
      </c>
      <c r="E646" s="154" t="s">
        <v>28</v>
      </c>
      <c r="F646" s="153" t="s">
        <v>1198</v>
      </c>
      <c r="G646" s="153" t="s">
        <v>4258</v>
      </c>
      <c r="H646" s="151">
        <f>IFERROR(VLOOKUP(B648,'📊 Problem Tracker'!$B$4:$F$1200,5,FALSE()),"")</f>
        <v>0</v>
      </c>
      <c r="I646" s="151"/>
      <c r="J646" s="151"/>
      <c r="K646" s="153"/>
      <c r="L646" s="228" t="s">
        <v>3227</v>
      </c>
      <c r="M646" s="7" t="s">
        <v>894</v>
      </c>
      <c r="N646" s="7" t="s">
        <v>24</v>
      </c>
      <c r="O646" s="197" t="str">
        <f>HYPERLINK("https://leetcode.com/problems/minimum-jumps-to-reach-end-via-prime-teleportation/","https://leetcode.com/problems/minimum-jumps-to-reach-end-via-prime-teleportation/")</f>
        <v>https://leetcode.com/problems/minimum-jumps-to-reach-end-via-prime-teleportation/</v>
      </c>
    </row>
    <row r="647" spans="1:15" ht="31.5" customHeight="1" x14ac:dyDescent="0.2">
      <c r="A647" s="155">
        <v>642</v>
      </c>
      <c r="B647" s="155">
        <v>1914</v>
      </c>
      <c r="C647" s="156" t="s">
        <v>5112</v>
      </c>
      <c r="D647" s="157" t="s">
        <v>4668</v>
      </c>
      <c r="E647" s="158" t="s">
        <v>28</v>
      </c>
      <c r="F647" s="157" t="s">
        <v>2784</v>
      </c>
      <c r="G647" s="157"/>
      <c r="H647" s="155">
        <f>IFERROR(VLOOKUP(B649,'📊 Problem Tracker'!$B$4:$F$1200,5,FALSE()),"")</f>
        <v>0</v>
      </c>
      <c r="I647" s="155"/>
      <c r="J647" s="155"/>
      <c r="K647" s="157"/>
      <c r="L647" s="228" t="s">
        <v>2786</v>
      </c>
      <c r="M647" s="7" t="s">
        <v>24</v>
      </c>
      <c r="N647" s="7" t="s">
        <v>24</v>
      </c>
      <c r="O647" s="198" t="str">
        <f>HYPERLINK("https://leetcode.com/problems/cyclically-rotating-a-grid/","https://leetcode.com/problems/cyclically-rotating-a-grid/")</f>
        <v>https://leetcode.com/problems/cyclically-rotating-a-grid/</v>
      </c>
    </row>
    <row r="648" spans="1:15" ht="31.5" customHeight="1" x14ac:dyDescent="0.2">
      <c r="A648" s="151">
        <v>643</v>
      </c>
      <c r="B648" s="151">
        <v>2661</v>
      </c>
      <c r="C648" s="152" t="s">
        <v>3010</v>
      </c>
      <c r="D648" s="153" t="s">
        <v>4616</v>
      </c>
      <c r="E648" s="154" t="s">
        <v>28</v>
      </c>
      <c r="F648" s="153" t="s">
        <v>283</v>
      </c>
      <c r="G648" s="153" t="s">
        <v>4187</v>
      </c>
      <c r="H648" s="151">
        <f>IFERROR(VLOOKUP(B650,'📊 Problem Tracker'!$B$4:$F$1200,5,FALSE()),"")</f>
        <v>0</v>
      </c>
      <c r="I648" s="151"/>
      <c r="J648" s="151"/>
      <c r="K648" s="153"/>
      <c r="L648" s="228" t="s">
        <v>3012</v>
      </c>
      <c r="M648" s="7" t="s">
        <v>363</v>
      </c>
      <c r="N648" s="7" t="s">
        <v>363</v>
      </c>
      <c r="O648" s="197" t="str">
        <f>HYPERLINK("https://leetcode.com/problems/first-completely-painted-row-or-column/","https://leetcode.com/problems/first-completely-painted-row-or-column/")</f>
        <v>https://leetcode.com/problems/first-completely-painted-row-or-column/</v>
      </c>
    </row>
    <row r="649" spans="1:15" ht="31.5" customHeight="1" x14ac:dyDescent="0.2">
      <c r="A649" s="155">
        <v>644</v>
      </c>
      <c r="B649" s="155">
        <v>2770</v>
      </c>
      <c r="C649" s="156" t="s">
        <v>3034</v>
      </c>
      <c r="D649" s="157" t="s">
        <v>5113</v>
      </c>
      <c r="E649" s="158" t="s">
        <v>28</v>
      </c>
      <c r="F649" s="157" t="s">
        <v>309</v>
      </c>
      <c r="G649" s="157" t="s">
        <v>1042</v>
      </c>
      <c r="H649" s="155">
        <f>IFERROR(VLOOKUP(B651,'📊 Problem Tracker'!$B$4:$F$1200,5,FALSE()),"")</f>
        <v>0</v>
      </c>
      <c r="I649" s="155"/>
      <c r="J649" s="155"/>
      <c r="K649" s="157"/>
      <c r="L649" s="228" t="s">
        <v>3035</v>
      </c>
      <c r="M649" s="7" t="s">
        <v>341</v>
      </c>
      <c r="N649" s="7" t="s">
        <v>24</v>
      </c>
      <c r="O649" s="198" t="str">
        <f>HYPERLINK("https://leetcode.com/problems/maximum-number-of-jumps-to-reach-the-last-index/","https://leetcode.com/problems/maximum-number-of-jumps-to-reach-the-last-index/")</f>
        <v>https://leetcode.com/problems/maximum-number-of-jumps-to-reach-the-last-index/</v>
      </c>
    </row>
    <row r="650" spans="1:15" ht="31.5" customHeight="1" x14ac:dyDescent="0.2">
      <c r="A650" s="151">
        <v>645</v>
      </c>
      <c r="B650" s="151">
        <v>788</v>
      </c>
      <c r="C650" s="152" t="s">
        <v>1901</v>
      </c>
      <c r="D650" s="153" t="s">
        <v>5114</v>
      </c>
      <c r="E650" s="154" t="s">
        <v>28</v>
      </c>
      <c r="F650" s="153" t="s">
        <v>62</v>
      </c>
      <c r="G650" s="153" t="s">
        <v>62</v>
      </c>
      <c r="H650" s="151">
        <f>IFERROR(VLOOKUP(B652,'📊 Problem Tracker'!$B$4:$F$1200,5,FALSE()),"")</f>
        <v>0</v>
      </c>
      <c r="I650" s="151"/>
      <c r="J650" s="151"/>
      <c r="K650" s="153"/>
      <c r="L650" s="228" t="s">
        <v>1903</v>
      </c>
      <c r="M650" s="7" t="s">
        <v>1904</v>
      </c>
      <c r="N650" s="7" t="s">
        <v>47</v>
      </c>
      <c r="O650" s="197" t="str">
        <f>HYPERLINK("https://leetcode.com/problems/rotated-digits/","https://leetcode.com/problems/rotated-digits/")</f>
        <v>https://leetcode.com/problems/rotated-digits/</v>
      </c>
    </row>
    <row r="651" spans="1:15" ht="31.5" customHeight="1" x14ac:dyDescent="0.2">
      <c r="A651" s="155">
        <v>646</v>
      </c>
      <c r="B651" s="155">
        <v>1665</v>
      </c>
      <c r="C651" s="156" t="s">
        <v>2625</v>
      </c>
      <c r="D651" s="157" t="s">
        <v>4473</v>
      </c>
      <c r="E651" s="161" t="s">
        <v>42</v>
      </c>
      <c r="F651" s="157" t="s">
        <v>318</v>
      </c>
      <c r="G651" s="157" t="s">
        <v>3091</v>
      </c>
      <c r="H651" s="155">
        <f>IFERROR(VLOOKUP(B653,'📊 Problem Tracker'!$B$4:$F$1200,5,FALSE()),"")</f>
        <v>0</v>
      </c>
      <c r="I651" s="155"/>
      <c r="J651" s="155"/>
      <c r="K651" s="157"/>
      <c r="L651" s="228" t="s">
        <v>2626</v>
      </c>
      <c r="M651" s="7" t="s">
        <v>326</v>
      </c>
      <c r="N651" s="7" t="s">
        <v>47</v>
      </c>
      <c r="O651" s="198" t="str">
        <f>HYPERLINK("https://leetcode.com/problems/minimum-initial-energy-to-finish-tasks/","https://leetcode.com/problems/minimum-initial-energy-to-finish-tasks/")</f>
        <v>https://leetcode.com/problems/minimum-initial-energy-to-finish-tasks/</v>
      </c>
    </row>
    <row r="652" spans="1:15" ht="31.5" customHeight="1" x14ac:dyDescent="0.2">
      <c r="A652" s="151">
        <v>647</v>
      </c>
      <c r="B652" s="151">
        <v>523</v>
      </c>
      <c r="C652" s="152" t="s">
        <v>1558</v>
      </c>
      <c r="D652" s="153" t="s">
        <v>4781</v>
      </c>
      <c r="E652" s="154" t="s">
        <v>28</v>
      </c>
      <c r="F652" s="153" t="s">
        <v>1559</v>
      </c>
      <c r="G652" s="153" t="s">
        <v>4959</v>
      </c>
      <c r="H652" s="151">
        <f>IFERROR(VLOOKUP(B654,'📊 Problem Tracker'!$B$4:$F$1200,5,FALSE()),"")</f>
        <v>0</v>
      </c>
      <c r="I652" s="151"/>
      <c r="J652" s="151"/>
      <c r="K652" s="153"/>
      <c r="L652" s="228" t="s">
        <v>705</v>
      </c>
      <c r="M652" s="7" t="s">
        <v>24</v>
      </c>
      <c r="N652" s="7" t="s">
        <v>24</v>
      </c>
      <c r="O652" s="197" t="str">
        <f>HYPERLINK("https://leetcode.com/problems/continuous-subarray-sum/","https://leetcode.com/problems/continuous-subarray-sum/")</f>
        <v>https://leetcode.com/problems/continuous-subarray-sum/</v>
      </c>
    </row>
    <row r="653" spans="1:15" ht="31.5" customHeight="1" x14ac:dyDescent="0.2">
      <c r="A653" s="155">
        <v>648</v>
      </c>
      <c r="B653" s="155">
        <v>3928</v>
      </c>
      <c r="C653" s="156" t="s">
        <v>3338</v>
      </c>
      <c r="D653" s="157" t="s">
        <v>5115</v>
      </c>
      <c r="E653" s="161" t="s">
        <v>42</v>
      </c>
      <c r="F653" s="157" t="s">
        <v>41</v>
      </c>
      <c r="G653" s="157" t="s">
        <v>512</v>
      </c>
      <c r="H653" s="155">
        <f>IFERROR(VLOOKUP(B655,'📊 Problem Tracker'!$B$4:$F$1200,5,FALSE()),"")</f>
        <v>0</v>
      </c>
      <c r="I653" s="155"/>
      <c r="J653" s="155"/>
      <c r="K653" s="157"/>
      <c r="L653" s="228" t="s">
        <v>3340</v>
      </c>
      <c r="M653" s="7" t="s">
        <v>1845</v>
      </c>
      <c r="N653" s="7" t="s">
        <v>648</v>
      </c>
      <c r="O653" s="198" t="str">
        <f>HYPERLINK("https://leetcode.com/problems/minimum-cost-to-buy-apples-ii/","https://leetcode.com/problems/minimum-cost-to-buy-apples-ii/")</f>
        <v>https://leetcode.com/problems/minimum-cost-to-buy-apples-ii/</v>
      </c>
    </row>
    <row r="654" spans="1:15" ht="31.5" customHeight="1" x14ac:dyDescent="0.2">
      <c r="A654" s="151">
        <v>649</v>
      </c>
      <c r="B654" s="151">
        <v>1674</v>
      </c>
      <c r="C654" s="152" t="s">
        <v>5116</v>
      </c>
      <c r="D654" s="153" t="s">
        <v>4556</v>
      </c>
      <c r="E654" s="154" t="s">
        <v>28</v>
      </c>
      <c r="F654" s="153" t="s">
        <v>309</v>
      </c>
      <c r="G654" s="153" t="s">
        <v>5117</v>
      </c>
      <c r="H654" s="151">
        <f>IFERROR(VLOOKUP(B656,'📊 Problem Tracker'!$B$4:$F$1200,5,FALSE()),"")</f>
        <v>0</v>
      </c>
      <c r="I654" s="151"/>
      <c r="J654" s="151"/>
      <c r="K654" s="153"/>
      <c r="L654" s="228" t="s">
        <v>2634</v>
      </c>
      <c r="M654" s="7" t="s">
        <v>24</v>
      </c>
      <c r="N654" s="7" t="s">
        <v>24</v>
      </c>
      <c r="O654" s="197" t="str">
        <f>HYPERLINK("https://leetcode.com/problems/minimum-moves-to-make-array-complementary/","https://leetcode.com/problems/minimum-moves-to-make-array-complementary/")</f>
        <v>https://leetcode.com/problems/minimum-moves-to-make-array-complementary/</v>
      </c>
    </row>
    <row r="655" spans="1:15" ht="31.5" customHeight="1" x14ac:dyDescent="0.2">
      <c r="A655" s="155">
        <v>650</v>
      </c>
      <c r="B655" s="155">
        <v>116</v>
      </c>
      <c r="C655" s="156" t="s">
        <v>586</v>
      </c>
      <c r="D655" s="157" t="s">
        <v>4532</v>
      </c>
      <c r="E655" s="158" t="s">
        <v>28</v>
      </c>
      <c r="F655" s="157" t="s">
        <v>534</v>
      </c>
      <c r="G655" s="157" t="s">
        <v>4270</v>
      </c>
      <c r="H655" s="155">
        <f>IFERROR(VLOOKUP(B657,'📊 Problem Tracker'!$B$4:$F$1200,5,FALSE()),"")</f>
        <v>0</v>
      </c>
      <c r="I655" s="155"/>
      <c r="J655" s="155"/>
      <c r="K655" s="157"/>
      <c r="L655" s="228" t="s">
        <v>571</v>
      </c>
      <c r="M655" s="7" t="s">
        <v>24</v>
      </c>
      <c r="N655" s="7" t="s">
        <v>47</v>
      </c>
      <c r="O655" s="198" t="str">
        <f>HYPERLINK("https://leetcode.com/problems/populating-next-right-pointers-in-each-node/","https://leetcode.com/problems/populating-next-right-pointers-in-each-node/")</f>
        <v>https://leetcode.com/problems/populating-next-right-pointers-in-each-node/</v>
      </c>
    </row>
    <row r="656" spans="1:15" ht="31.5" customHeight="1" x14ac:dyDescent="0.2">
      <c r="A656" s="151">
        <v>651</v>
      </c>
      <c r="B656" s="151">
        <v>341</v>
      </c>
      <c r="C656" s="152" t="s">
        <v>1255</v>
      </c>
      <c r="D656" s="153" t="s">
        <v>4761</v>
      </c>
      <c r="E656" s="154" t="s">
        <v>28</v>
      </c>
      <c r="F656" s="153" t="s">
        <v>5118</v>
      </c>
      <c r="G656" s="153" t="s">
        <v>4984</v>
      </c>
      <c r="H656" s="151">
        <f>IFERROR(VLOOKUP(B658,'📊 Problem Tracker'!$B$4:$F$1200,5,FALSE()),"")</f>
        <v>0</v>
      </c>
      <c r="I656" s="151"/>
      <c r="J656" s="151"/>
      <c r="K656" s="153"/>
      <c r="L656" s="228" t="s">
        <v>542</v>
      </c>
      <c r="M656" s="7" t="s">
        <v>24</v>
      </c>
      <c r="N656" s="7" t="s">
        <v>47</v>
      </c>
      <c r="O656" s="197" t="str">
        <f>HYPERLINK("https://leetcode.com/problems/flatten-nested-list-iterator/","https://leetcode.com/problems/flatten-nested-list-iterator/")</f>
        <v>https://leetcode.com/problems/flatten-nested-list-iterator/</v>
      </c>
    </row>
    <row r="657" spans="1:15" ht="31.5" customHeight="1" x14ac:dyDescent="0.2">
      <c r="A657" s="155">
        <v>652</v>
      </c>
      <c r="B657" s="155">
        <v>154</v>
      </c>
      <c r="C657" s="156" t="s">
        <v>724</v>
      </c>
      <c r="D657" s="157" t="s">
        <v>4461</v>
      </c>
      <c r="E657" s="161" t="s">
        <v>42</v>
      </c>
      <c r="F657" s="157" t="s">
        <v>41</v>
      </c>
      <c r="G657" s="157" t="s">
        <v>512</v>
      </c>
      <c r="H657" s="155">
        <f>IFERROR(VLOOKUP(B659,'📊 Problem Tracker'!$B$4:$F$1200,5,FALSE()),"")</f>
        <v>0</v>
      </c>
      <c r="I657" s="155"/>
      <c r="J657" s="155"/>
      <c r="K657" s="157"/>
      <c r="L657" s="228" t="s">
        <v>726</v>
      </c>
      <c r="M657" s="7" t="s">
        <v>456</v>
      </c>
      <c r="N657" s="7" t="s">
        <v>47</v>
      </c>
      <c r="O657" s="198" t="str">
        <f>HYPERLINK("https://leetcode.com/problems/find-minimum-in-rotated-sorted-array-ii/","https://leetcode.com/problems/find-minimum-in-rotated-sorted-array-ii/")</f>
        <v>https://leetcode.com/problems/find-minimum-in-rotated-sorted-array-ii/</v>
      </c>
    </row>
    <row r="658" spans="1:15" ht="31.5" customHeight="1" x14ac:dyDescent="0.2">
      <c r="A658" s="151">
        <v>653</v>
      </c>
      <c r="B658" s="151">
        <v>3720</v>
      </c>
      <c r="C658" s="152" t="s">
        <v>3277</v>
      </c>
      <c r="D658" s="153" t="s">
        <v>5119</v>
      </c>
      <c r="E658" s="154" t="s">
        <v>28</v>
      </c>
      <c r="F658" s="153" t="s">
        <v>376</v>
      </c>
      <c r="G658" s="153" t="s">
        <v>62</v>
      </c>
      <c r="H658" s="151">
        <f>IFERROR(VLOOKUP(B660,'📊 Problem Tracker'!$B$4:$F$1200,5,FALSE()),"")</f>
        <v>0</v>
      </c>
      <c r="I658" s="151"/>
      <c r="J658" s="151"/>
      <c r="K658" s="153"/>
      <c r="L658" s="228" t="s">
        <v>3278</v>
      </c>
      <c r="M658" s="7" t="s">
        <v>24</v>
      </c>
      <c r="N658" s="7" t="s">
        <v>24</v>
      </c>
      <c r="O658" s="197" t="str">
        <f>HYPERLINK("https://leetcode.com/problems/lexicographically-smallest-permutation-greater-than-target/","https://leetcode.com/problems/lexicographically-smallest-permutation-greater-than-target/")</f>
        <v>https://leetcode.com/problems/lexicographically-smallest-permutation-greater-than-target/</v>
      </c>
    </row>
    <row r="659" spans="1:15" ht="31.5" customHeight="1" x14ac:dyDescent="0.2">
      <c r="A659" s="155">
        <v>654</v>
      </c>
      <c r="B659" s="155">
        <v>3462</v>
      </c>
      <c r="C659" s="156" t="s">
        <v>3193</v>
      </c>
      <c r="D659" s="157" t="s">
        <v>4688</v>
      </c>
      <c r="E659" s="158" t="s">
        <v>28</v>
      </c>
      <c r="F659" s="157" t="s">
        <v>1531</v>
      </c>
      <c r="G659" s="157" t="s">
        <v>4951</v>
      </c>
      <c r="H659" s="155">
        <f>IFERROR(VLOOKUP(B661,'📊 Problem Tracker'!$B$4:$F$1200,5,FALSE()),"")</f>
        <v>0</v>
      </c>
      <c r="I659" s="155"/>
      <c r="J659" s="155"/>
      <c r="K659" s="157"/>
      <c r="L659" s="228" t="s">
        <v>3195</v>
      </c>
      <c r="M659" s="7" t="s">
        <v>3196</v>
      </c>
      <c r="N659" s="7" t="s">
        <v>363</v>
      </c>
      <c r="O659" s="198" t="str">
        <f>HYPERLINK("https://leetcode.com/problems/maximum-sum-with-at-most-k-elements/","https://leetcode.com/problems/maximum-sum-with-at-most-k-elements/")</f>
        <v>https://leetcode.com/problems/maximum-sum-with-at-most-k-elements/</v>
      </c>
    </row>
    <row r="660" spans="1:15" ht="31.5" customHeight="1" x14ac:dyDescent="0.2">
      <c r="A660" s="151">
        <v>655</v>
      </c>
      <c r="B660" s="151">
        <v>1636</v>
      </c>
      <c r="C660" s="152" t="s">
        <v>2593</v>
      </c>
      <c r="D660" s="153" t="s">
        <v>4628</v>
      </c>
      <c r="E660" s="160" t="s">
        <v>20</v>
      </c>
      <c r="F660" s="153" t="s">
        <v>2594</v>
      </c>
      <c r="G660" s="153" t="s">
        <v>5120</v>
      </c>
      <c r="H660" s="151">
        <f>IFERROR(VLOOKUP(B662,'📊 Problem Tracker'!$B$4:$F$1200,5,FALSE()),"")</f>
        <v>0</v>
      </c>
      <c r="I660" s="151"/>
      <c r="J660" s="151"/>
      <c r="K660" s="153"/>
      <c r="L660" s="228" t="s">
        <v>2596</v>
      </c>
      <c r="M660" s="7" t="s">
        <v>326</v>
      </c>
      <c r="N660" s="7" t="s">
        <v>24</v>
      </c>
      <c r="O660" s="197" t="str">
        <f>HYPERLINK("https://leetcode.com/problems/sort-array-by-increasing-frequency/","https://leetcode.com/problems/sort-array-by-increasing-frequency/")</f>
        <v>https://leetcode.com/problems/sort-array-by-increasing-frequency/</v>
      </c>
    </row>
    <row r="661" spans="1:15" ht="31.5" customHeight="1" x14ac:dyDescent="0.2">
      <c r="A661" s="155">
        <v>656</v>
      </c>
      <c r="B661" s="155">
        <v>2359</v>
      </c>
      <c r="C661" s="156" t="s">
        <v>2918</v>
      </c>
      <c r="D661" s="157" t="s">
        <v>5121</v>
      </c>
      <c r="E661" s="158" t="s">
        <v>28</v>
      </c>
      <c r="F661" s="157" t="s">
        <v>1232</v>
      </c>
      <c r="G661" s="157" t="s">
        <v>4284</v>
      </c>
      <c r="H661" s="155">
        <f>IFERROR(VLOOKUP(B663,'📊 Problem Tracker'!$B$4:$F$1200,5,FALSE()),"")</f>
        <v>0</v>
      </c>
      <c r="I661" s="155"/>
      <c r="J661" s="155"/>
      <c r="K661" s="157"/>
      <c r="L661" s="228" t="s">
        <v>2920</v>
      </c>
      <c r="M661" s="7" t="s">
        <v>24</v>
      </c>
      <c r="N661" s="7" t="s">
        <v>24</v>
      </c>
      <c r="O661" s="198" t="str">
        <f>HYPERLINK("https://leetcode.com/problems/find-closest-node-to-given-two-nodes/","https://leetcode.com/problems/find-closest-node-to-given-two-nodes/")</f>
        <v>https://leetcode.com/problems/find-closest-node-to-given-two-nodes/</v>
      </c>
    </row>
    <row r="662" spans="1:15" ht="31.5" customHeight="1" x14ac:dyDescent="0.2">
      <c r="A662" s="151">
        <v>657</v>
      </c>
      <c r="B662" s="151">
        <v>1306</v>
      </c>
      <c r="C662" s="152" t="s">
        <v>2383</v>
      </c>
      <c r="D662" s="153" t="s">
        <v>4798</v>
      </c>
      <c r="E662" s="154" t="s">
        <v>28</v>
      </c>
      <c r="F662" s="153" t="s">
        <v>2384</v>
      </c>
      <c r="G662" s="153" t="s">
        <v>5033</v>
      </c>
      <c r="H662" s="151">
        <f>IFERROR(VLOOKUP(B664,'📊 Problem Tracker'!$B$4:$F$1200,5,FALSE()),"")</f>
        <v>0</v>
      </c>
      <c r="I662" s="151"/>
      <c r="J662" s="151"/>
      <c r="K662" s="153"/>
      <c r="L662" s="228" t="s">
        <v>2386</v>
      </c>
      <c r="M662" s="7" t="s">
        <v>24</v>
      </c>
      <c r="N662" s="7" t="s">
        <v>24</v>
      </c>
      <c r="O662" s="197" t="str">
        <f>HYPERLINK("https://leetcode.com/problems/jump-game-iii/","https://leetcode.com/problems/jump-game-iii/")</f>
        <v>https://leetcode.com/problems/jump-game-iii/</v>
      </c>
    </row>
    <row r="663" spans="1:15" ht="31.5" customHeight="1" x14ac:dyDescent="0.2">
      <c r="A663" s="155">
        <v>658</v>
      </c>
      <c r="B663" s="155">
        <v>1295</v>
      </c>
      <c r="C663" s="156" t="s">
        <v>2375</v>
      </c>
      <c r="D663" s="157" t="s">
        <v>5122</v>
      </c>
      <c r="E663" s="159" t="s">
        <v>20</v>
      </c>
      <c r="F663" s="157" t="s">
        <v>166</v>
      </c>
      <c r="G663" s="157" t="s">
        <v>166</v>
      </c>
      <c r="H663" s="155" t="str">
        <f>IFERROR(VLOOKUP(B665,'📊 Problem Tracker'!$B$4:$F$1200,5,FALSE()),"")</f>
        <v/>
      </c>
      <c r="I663" s="155"/>
      <c r="J663" s="155"/>
      <c r="K663" s="157"/>
      <c r="L663" s="228" t="s">
        <v>2377</v>
      </c>
      <c r="M663" s="7" t="s">
        <v>1904</v>
      </c>
      <c r="N663" s="7" t="s">
        <v>47</v>
      </c>
      <c r="O663" s="198" t="str">
        <f>HYPERLINK("https://leetcode.com/problems/find-numbers-with-even-number-of-digits/","https://leetcode.com/problems/find-numbers-with-even-number-of-digits/")</f>
        <v>https://leetcode.com/problems/find-numbers-with-even-number-of-digits/</v>
      </c>
    </row>
    <row r="664" spans="1:15" ht="31.5" customHeight="1" x14ac:dyDescent="0.2">
      <c r="A664" s="151">
        <v>659</v>
      </c>
      <c r="B664" s="151">
        <v>1691</v>
      </c>
      <c r="C664" s="152" t="s">
        <v>2654</v>
      </c>
      <c r="D664" s="153" t="s">
        <v>4622</v>
      </c>
      <c r="E664" s="162" t="s">
        <v>42</v>
      </c>
      <c r="F664" s="153" t="s">
        <v>309</v>
      </c>
      <c r="G664" s="153" t="s">
        <v>1042</v>
      </c>
      <c r="H664" s="151" t="str">
        <f>IFERROR(VLOOKUP(B666,'📊 Problem Tracker'!$B$4:$F$1200,5,FALSE()),"")</f>
        <v/>
      </c>
      <c r="I664" s="151"/>
      <c r="J664" s="151"/>
      <c r="K664" s="153"/>
      <c r="L664" s="228" t="s">
        <v>2656</v>
      </c>
      <c r="M664" s="7" t="s">
        <v>341</v>
      </c>
      <c r="N664" s="7" t="s">
        <v>24</v>
      </c>
      <c r="O664" s="197" t="str">
        <f>HYPERLINK("https://leetcode.com/problems/maximum-height-by-stacking-cuboids/","https://leetcode.com/problems/maximum-height-by-stacking-cuboids/")</f>
        <v>https://leetcode.com/problems/maximum-height-by-stacking-cuboids/</v>
      </c>
    </row>
    <row r="665" spans="1:15" ht="31.5" customHeight="1" x14ac:dyDescent="0.2"/>
    <row r="666" spans="1:15" ht="31.5" customHeight="1" x14ac:dyDescent="0.2"/>
  </sheetData>
  <autoFilter ref="A5:O5" xr:uid="{00000000-0001-0000-1300-000000000000}"/>
  <mergeCells count="3">
    <mergeCell ref="A1:K2"/>
    <mergeCell ref="A4:K4"/>
    <mergeCell ref="A3:K3"/>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 Master Plan</vt:lpstr>
      <vt:lpstr>🧠 DSA Topics &amp; Problems</vt:lpstr>
      <vt:lpstr>📊 Problem Tracker</vt:lpstr>
      <vt:lpstr>📈 Progress Dashboard</vt:lpstr>
      <vt:lpstr>🏗️ System Design</vt:lpstr>
      <vt:lpstr>🗣️ Behavioral (STAR)</vt:lpstr>
      <vt:lpstr>📅 16-Week Schedule</vt:lpstr>
      <vt:lpstr>⚡ Pattern Cheatsheet</vt:lpstr>
      <vt:lpstr>🔁 Retry Tracker</vt:lpstr>
      <vt:lpstr>🎯 Blind 75</vt:lpstr>
      <vt:lpstr>🔥 Grind 169</vt:lpstr>
      <vt:lpstr>⚡ Grind 75</vt:lpstr>
      <vt:lpstr>🚀 NeetCode 150</vt:lpstr>
      <vt:lpstr>🧩 14 Patterns</vt:lpstr>
      <vt:lpstr>🔵 Google</vt:lpstr>
      <vt:lpstr>🍎 Apple</vt:lpstr>
      <vt:lpstr>🔷 Meta</vt:lpstr>
      <vt:lpstr>🪟 Microsoft</vt:lpstr>
      <vt:lpstr>🚗 Uber</vt:lpstr>
      <vt:lpstr>📦 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Bangalore Venugopala Rao, Navaneeth</cp:lastModifiedBy>
  <cp:revision>0</cp:revision>
  <dcterms:created xsi:type="dcterms:W3CDTF">2026-05-17T08:33:52Z</dcterms:created>
  <dcterms:modified xsi:type="dcterms:W3CDTF">2026-05-29T06:49:29Z</dcterms:modified>
  <dc:language>en-US</dc:language>
</cp:coreProperties>
</file>